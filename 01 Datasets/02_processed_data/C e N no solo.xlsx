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D8" i="1"/>
  <c r="C8" i="1"/>
  <c r="B8" i="1"/>
</calcChain>
</file>

<file path=xl/sharedStrings.xml><?xml version="1.0" encoding="utf-8"?>
<sst xmlns="http://schemas.openxmlformats.org/spreadsheetml/2006/main" count="47" uniqueCount="35">
  <si>
    <t>c_g.kg</t>
  </si>
  <si>
    <t>n_g.kg</t>
  </si>
  <si>
    <t>c.n</t>
  </si>
  <si>
    <t>SITE</t>
  </si>
  <si>
    <t>S_HELENA</t>
  </si>
  <si>
    <t>S_HELENA BAIXADA</t>
  </si>
  <si>
    <t>S_JORGE</t>
  </si>
  <si>
    <t>MP_V</t>
  </si>
  <si>
    <t>ML BAIXADA</t>
  </si>
  <si>
    <t>ML MORRO</t>
  </si>
  <si>
    <t>ML MORRO PEQUENO</t>
  </si>
  <si>
    <t>REGUA PV</t>
  </si>
  <si>
    <t>REGUA BP</t>
  </si>
  <si>
    <t>CSA</t>
  </si>
  <si>
    <t>EEG1</t>
  </si>
  <si>
    <t>EEG2</t>
  </si>
  <si>
    <t>EEG3</t>
  </si>
  <si>
    <t>EEG4</t>
  </si>
  <si>
    <t>EEG5</t>
  </si>
  <si>
    <t>média entre as duas profundidades</t>
  </si>
  <si>
    <t>CHN (VIA SECA)</t>
  </si>
  <si>
    <t>C</t>
  </si>
  <si>
    <t>N</t>
  </si>
  <si>
    <t>1- ML BX</t>
  </si>
  <si>
    <t>2-       "</t>
  </si>
  <si>
    <t>1- ML MR</t>
  </si>
  <si>
    <t>1- RG PV</t>
  </si>
  <si>
    <t>1- RG BP</t>
  </si>
  <si>
    <t>1- ML MP</t>
  </si>
  <si>
    <t>Amostra</t>
  </si>
  <si>
    <t>Prof.</t>
  </si>
  <si>
    <t>Nº</t>
  </si>
  <si>
    <t>CHN (%)</t>
  </si>
  <si>
    <t>0 - 20</t>
  </si>
  <si>
    <t>20 - 40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</si>
</sst>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0"/>
      <color rgb="FF1155CC"/>
      <name val="Arial"/>
      <family val="2"/>
    </font>
    <font>
      <sz val="1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2" fontId="0" fillId="0" borderId="0" xfId="0" applyNumberFormat="1"/>
    <xf numFmtId="0" fontId="6" fillId="0" borderId="9" xfId="1" applyFont="1" applyBorder="1" applyAlignment="1">
      <alignment horizontal="center"/>
    </xf>
    <xf numFmtId="0" fontId="2" fillId="2" borderId="8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/>
    </xf>
    <xf numFmtId="2" fontId="4" fillId="0" borderId="12" xfId="1" applyNumberFormat="1" applyFont="1" applyBorder="1" applyAlignment="1">
      <alignment horizontal="center" vertical="top"/>
    </xf>
    <xf numFmtId="0" fontId="6" fillId="0" borderId="11" xfId="1" applyFont="1" applyBorder="1" applyAlignment="1">
      <alignment horizontal="center"/>
    </xf>
    <xf numFmtId="2" fontId="4" fillId="0" borderId="10" xfId="1" applyNumberFormat="1" applyFont="1" applyBorder="1" applyAlignment="1">
      <alignment horizontal="center" vertical="top"/>
    </xf>
    <xf numFmtId="0" fontId="5" fillId="0" borderId="5" xfId="1" applyFont="1" applyBorder="1"/>
    <xf numFmtId="0" fontId="3" fillId="2" borderId="3" xfId="1" applyFont="1" applyFill="1" applyBorder="1" applyAlignment="1">
      <alignment horizontal="center"/>
    </xf>
    <xf numFmtId="0" fontId="5" fillId="0" borderId="4" xfId="1" applyFont="1" applyBorder="1"/>
    <xf numFmtId="0" fontId="5" fillId="0" borderId="6" xfId="1" applyFont="1" applyBorder="1"/>
    <xf numFmtId="0" fontId="5" fillId="0" borderId="7" xfId="1" applyFont="1" applyBorder="1"/>
    <xf numFmtId="0" fontId="3" fillId="2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5" fillId="0" borderId="2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B9" sqref="B9"/>
    </sheetView>
  </sheetViews>
  <sheetFormatPr defaultRowHeight="14.4" x14ac:dyDescent="0.3"/>
  <cols>
    <col min="1" max="1" width="22.21875" bestFit="1" customWidth="1"/>
  </cols>
  <sheetData>
    <row r="1" spans="1:11" x14ac:dyDescent="0.3">
      <c r="A1" t="s">
        <v>3</v>
      </c>
      <c r="B1" t="s">
        <v>0</v>
      </c>
      <c r="C1" t="s">
        <v>1</v>
      </c>
      <c r="D1" t="s">
        <v>2</v>
      </c>
    </row>
    <row r="2" spans="1:11" x14ac:dyDescent="0.3">
      <c r="A2" t="s">
        <v>13</v>
      </c>
      <c r="B2" s="1">
        <v>1.105</v>
      </c>
      <c r="C2" s="1">
        <v>0.11</v>
      </c>
      <c r="D2">
        <v>10.045454545454545</v>
      </c>
    </row>
    <row r="3" spans="1:11" x14ac:dyDescent="0.3">
      <c r="A3" t="s">
        <v>14</v>
      </c>
    </row>
    <row r="4" spans="1:11" x14ac:dyDescent="0.3">
      <c r="A4" t="s">
        <v>15</v>
      </c>
    </row>
    <row r="5" spans="1:11" ht="15" thickBot="1" x14ac:dyDescent="0.35">
      <c r="A5" t="s">
        <v>16</v>
      </c>
    </row>
    <row r="6" spans="1:11" ht="15" thickBot="1" x14ac:dyDescent="0.35">
      <c r="A6" t="s">
        <v>17</v>
      </c>
      <c r="F6" s="9" t="s">
        <v>29</v>
      </c>
      <c r="G6" s="10"/>
      <c r="H6" s="13" t="s">
        <v>30</v>
      </c>
      <c r="I6" s="9" t="s">
        <v>31</v>
      </c>
      <c r="J6" s="14" t="s">
        <v>32</v>
      </c>
      <c r="K6" s="15"/>
    </row>
    <row r="7" spans="1:11" ht="15" thickBot="1" x14ac:dyDescent="0.35">
      <c r="A7" t="s">
        <v>18</v>
      </c>
      <c r="F7" s="11"/>
      <c r="G7" s="12"/>
      <c r="H7" s="12"/>
      <c r="I7" s="11"/>
      <c r="J7" s="3" t="s">
        <v>21</v>
      </c>
      <c r="K7" s="3" t="s">
        <v>22</v>
      </c>
    </row>
    <row r="8" spans="1:11" x14ac:dyDescent="0.3">
      <c r="A8" t="s">
        <v>8</v>
      </c>
      <c r="B8" s="1">
        <f>AVERAGE(J8,J9)</f>
        <v>2.15</v>
      </c>
      <c r="C8" s="1">
        <f>AVERAGE(K8,K9)</f>
        <v>0.14499999999999999</v>
      </c>
      <c r="D8">
        <f>AVERAGE(B8/C8)</f>
        <v>14.827586206896552</v>
      </c>
      <c r="F8" s="2" t="s">
        <v>23</v>
      </c>
      <c r="G8" s="8"/>
      <c r="H8" s="4" t="s">
        <v>33</v>
      </c>
      <c r="I8" s="4">
        <v>1</v>
      </c>
      <c r="J8" s="5">
        <v>2.91</v>
      </c>
      <c r="K8" s="5">
        <v>0.21</v>
      </c>
    </row>
    <row r="9" spans="1:11" x14ac:dyDescent="0.3">
      <c r="A9" t="s">
        <v>9</v>
      </c>
      <c r="B9" t="e">
        <f>AVERAGE(N13)</f>
        <v>#DIV/0!</v>
      </c>
      <c r="F9" s="2" t="s">
        <v>24</v>
      </c>
      <c r="G9" s="8"/>
      <c r="H9" s="6" t="s">
        <v>34</v>
      </c>
      <c r="I9" s="6">
        <v>2</v>
      </c>
      <c r="J9" s="7">
        <v>1.39</v>
      </c>
      <c r="K9" s="7">
        <v>0.08</v>
      </c>
    </row>
    <row r="10" spans="1:11" x14ac:dyDescent="0.3">
      <c r="A10" t="s">
        <v>10</v>
      </c>
      <c r="F10" s="2" t="s">
        <v>25</v>
      </c>
      <c r="G10" s="8"/>
      <c r="H10" s="6" t="s">
        <v>33</v>
      </c>
      <c r="I10" s="6">
        <v>3</v>
      </c>
      <c r="J10" s="7">
        <v>2.36</v>
      </c>
      <c r="K10" s="7">
        <v>0.13</v>
      </c>
    </row>
    <row r="11" spans="1:11" x14ac:dyDescent="0.3">
      <c r="A11" t="s">
        <v>7</v>
      </c>
      <c r="F11" s="2" t="s">
        <v>24</v>
      </c>
      <c r="G11" s="8"/>
      <c r="H11" s="6" t="s">
        <v>34</v>
      </c>
      <c r="I11" s="6">
        <v>4</v>
      </c>
      <c r="J11" s="7">
        <v>1.6</v>
      </c>
      <c r="K11" s="7">
        <v>7.0000000000000007E-2</v>
      </c>
    </row>
    <row r="12" spans="1:11" x14ac:dyDescent="0.3">
      <c r="A12" t="s">
        <v>12</v>
      </c>
      <c r="F12" s="2" t="s">
        <v>26</v>
      </c>
      <c r="G12" s="8"/>
      <c r="H12" s="6" t="s">
        <v>33</v>
      </c>
      <c r="I12" s="6">
        <v>5</v>
      </c>
      <c r="J12" s="7">
        <v>1.49</v>
      </c>
      <c r="K12" s="7">
        <v>0.11</v>
      </c>
    </row>
    <row r="13" spans="1:11" x14ac:dyDescent="0.3">
      <c r="A13" t="s">
        <v>11</v>
      </c>
      <c r="F13" s="2" t="s">
        <v>24</v>
      </c>
      <c r="G13" s="8"/>
      <c r="H13" s="6" t="s">
        <v>34</v>
      </c>
      <c r="I13" s="6">
        <v>6</v>
      </c>
      <c r="J13" s="7">
        <v>1.4</v>
      </c>
      <c r="K13" s="7">
        <v>0.11</v>
      </c>
    </row>
    <row r="14" spans="1:11" x14ac:dyDescent="0.3">
      <c r="A14" t="s">
        <v>4</v>
      </c>
      <c r="F14" s="2" t="s">
        <v>27</v>
      </c>
      <c r="G14" s="8"/>
      <c r="H14" s="6" t="s">
        <v>33</v>
      </c>
      <c r="I14" s="6">
        <v>7</v>
      </c>
      <c r="J14" s="7">
        <v>1.85</v>
      </c>
      <c r="K14" s="7">
        <v>0.12</v>
      </c>
    </row>
    <row r="15" spans="1:11" x14ac:dyDescent="0.3">
      <c r="A15" t="s">
        <v>5</v>
      </c>
      <c r="F15" s="2" t="s">
        <v>24</v>
      </c>
      <c r="G15" s="8"/>
      <c r="H15" s="6" t="s">
        <v>34</v>
      </c>
      <c r="I15" s="6">
        <v>8</v>
      </c>
      <c r="J15" s="7">
        <v>1.26</v>
      </c>
      <c r="K15" s="7">
        <v>7.0000000000000007E-2</v>
      </c>
    </row>
    <row r="16" spans="1:11" x14ac:dyDescent="0.3">
      <c r="A16" t="s">
        <v>6</v>
      </c>
      <c r="F16" s="2" t="s">
        <v>28</v>
      </c>
      <c r="G16" s="8"/>
      <c r="H16" s="6" t="s">
        <v>33</v>
      </c>
      <c r="I16" s="6">
        <v>9</v>
      </c>
      <c r="J16" s="7">
        <v>1.43</v>
      </c>
      <c r="K16" s="7">
        <v>0.08</v>
      </c>
    </row>
    <row r="17" spans="6:11" x14ac:dyDescent="0.3">
      <c r="F17" s="2" t="s">
        <v>24</v>
      </c>
      <c r="G17" s="8"/>
      <c r="H17" s="6" t="s">
        <v>34</v>
      </c>
      <c r="I17" s="6">
        <v>10</v>
      </c>
      <c r="J17" s="7">
        <v>1.72</v>
      </c>
      <c r="K17" s="7">
        <v>0.09</v>
      </c>
    </row>
  </sheetData>
  <sortState ref="A2:D10">
    <sortCondition ref="A2"/>
  </sortState>
  <mergeCells count="14">
    <mergeCell ref="J6:K6"/>
    <mergeCell ref="F16:G16"/>
    <mergeCell ref="F17:G17"/>
    <mergeCell ref="F6:G7"/>
    <mergeCell ref="H6:H7"/>
    <mergeCell ref="I6:I7"/>
    <mergeCell ref="F11:G11"/>
    <mergeCell ref="F12:G12"/>
    <mergeCell ref="F13:G13"/>
    <mergeCell ref="F14:G14"/>
    <mergeCell ref="F15:G15"/>
    <mergeCell ref="F8:G8"/>
    <mergeCell ref="F9:G9"/>
    <mergeCell ref="F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cols>
    <col min="1" max="1" width="29.88671875" bestFit="1" customWidth="1"/>
  </cols>
  <sheetData>
    <row r="1" spans="1:1" x14ac:dyDescent="0.3">
      <c r="A1" t="s">
        <v>20</v>
      </c>
    </row>
    <row r="2" spans="1:1" x14ac:dyDescent="0.3">
      <c r="A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2025-03-16T23:27:34Z</dcterms:modified>
</cp:coreProperties>
</file>