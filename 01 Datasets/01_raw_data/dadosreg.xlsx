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2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2" i="1"/>
  <c r="AK8" i="1" l="1"/>
  <c r="AK7" i="1"/>
  <c r="AK6" i="1"/>
  <c r="AK5" i="1"/>
  <c r="AK4" i="1"/>
  <c r="AK3" i="1"/>
  <c r="AK2" i="1"/>
</calcChain>
</file>

<file path=xl/sharedStrings.xml><?xml version="1.0" encoding="utf-8"?>
<sst xmlns="http://schemas.openxmlformats.org/spreadsheetml/2006/main" count="117" uniqueCount="117">
  <si>
    <t>site</t>
  </si>
  <si>
    <t>CSA1</t>
  </si>
  <si>
    <t>CSA2</t>
  </si>
  <si>
    <t>CSA3</t>
  </si>
  <si>
    <t>CSA4</t>
  </si>
  <si>
    <t>CSA5</t>
  </si>
  <si>
    <t>CSA6</t>
  </si>
  <si>
    <t>CSA7</t>
  </si>
  <si>
    <t>EEG11</t>
  </si>
  <si>
    <t>EEG12</t>
  </si>
  <si>
    <t>EEG13</t>
  </si>
  <si>
    <t>EEG14</t>
  </si>
  <si>
    <t>EEG15</t>
  </si>
  <si>
    <t>EEG21</t>
  </si>
  <si>
    <t>EEG22</t>
  </si>
  <si>
    <t>EEG23</t>
  </si>
  <si>
    <t>EEG24</t>
  </si>
  <si>
    <t>EEG25</t>
  </si>
  <si>
    <t>EEG31</t>
  </si>
  <si>
    <t>EEG32</t>
  </si>
  <si>
    <t>EEG33</t>
  </si>
  <si>
    <t>EEG34</t>
  </si>
  <si>
    <t>EEG35</t>
  </si>
  <si>
    <t>EEG41</t>
  </si>
  <si>
    <t>EEG42</t>
  </si>
  <si>
    <t>EEG43</t>
  </si>
  <si>
    <t>EEG44</t>
  </si>
  <si>
    <t>EEG45</t>
  </si>
  <si>
    <t>EEG51</t>
  </si>
  <si>
    <t>EEG52</t>
  </si>
  <si>
    <t>EEG53</t>
  </si>
  <si>
    <t>EEG54</t>
  </si>
  <si>
    <t>EEG55</t>
  </si>
  <si>
    <t>ML11</t>
  </si>
  <si>
    <t>ML12</t>
  </si>
  <si>
    <t>ML13</t>
  </si>
  <si>
    <t>ML14</t>
  </si>
  <si>
    <t>ML15</t>
  </si>
  <si>
    <t>ML21</t>
  </si>
  <si>
    <t>ML22</t>
  </si>
  <si>
    <t>ML23</t>
  </si>
  <si>
    <t>ML24</t>
  </si>
  <si>
    <t>ML25</t>
  </si>
  <si>
    <t>MP1</t>
  </si>
  <si>
    <t>MP2</t>
  </si>
  <si>
    <t>MP3</t>
  </si>
  <si>
    <t>MP4</t>
  </si>
  <si>
    <t>MP5</t>
  </si>
  <si>
    <t>MP6</t>
  </si>
  <si>
    <t>REGUA_PV1</t>
  </si>
  <si>
    <t>REGUA_PV2</t>
  </si>
  <si>
    <t>REGUA_PV3</t>
  </si>
  <si>
    <t>REGUA_PV4</t>
  </si>
  <si>
    <t>REGUA_PV5</t>
  </si>
  <si>
    <t>REGUA1</t>
  </si>
  <si>
    <t>REGUA2</t>
  </si>
  <si>
    <t>REGUA3</t>
  </si>
  <si>
    <t>REGUA4</t>
  </si>
  <si>
    <t>REGUA5</t>
  </si>
  <si>
    <t>REGUA6</t>
  </si>
  <si>
    <t>REGUA7</t>
  </si>
  <si>
    <t>REGUA8</t>
  </si>
  <si>
    <t>S_HELENA1</t>
  </si>
  <si>
    <t>S_HELENA2</t>
  </si>
  <si>
    <t>S_HELENA3</t>
  </si>
  <si>
    <t>S_HELENA4</t>
  </si>
  <si>
    <t>S_HELENA5</t>
  </si>
  <si>
    <t>S_HELENABaixada</t>
  </si>
  <si>
    <t>S_JORGE1</t>
  </si>
  <si>
    <t>S_JORGE2</t>
  </si>
  <si>
    <t>S_JORGE3</t>
  </si>
  <si>
    <t>S_JORGE4</t>
  </si>
  <si>
    <t>S_JORGE5</t>
  </si>
  <si>
    <t>PD</t>
  </si>
  <si>
    <t>SR</t>
  </si>
  <si>
    <t>MPD</t>
  </si>
  <si>
    <t>MNTD</t>
  </si>
  <si>
    <t>SESPD</t>
  </si>
  <si>
    <t>SESMPD</t>
  </si>
  <si>
    <t>SESMNTD</t>
  </si>
  <si>
    <t>biomassa_z_kg</t>
  </si>
  <si>
    <t>produt_z_g.ano</t>
  </si>
  <si>
    <t>PSV</t>
  </si>
  <si>
    <t>PSR</t>
  </si>
  <si>
    <t>PSE</t>
  </si>
  <si>
    <t>PSC</t>
  </si>
  <si>
    <t>ppt</t>
  </si>
  <si>
    <t>tmax</t>
  </si>
  <si>
    <t>tmin</t>
  </si>
  <si>
    <t>pet</t>
  </si>
  <si>
    <t>vpd</t>
  </si>
  <si>
    <t>log_biomass</t>
  </si>
  <si>
    <t>log_produt</t>
  </si>
  <si>
    <t>idade_anos</t>
  </si>
  <si>
    <t>unbias.simp</t>
  </si>
  <si>
    <t>shannon</t>
  </si>
  <si>
    <t>altitude</t>
  </si>
  <si>
    <t>declividade</t>
  </si>
  <si>
    <t>mcwd</t>
  </si>
  <si>
    <t>PC1</t>
  </si>
  <si>
    <t>PC2</t>
  </si>
  <si>
    <t>silte_g.kg</t>
  </si>
  <si>
    <t>faba</t>
  </si>
  <si>
    <t>ph</t>
  </si>
  <si>
    <t>valor_s</t>
  </si>
  <si>
    <t>valor_t</t>
  </si>
  <si>
    <t>PC1nutri</t>
  </si>
  <si>
    <t>PC2nutri</t>
  </si>
  <si>
    <t>pcps1</t>
  </si>
  <si>
    <t>pcps2</t>
  </si>
  <si>
    <t>gini</t>
  </si>
  <si>
    <t>riq_inicial</t>
  </si>
  <si>
    <t>c_solo</t>
  </si>
  <si>
    <t>n_solo</t>
  </si>
  <si>
    <t>c.n_solo</t>
  </si>
  <si>
    <t>c_soloid</t>
  </si>
  <si>
    <t>PSEab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</si>
</sst>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3"/>
  <sheetViews>
    <sheetView tabSelected="1" zoomScaleNormal="100" workbookViewId="0">
      <pane xSplit="1" topLeftCell="B1" activePane="topRight" state="frozen"/>
      <selection pane="topRight" activeCell="AC1" sqref="AC1:AC73"/>
    </sheetView>
  </sheetViews>
  <sheetFormatPr defaultRowHeight="14.4" x14ac:dyDescent="0.3"/>
  <cols>
    <col min="11" max="11" width="13.6640625" bestFit="1" customWidth="1"/>
    <col min="12" max="12" width="13.6640625" customWidth="1"/>
    <col min="13" max="13" width="14.44140625" bestFit="1" customWidth="1"/>
    <col min="14" max="18" width="14.44140625" customWidth="1"/>
    <col min="32" max="32" width="10.5546875" bestFit="1" customWidth="1"/>
    <col min="33" max="33" width="10.6640625" bestFit="1" customWidth="1"/>
    <col min="34" max="34" width="12" bestFit="1" customWidth="1"/>
    <col min="36" max="36" width="11.109375" bestFit="1" customWidth="1"/>
  </cols>
  <sheetData>
    <row r="1" spans="1:45" x14ac:dyDescent="0.3">
      <c r="A1" s="1" t="s">
        <v>0</v>
      </c>
      <c r="B1" s="1" t="s">
        <v>110</v>
      </c>
      <c r="C1" s="1" t="s">
        <v>108</v>
      </c>
      <c r="D1" s="1" t="s">
        <v>109</v>
      </c>
      <c r="E1" s="1" t="s">
        <v>106</v>
      </c>
      <c r="F1" s="1" t="s">
        <v>107</v>
      </c>
      <c r="G1" s="1" t="s">
        <v>104</v>
      </c>
      <c r="H1" s="1" t="s">
        <v>105</v>
      </c>
      <c r="I1" s="1" t="s">
        <v>103</v>
      </c>
      <c r="J1" s="1" t="s">
        <v>102</v>
      </c>
      <c r="K1" s="1" t="s">
        <v>101</v>
      </c>
      <c r="L1" s="1" t="s">
        <v>99</v>
      </c>
      <c r="M1" s="1" t="s">
        <v>100</v>
      </c>
      <c r="N1" s="1" t="s">
        <v>98</v>
      </c>
      <c r="O1" s="1" t="s">
        <v>80</v>
      </c>
      <c r="P1" s="1" t="s">
        <v>91</v>
      </c>
      <c r="Q1" s="1" t="s">
        <v>81</v>
      </c>
      <c r="R1" s="1" t="s">
        <v>92</v>
      </c>
      <c r="S1" s="1" t="s">
        <v>74</v>
      </c>
      <c r="T1" s="1" t="s">
        <v>73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82</v>
      </c>
      <c r="AA1" s="1" t="s">
        <v>83</v>
      </c>
      <c r="AB1" s="1" t="s">
        <v>84</v>
      </c>
      <c r="AC1" s="1" t="s">
        <v>116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96</v>
      </c>
      <c r="AK1" s="1" t="s">
        <v>97</v>
      </c>
      <c r="AL1" s="1" t="s">
        <v>93</v>
      </c>
      <c r="AM1" s="1" t="s">
        <v>94</v>
      </c>
      <c r="AN1" s="1" t="s">
        <v>95</v>
      </c>
      <c r="AO1" s="1" t="s">
        <v>111</v>
      </c>
      <c r="AP1" s="1" t="s">
        <v>112</v>
      </c>
      <c r="AQ1" s="1" t="s">
        <v>115</v>
      </c>
      <c r="AR1" s="1" t="s">
        <v>113</v>
      </c>
      <c r="AS1" s="1" t="s">
        <v>114</v>
      </c>
    </row>
    <row r="2" spans="1:45" x14ac:dyDescent="0.3">
      <c r="A2" t="s">
        <v>1</v>
      </c>
      <c r="B2">
        <v>0.49425875976196432</v>
      </c>
      <c r="C2">
        <v>-0.2170531267294491</v>
      </c>
      <c r="D2">
        <v>6.6363968831658446E-2</v>
      </c>
      <c r="E2">
        <v>-1.323565161967641</v>
      </c>
      <c r="F2">
        <v>-0.36011269986253158</v>
      </c>
      <c r="G2">
        <v>2.7</v>
      </c>
      <c r="H2">
        <v>7.3</v>
      </c>
      <c r="I2">
        <v>4.8</v>
      </c>
      <c r="J2">
        <v>0.8973691561881918</v>
      </c>
      <c r="K2">
        <v>112.5</v>
      </c>
      <c r="L2">
        <v>-1.850948211396052</v>
      </c>
      <c r="M2">
        <v>0.21630149893363121</v>
      </c>
      <c r="N2">
        <v>-775.5800903320312</v>
      </c>
      <c r="O2">
        <v>588.28376884153499</v>
      </c>
      <c r="P2">
        <f>LN(O2)</f>
        <v>6.3772094315553032</v>
      </c>
      <c r="Q2">
        <v>73535.471105191886</v>
      </c>
      <c r="R2">
        <f>LN(Q2)</f>
        <v>11.205523168857605</v>
      </c>
      <c r="S2">
        <v>12</v>
      </c>
      <c r="T2">
        <v>1047.817274</v>
      </c>
      <c r="U2">
        <v>0.28050583762157622</v>
      </c>
      <c r="V2">
        <v>0.25631077710615052</v>
      </c>
      <c r="W2">
        <v>-9.9307357565813784E-2</v>
      </c>
      <c r="X2">
        <v>-0.21605199340326381</v>
      </c>
      <c r="Y2">
        <v>0.1166607075386981</v>
      </c>
      <c r="Z2">
        <v>0.80516646432150496</v>
      </c>
      <c r="AA2">
        <v>9.6619975718580591</v>
      </c>
      <c r="AB2">
        <v>0.30600636877302739</v>
      </c>
      <c r="AC2">
        <v>0.79471151328541778</v>
      </c>
      <c r="AD2">
        <v>0.52534628416662876</v>
      </c>
      <c r="AE2">
        <v>115.62666740417481</v>
      </c>
      <c r="AF2">
        <v>28.366666698455809</v>
      </c>
      <c r="AG2">
        <v>18.743333196640016</v>
      </c>
      <c r="AH2">
        <v>95.835000000000036</v>
      </c>
      <c r="AI2">
        <v>0.73966666666666658</v>
      </c>
      <c r="AJ2">
        <v>40</v>
      </c>
      <c r="AK2">
        <f t="shared" ref="AK2:AK8" si="0">AVERAGE(0,5)</f>
        <v>2.5</v>
      </c>
      <c r="AL2" s="2">
        <v>8</v>
      </c>
      <c r="AM2">
        <v>0.93015873015872863</v>
      </c>
      <c r="AN2">
        <v>2.4067203129956392</v>
      </c>
      <c r="AO2">
        <v>37</v>
      </c>
      <c r="AP2" s="5">
        <v>1.105</v>
      </c>
      <c r="AQ2" s="5">
        <f>AP2/AL2</f>
        <v>0.138125</v>
      </c>
      <c r="AR2" s="5">
        <v>0.11</v>
      </c>
      <c r="AS2">
        <v>10.045454545454545</v>
      </c>
    </row>
    <row r="3" spans="1:45" x14ac:dyDescent="0.3">
      <c r="A3" t="s">
        <v>2</v>
      </c>
      <c r="B3">
        <v>0.47148294242085531</v>
      </c>
      <c r="C3">
        <v>-0.22066071366782911</v>
      </c>
      <c r="D3">
        <v>7.049180301478665E-2</v>
      </c>
      <c r="E3">
        <v>-1.323565161967641</v>
      </c>
      <c r="F3">
        <v>-0.36011269986253158</v>
      </c>
      <c r="G3">
        <v>2.7</v>
      </c>
      <c r="H3">
        <v>7.3</v>
      </c>
      <c r="I3">
        <v>4.8</v>
      </c>
      <c r="J3">
        <v>0.90064344776723482</v>
      </c>
      <c r="K3">
        <v>112.5</v>
      </c>
      <c r="L3">
        <v>-1.850948211396052</v>
      </c>
      <c r="M3">
        <v>0.21630149893363121</v>
      </c>
      <c r="N3">
        <v>-775.5800903320312</v>
      </c>
      <c r="O3">
        <v>399.78506285447685</v>
      </c>
      <c r="P3">
        <f t="shared" ref="P3:P66" si="1">LN(O3)</f>
        <v>5.9909270598237594</v>
      </c>
      <c r="Q3">
        <v>49973.1328568096</v>
      </c>
      <c r="R3">
        <f t="shared" ref="R3:R66" si="2">LN(Q3)</f>
        <v>10.81924079712606</v>
      </c>
      <c r="S3">
        <v>11</v>
      </c>
      <c r="T3">
        <v>806.95958500000006</v>
      </c>
      <c r="U3">
        <v>0.20584611529148639</v>
      </c>
      <c r="V3">
        <v>0.24117426835765379</v>
      </c>
      <c r="W3">
        <v>-1.900660511674138</v>
      </c>
      <c r="X3">
        <v>-3.389475607845196</v>
      </c>
      <c r="Y3">
        <v>-0.9256773697840508</v>
      </c>
      <c r="Z3">
        <v>0.67992703120593179</v>
      </c>
      <c r="AA3">
        <v>7.4791973432652501</v>
      </c>
      <c r="AB3">
        <v>0.22643072695188099</v>
      </c>
      <c r="AC3">
        <v>0.67912324493861864</v>
      </c>
      <c r="AD3">
        <v>0.44821842019722458</v>
      </c>
      <c r="AE3">
        <v>115.62666740417481</v>
      </c>
      <c r="AF3">
        <v>28.366666698455809</v>
      </c>
      <c r="AG3">
        <v>18.743333196640016</v>
      </c>
      <c r="AH3">
        <v>95.835000000000036</v>
      </c>
      <c r="AI3">
        <v>0.73966666666666658</v>
      </c>
      <c r="AJ3">
        <v>40</v>
      </c>
      <c r="AK3">
        <f t="shared" si="0"/>
        <v>2.5</v>
      </c>
      <c r="AL3" s="2">
        <v>8</v>
      </c>
      <c r="AM3">
        <v>0.92923076923075509</v>
      </c>
      <c r="AN3">
        <v>2.3043676727622131</v>
      </c>
      <c r="AO3">
        <v>37</v>
      </c>
      <c r="AP3" s="5">
        <v>1.105</v>
      </c>
      <c r="AQ3" s="5">
        <f t="shared" ref="AQ3:AQ66" si="3">AP3/AL3</f>
        <v>0.138125</v>
      </c>
      <c r="AR3" s="5">
        <v>0.11</v>
      </c>
      <c r="AS3">
        <v>10.045454545454545</v>
      </c>
    </row>
    <row r="4" spans="1:45" x14ac:dyDescent="0.3">
      <c r="A4" t="s">
        <v>3</v>
      </c>
      <c r="B4">
        <v>0.383252497324992</v>
      </c>
      <c r="C4">
        <v>1.636542371227168E-2</v>
      </c>
      <c r="D4">
        <v>-0.1063981842579845</v>
      </c>
      <c r="E4">
        <v>-1.323565161967641</v>
      </c>
      <c r="F4">
        <v>-0.36011269986253158</v>
      </c>
      <c r="G4">
        <v>2.7</v>
      </c>
      <c r="H4">
        <v>7.3</v>
      </c>
      <c r="I4">
        <v>4.8</v>
      </c>
      <c r="J4">
        <v>0.60783965169211807</v>
      </c>
      <c r="K4">
        <v>112.5</v>
      </c>
      <c r="L4">
        <v>-1.850948211396052</v>
      </c>
      <c r="M4">
        <v>0.21630149893363121</v>
      </c>
      <c r="N4">
        <v>-775.5800903320312</v>
      </c>
      <c r="O4">
        <v>391.21760910381755</v>
      </c>
      <c r="P4">
        <f t="shared" si="1"/>
        <v>5.9692639501941738</v>
      </c>
      <c r="Q4">
        <v>48902.201137977201</v>
      </c>
      <c r="R4">
        <f t="shared" si="2"/>
        <v>10.797577687496474</v>
      </c>
      <c r="S4">
        <v>14</v>
      </c>
      <c r="T4">
        <v>1056.4280200000001</v>
      </c>
      <c r="U4">
        <v>0.52471482542843562</v>
      </c>
      <c r="V4">
        <v>0.45007656615121289</v>
      </c>
      <c r="W4">
        <v>-1.2072446156047201</v>
      </c>
      <c r="X4">
        <v>-2.9017263302566811</v>
      </c>
      <c r="Y4">
        <v>-0.52261047988654474</v>
      </c>
      <c r="Z4">
        <v>0.70118490033520486</v>
      </c>
      <c r="AA4">
        <v>9.8165886046928676</v>
      </c>
      <c r="AB4">
        <v>0.56507750539163348</v>
      </c>
      <c r="AC4">
        <v>0.67535685139721879</v>
      </c>
      <c r="AD4">
        <v>0.45997550929094649</v>
      </c>
      <c r="AE4">
        <v>115.62666740417481</v>
      </c>
      <c r="AF4">
        <v>28.366666698455809</v>
      </c>
      <c r="AG4">
        <v>18.743333196640016</v>
      </c>
      <c r="AH4">
        <v>95.835000000000036</v>
      </c>
      <c r="AI4">
        <v>0.73966666666666658</v>
      </c>
      <c r="AJ4">
        <v>40</v>
      </c>
      <c r="AK4">
        <f t="shared" si="0"/>
        <v>2.5</v>
      </c>
      <c r="AL4" s="2">
        <v>8</v>
      </c>
      <c r="AM4">
        <v>0.93538461538459394</v>
      </c>
      <c r="AN4">
        <v>2.4616623502359718</v>
      </c>
      <c r="AO4">
        <v>37</v>
      </c>
      <c r="AP4" s="5">
        <v>1.105</v>
      </c>
      <c r="AQ4" s="5">
        <f t="shared" si="3"/>
        <v>0.138125</v>
      </c>
      <c r="AR4" s="5">
        <v>0.11</v>
      </c>
      <c r="AS4">
        <v>10.045454545454545</v>
      </c>
    </row>
    <row r="5" spans="1:45" x14ac:dyDescent="0.3">
      <c r="A5" t="s">
        <v>4</v>
      </c>
      <c r="B5">
        <v>0.39707020267315168</v>
      </c>
      <c r="C5">
        <v>-0.1966210122436573</v>
      </c>
      <c r="D5">
        <v>4.5943674864249967E-2</v>
      </c>
      <c r="E5">
        <v>-1.323565161967641</v>
      </c>
      <c r="F5">
        <v>-0.36011269986253158</v>
      </c>
      <c r="G5">
        <v>2.7</v>
      </c>
      <c r="H5">
        <v>7.3</v>
      </c>
      <c r="I5">
        <v>4.8</v>
      </c>
      <c r="J5">
        <v>0.86465444167354044</v>
      </c>
      <c r="K5">
        <v>112.5</v>
      </c>
      <c r="L5">
        <v>-1.850948211396052</v>
      </c>
      <c r="M5">
        <v>0.21630149893363121</v>
      </c>
      <c r="N5">
        <v>-775.5800903320312</v>
      </c>
      <c r="O5">
        <v>445.60136371455229</v>
      </c>
      <c r="P5">
        <f t="shared" si="1"/>
        <v>6.099424749009092</v>
      </c>
      <c r="Q5">
        <v>55700.170464319031</v>
      </c>
      <c r="R5">
        <f t="shared" si="2"/>
        <v>10.927738486311393</v>
      </c>
      <c r="S5">
        <v>11</v>
      </c>
      <c r="T5">
        <v>803.96330800000021</v>
      </c>
      <c r="U5">
        <v>0.34377235131468181</v>
      </c>
      <c r="V5">
        <v>0.2661073446633378</v>
      </c>
      <c r="W5">
        <v>-2.3165649275403788</v>
      </c>
      <c r="X5">
        <v>-2.7728199668936488</v>
      </c>
      <c r="Y5">
        <v>-1.142921284902876</v>
      </c>
      <c r="Z5">
        <v>0.68558231366071998</v>
      </c>
      <c r="AA5">
        <v>7.54140545026792</v>
      </c>
      <c r="AB5">
        <v>0.37814958740374388</v>
      </c>
      <c r="AC5">
        <v>0.68258948199959035</v>
      </c>
      <c r="AD5">
        <v>0.43175360892428288</v>
      </c>
      <c r="AE5">
        <v>115.62666740417481</v>
      </c>
      <c r="AF5">
        <v>28.366666698455809</v>
      </c>
      <c r="AG5">
        <v>18.743333196640016</v>
      </c>
      <c r="AH5">
        <v>95.835000000000036</v>
      </c>
      <c r="AI5">
        <v>0.73966666666666658</v>
      </c>
      <c r="AJ5">
        <v>40</v>
      </c>
      <c r="AK5">
        <f t="shared" si="0"/>
        <v>2.5</v>
      </c>
      <c r="AL5" s="2">
        <v>8</v>
      </c>
      <c r="AM5">
        <v>0.94152046783626941</v>
      </c>
      <c r="AN5">
        <v>2.3056573382986389</v>
      </c>
      <c r="AO5">
        <v>37</v>
      </c>
      <c r="AP5" s="5">
        <v>1.105</v>
      </c>
      <c r="AQ5" s="5">
        <f t="shared" si="3"/>
        <v>0.138125</v>
      </c>
      <c r="AR5" s="5">
        <v>0.11</v>
      </c>
      <c r="AS5">
        <v>10.045454545454545</v>
      </c>
    </row>
    <row r="6" spans="1:45" x14ac:dyDescent="0.3">
      <c r="A6" t="s">
        <v>5</v>
      </c>
      <c r="B6">
        <v>0.35074838016014481</v>
      </c>
      <c r="C6">
        <v>-0.20189243339899521</v>
      </c>
      <c r="D6">
        <v>4.8973043882212047E-2</v>
      </c>
      <c r="E6">
        <v>-1.323565161967641</v>
      </c>
      <c r="F6">
        <v>-0.36011269986253158</v>
      </c>
      <c r="G6">
        <v>2.7</v>
      </c>
      <c r="H6">
        <v>7.3</v>
      </c>
      <c r="I6">
        <v>4.8</v>
      </c>
      <c r="J6">
        <v>0.88068953956237817</v>
      </c>
      <c r="K6">
        <v>112.5</v>
      </c>
      <c r="L6">
        <v>-1.850948211396052</v>
      </c>
      <c r="M6">
        <v>0.21630149893363121</v>
      </c>
      <c r="N6">
        <v>-775.5800903320312</v>
      </c>
      <c r="O6">
        <v>303.09021146496809</v>
      </c>
      <c r="P6">
        <f t="shared" si="1"/>
        <v>5.7140304888044557</v>
      </c>
      <c r="Q6">
        <v>37886.27643312102</v>
      </c>
      <c r="R6">
        <f t="shared" si="2"/>
        <v>10.542344226106756</v>
      </c>
      <c r="S6">
        <v>14</v>
      </c>
      <c r="T6">
        <v>984.09489200000041</v>
      </c>
      <c r="U6">
        <v>0.34374480583632561</v>
      </c>
      <c r="V6">
        <v>0.27688350373453241</v>
      </c>
      <c r="W6">
        <v>-1.9138878963665831</v>
      </c>
      <c r="X6">
        <v>-3.9753503363168989</v>
      </c>
      <c r="Y6">
        <v>-0.82013651557737577</v>
      </c>
      <c r="Z6">
        <v>0.66128331851460387</v>
      </c>
      <c r="AA6">
        <v>9.2579664592044537</v>
      </c>
      <c r="AB6">
        <v>0.37018671514221418</v>
      </c>
      <c r="AC6">
        <v>0.63465162626366245</v>
      </c>
      <c r="AD6">
        <v>0.43497978541117688</v>
      </c>
      <c r="AE6">
        <v>115.62666740417481</v>
      </c>
      <c r="AF6">
        <v>28.366666698455809</v>
      </c>
      <c r="AG6">
        <v>18.743333196640016</v>
      </c>
      <c r="AH6">
        <v>95.835000000000036</v>
      </c>
      <c r="AI6">
        <v>0.73966666666666658</v>
      </c>
      <c r="AJ6">
        <v>40</v>
      </c>
      <c r="AK6">
        <f t="shared" si="0"/>
        <v>2.5</v>
      </c>
      <c r="AL6" s="2">
        <v>8</v>
      </c>
      <c r="AM6">
        <v>0.96732026143792327</v>
      </c>
      <c r="AN6">
        <v>2.5532370029937139</v>
      </c>
      <c r="AO6">
        <v>37</v>
      </c>
      <c r="AP6" s="5">
        <v>1.105</v>
      </c>
      <c r="AQ6" s="5">
        <f t="shared" si="3"/>
        <v>0.138125</v>
      </c>
      <c r="AR6" s="5">
        <v>0.11</v>
      </c>
      <c r="AS6">
        <v>10.045454545454545</v>
      </c>
    </row>
    <row r="7" spans="1:45" x14ac:dyDescent="0.3">
      <c r="A7" t="s">
        <v>6</v>
      </c>
      <c r="B7">
        <v>0.45818745684276829</v>
      </c>
      <c r="C7">
        <v>0.1653277626584414</v>
      </c>
      <c r="D7">
        <v>-8.9478538182135567E-2</v>
      </c>
      <c r="E7">
        <v>-1.323565161967641</v>
      </c>
      <c r="F7">
        <v>-0.36011269986253158</v>
      </c>
      <c r="G7">
        <v>2.7</v>
      </c>
      <c r="H7">
        <v>7.3</v>
      </c>
      <c r="I7">
        <v>4.8</v>
      </c>
      <c r="J7">
        <v>0.37503967462038812</v>
      </c>
      <c r="K7">
        <v>112.5</v>
      </c>
      <c r="L7">
        <v>-1.850948211396052</v>
      </c>
      <c r="M7">
        <v>0.21630149893363121</v>
      </c>
      <c r="N7">
        <v>-775.5800903320312</v>
      </c>
      <c r="O7">
        <v>463.30774981337998</v>
      </c>
      <c r="P7">
        <f t="shared" si="1"/>
        <v>6.1383915197020409</v>
      </c>
      <c r="Q7">
        <v>57913.468726672494</v>
      </c>
      <c r="R7">
        <f t="shared" si="2"/>
        <v>10.966705257004342</v>
      </c>
      <c r="S7">
        <v>12</v>
      </c>
      <c r="T7">
        <v>950.08780600000023</v>
      </c>
      <c r="U7">
        <v>0.49221448359661979</v>
      </c>
      <c r="V7">
        <v>0.44326410967865337</v>
      </c>
      <c r="W7">
        <v>-0.92794220976175257</v>
      </c>
      <c r="X7">
        <v>-0.59903993416087553</v>
      </c>
      <c r="Y7">
        <v>-1.295487579497435</v>
      </c>
      <c r="Z7">
        <v>0.78667479586275291</v>
      </c>
      <c r="AA7">
        <v>9.440097550353034</v>
      </c>
      <c r="AB7">
        <v>0.53696125508767856</v>
      </c>
      <c r="AC7">
        <v>0.80621907151641181</v>
      </c>
      <c r="AD7">
        <v>0.41204643558117621</v>
      </c>
      <c r="AE7">
        <v>115.62666740417481</v>
      </c>
      <c r="AF7">
        <v>28.366666698455809</v>
      </c>
      <c r="AG7">
        <v>18.743333196640016</v>
      </c>
      <c r="AH7">
        <v>95.835000000000036</v>
      </c>
      <c r="AI7">
        <v>0.73966666666666658</v>
      </c>
      <c r="AJ7">
        <v>40</v>
      </c>
      <c r="AK7">
        <f t="shared" si="0"/>
        <v>2.5</v>
      </c>
      <c r="AL7" s="2">
        <v>8</v>
      </c>
      <c r="AM7">
        <v>0.9288537549406839</v>
      </c>
      <c r="AN7">
        <v>2.3291866142629272</v>
      </c>
      <c r="AO7">
        <v>37</v>
      </c>
      <c r="AP7" s="5">
        <v>1.105</v>
      </c>
      <c r="AQ7" s="5">
        <f t="shared" si="3"/>
        <v>0.138125</v>
      </c>
      <c r="AR7" s="5">
        <v>0.11</v>
      </c>
      <c r="AS7">
        <v>10.045454545454545</v>
      </c>
    </row>
    <row r="8" spans="1:45" x14ac:dyDescent="0.3">
      <c r="A8" s="4" t="s">
        <v>7</v>
      </c>
      <c r="B8">
        <v>0.46600522408862372</v>
      </c>
      <c r="C8">
        <v>-0.234723016625284</v>
      </c>
      <c r="D8">
        <v>8.5075724344650147E-2</v>
      </c>
      <c r="E8">
        <v>-1.323565161967641</v>
      </c>
      <c r="F8">
        <v>-0.36011269986253158</v>
      </c>
      <c r="G8">
        <v>2.7</v>
      </c>
      <c r="H8">
        <v>7.3</v>
      </c>
      <c r="I8">
        <v>4.8</v>
      </c>
      <c r="J8">
        <v>0.92721220610911959</v>
      </c>
      <c r="K8">
        <v>112.5</v>
      </c>
      <c r="L8">
        <v>-1.850948211396052</v>
      </c>
      <c r="M8">
        <v>0.21630149893363121</v>
      </c>
      <c r="N8">
        <v>-775.5800903320312</v>
      </c>
      <c r="O8">
        <v>615.71581303501159</v>
      </c>
      <c r="P8">
        <f t="shared" si="1"/>
        <v>6.4227855146067077</v>
      </c>
      <c r="Q8">
        <v>76964.476629376426</v>
      </c>
      <c r="R8">
        <f t="shared" si="2"/>
        <v>11.251099251909009</v>
      </c>
      <c r="S8">
        <v>13</v>
      </c>
      <c r="T8">
        <v>967.42419800000039</v>
      </c>
      <c r="U8">
        <v>0.18693582815307969</v>
      </c>
      <c r="V8">
        <v>0.2492283323009464</v>
      </c>
      <c r="W8">
        <v>-1.59355293716933</v>
      </c>
      <c r="X8">
        <v>-3.309812813103314</v>
      </c>
      <c r="Y8">
        <v>-0.58946563736808577</v>
      </c>
      <c r="Z8">
        <v>0.6854947208591684</v>
      </c>
      <c r="AA8">
        <v>8.9114313711691899</v>
      </c>
      <c r="AB8">
        <v>0.20251381402847651</v>
      </c>
      <c r="AC8">
        <v>0.67512933269429654</v>
      </c>
      <c r="AD8">
        <v>0.46230787996963563</v>
      </c>
      <c r="AE8">
        <v>115.62666740417481</v>
      </c>
      <c r="AF8">
        <v>28.366666698455809</v>
      </c>
      <c r="AG8">
        <v>18.743333196640016</v>
      </c>
      <c r="AH8">
        <v>95.835000000000036</v>
      </c>
      <c r="AI8">
        <v>0.73966666666666658</v>
      </c>
      <c r="AJ8">
        <v>40</v>
      </c>
      <c r="AK8">
        <f t="shared" si="0"/>
        <v>2.5</v>
      </c>
      <c r="AL8" s="2">
        <v>8</v>
      </c>
      <c r="AM8">
        <v>0.90756302521009324</v>
      </c>
      <c r="AN8">
        <v>2.3352181017703351</v>
      </c>
      <c r="AO8">
        <v>37</v>
      </c>
      <c r="AP8" s="5">
        <v>1.105</v>
      </c>
      <c r="AQ8" s="5">
        <f t="shared" si="3"/>
        <v>0.138125</v>
      </c>
      <c r="AR8" s="5">
        <v>0.11</v>
      </c>
      <c r="AS8">
        <v>10.045454545454545</v>
      </c>
    </row>
    <row r="9" spans="1:45" x14ac:dyDescent="0.3">
      <c r="A9" t="s">
        <v>8</v>
      </c>
      <c r="B9">
        <v>0.4050125985609857</v>
      </c>
      <c r="C9">
        <v>-0.14882180410052079</v>
      </c>
      <c r="D9">
        <v>7.017687167911766E-3</v>
      </c>
      <c r="E9">
        <v>-0.88631611359768625</v>
      </c>
      <c r="F9">
        <v>1.6548008142603881</v>
      </c>
      <c r="G9">
        <v>2.2999999999999998</v>
      </c>
      <c r="H9">
        <v>5.25</v>
      </c>
      <c r="I9">
        <v>5.3000000000000007</v>
      </c>
      <c r="J9">
        <v>0.7782707218470859</v>
      </c>
      <c r="K9">
        <v>50</v>
      </c>
      <c r="L9">
        <v>-1.1624942495573309</v>
      </c>
      <c r="M9">
        <v>-0.23323574385218751</v>
      </c>
      <c r="N9">
        <v>-8693.22314453125</v>
      </c>
      <c r="O9">
        <v>295.19733689602015</v>
      </c>
      <c r="P9">
        <f t="shared" si="1"/>
        <v>5.6876440713306797</v>
      </c>
      <c r="Q9">
        <v>73799.334224005041</v>
      </c>
      <c r="R9">
        <f t="shared" si="2"/>
        <v>11.209104989192927</v>
      </c>
      <c r="S9">
        <v>11</v>
      </c>
      <c r="T9">
        <v>811.37972400000001</v>
      </c>
      <c r="U9">
        <v>0.39921329148408202</v>
      </c>
      <c r="V9">
        <v>0.27253885675276862</v>
      </c>
      <c r="W9">
        <v>-2.039709104781795</v>
      </c>
      <c r="X9">
        <v>-1.9497664126549821</v>
      </c>
      <c r="Y9">
        <v>-1.577645358868933</v>
      </c>
      <c r="Z9">
        <v>0.7277859452938894</v>
      </c>
      <c r="AA9">
        <v>8.0056453982327831</v>
      </c>
      <c r="AB9">
        <v>0.43913462177430279</v>
      </c>
      <c r="AC9">
        <v>0.76045227840994711</v>
      </c>
      <c r="AD9">
        <v>0.39817114485125232</v>
      </c>
      <c r="AE9">
        <v>93.52500006357829</v>
      </c>
      <c r="AF9">
        <v>28.268333403269448</v>
      </c>
      <c r="AG9">
        <v>19.528333330154418</v>
      </c>
      <c r="AH9">
        <v>104.97666666666672</v>
      </c>
      <c r="AI9">
        <v>0.76900000000000002</v>
      </c>
      <c r="AJ9">
        <v>28</v>
      </c>
      <c r="AK9">
        <v>0</v>
      </c>
      <c r="AL9" s="2">
        <v>4</v>
      </c>
      <c r="AM9">
        <v>0.96153846153845413</v>
      </c>
      <c r="AN9">
        <v>2.245035274126177</v>
      </c>
      <c r="AO9">
        <v>98</v>
      </c>
      <c r="AP9" s="5">
        <v>0.91500000000000004</v>
      </c>
      <c r="AQ9" s="5">
        <f t="shared" si="3"/>
        <v>0.22875000000000001</v>
      </c>
      <c r="AR9" s="5">
        <v>7.5000000000000011E-2</v>
      </c>
      <c r="AS9">
        <v>12.2</v>
      </c>
    </row>
    <row r="10" spans="1:45" x14ac:dyDescent="0.3">
      <c r="A10" t="s">
        <v>9</v>
      </c>
      <c r="B10">
        <v>0.37626346568174818</v>
      </c>
      <c r="C10">
        <v>0.25146803514919702</v>
      </c>
      <c r="D10">
        <v>-2.235668342590286E-2</v>
      </c>
      <c r="E10">
        <v>-0.88631611359768625</v>
      </c>
      <c r="F10">
        <v>1.6548008142603881</v>
      </c>
      <c r="G10">
        <v>2.2999999999999998</v>
      </c>
      <c r="H10">
        <v>5.25</v>
      </c>
      <c r="I10">
        <v>5.3000000000000007</v>
      </c>
      <c r="J10">
        <v>0.36281877122212958</v>
      </c>
      <c r="K10">
        <v>50</v>
      </c>
      <c r="L10">
        <v>-1.1624942495573309</v>
      </c>
      <c r="M10">
        <v>-0.23323574385218751</v>
      </c>
      <c r="N10">
        <v>-8693.22314453125</v>
      </c>
      <c r="O10">
        <v>357.35215103046772</v>
      </c>
      <c r="P10">
        <f t="shared" si="1"/>
        <v>5.8787217130419327</v>
      </c>
      <c r="Q10">
        <v>89338.037757616927</v>
      </c>
      <c r="R10">
        <f t="shared" si="2"/>
        <v>11.40018263090418</v>
      </c>
      <c r="S10">
        <v>10</v>
      </c>
      <c r="T10">
        <v>768.16347299680024</v>
      </c>
      <c r="U10">
        <v>0.40838931887738222</v>
      </c>
      <c r="V10">
        <v>0.35344369501716172</v>
      </c>
      <c r="W10">
        <v>-1.5276976433574909</v>
      </c>
      <c r="X10">
        <v>-1.838147902740614</v>
      </c>
      <c r="Y10">
        <v>-1.2002821083048729</v>
      </c>
      <c r="Z10">
        <v>0.72468238236914284</v>
      </c>
      <c r="AA10">
        <v>7.2468238236914289</v>
      </c>
      <c r="AB10">
        <v>0.45376591040192121</v>
      </c>
      <c r="AC10">
        <v>0.73457044690294682</v>
      </c>
      <c r="AD10">
        <v>0.43872774760124311</v>
      </c>
      <c r="AE10">
        <v>93.52500006357829</v>
      </c>
      <c r="AF10">
        <v>28.268333403269448</v>
      </c>
      <c r="AG10">
        <v>19.528333330154418</v>
      </c>
      <c r="AH10">
        <v>104.97666666666672</v>
      </c>
      <c r="AI10">
        <v>0.76900000000000002</v>
      </c>
      <c r="AJ10">
        <v>28</v>
      </c>
      <c r="AK10">
        <v>0</v>
      </c>
      <c r="AL10" s="2">
        <v>4</v>
      </c>
      <c r="AM10">
        <v>0.92380952380954184</v>
      </c>
      <c r="AN10">
        <v>2.1535324566542542</v>
      </c>
      <c r="AO10">
        <v>98</v>
      </c>
      <c r="AP10" s="5">
        <v>0.91500000000000004</v>
      </c>
      <c r="AQ10" s="5">
        <f t="shared" si="3"/>
        <v>0.22875000000000001</v>
      </c>
      <c r="AR10" s="5">
        <v>7.5000000000000011E-2</v>
      </c>
      <c r="AS10">
        <v>12.2</v>
      </c>
    </row>
    <row r="11" spans="1:45" x14ac:dyDescent="0.3">
      <c r="A11" t="s">
        <v>10</v>
      </c>
      <c r="B11">
        <v>0.36001356622011188</v>
      </c>
      <c r="C11">
        <v>3.5532792280222943E-2</v>
      </c>
      <c r="D11">
        <v>-0.11810282387178279</v>
      </c>
      <c r="E11">
        <v>-0.88631611359768625</v>
      </c>
      <c r="F11">
        <v>1.6548008142603881</v>
      </c>
      <c r="G11">
        <v>2.2999999999999998</v>
      </c>
      <c r="H11">
        <v>5.25</v>
      </c>
      <c r="I11">
        <v>5.3000000000000007</v>
      </c>
      <c r="J11">
        <v>0.61320723691671242</v>
      </c>
      <c r="K11">
        <v>50</v>
      </c>
      <c r="L11">
        <v>-1.1624942495573309</v>
      </c>
      <c r="M11">
        <v>-0.23323574385218751</v>
      </c>
      <c r="N11">
        <v>-8693.22314453125</v>
      </c>
      <c r="O11">
        <v>449.95450383585546</v>
      </c>
      <c r="P11">
        <f t="shared" si="1"/>
        <v>6.1091464750661668</v>
      </c>
      <c r="Q11">
        <v>112488.62595896384</v>
      </c>
      <c r="R11">
        <f t="shared" si="2"/>
        <v>11.630607392928413</v>
      </c>
      <c r="S11">
        <v>12</v>
      </c>
      <c r="T11">
        <v>838.29540299680002</v>
      </c>
      <c r="U11">
        <v>0.55610678205701969</v>
      </c>
      <c r="V11">
        <v>0.30385014433623297</v>
      </c>
      <c r="W11">
        <v>-2.2023790886047601</v>
      </c>
      <c r="X11">
        <v>-3.398673296690677</v>
      </c>
      <c r="Y11">
        <v>-1.4120632289257731</v>
      </c>
      <c r="Z11">
        <v>0.67403133684803129</v>
      </c>
      <c r="AA11">
        <v>8.0883760421763746</v>
      </c>
      <c r="AB11">
        <v>0.60666194409673535</v>
      </c>
      <c r="AC11">
        <v>0.67552968009927894</v>
      </c>
      <c r="AD11">
        <v>0.40244224687206742</v>
      </c>
      <c r="AE11">
        <v>93.52500006357829</v>
      </c>
      <c r="AF11">
        <v>28.268333403269448</v>
      </c>
      <c r="AG11">
        <v>19.528333330154418</v>
      </c>
      <c r="AH11">
        <v>104.97666666666672</v>
      </c>
      <c r="AI11">
        <v>0.76900000000000002</v>
      </c>
      <c r="AJ11">
        <v>28</v>
      </c>
      <c r="AK11">
        <v>0</v>
      </c>
      <c r="AL11" s="2">
        <v>4</v>
      </c>
      <c r="AM11">
        <v>0.96666666666664902</v>
      </c>
      <c r="AN11">
        <v>2.426015131959808</v>
      </c>
      <c r="AO11">
        <v>98</v>
      </c>
      <c r="AP11" s="5">
        <v>0.91500000000000004</v>
      </c>
      <c r="AQ11" s="5">
        <f t="shared" si="3"/>
        <v>0.22875000000000001</v>
      </c>
      <c r="AR11" s="5">
        <v>7.5000000000000011E-2</v>
      </c>
      <c r="AS11">
        <v>12.2</v>
      </c>
    </row>
    <row r="12" spans="1:45" x14ac:dyDescent="0.3">
      <c r="A12" t="s">
        <v>11</v>
      </c>
      <c r="B12">
        <v>0.40479029914315778</v>
      </c>
      <c r="C12">
        <v>0.2139695871476465</v>
      </c>
      <c r="D12">
        <v>-3.2161055175362219E-2</v>
      </c>
      <c r="E12">
        <v>-0.88631611359768625</v>
      </c>
      <c r="F12">
        <v>1.6548008142603881</v>
      </c>
      <c r="G12">
        <v>2.2999999999999998</v>
      </c>
      <c r="H12">
        <v>5.25</v>
      </c>
      <c r="I12">
        <v>5.3000000000000007</v>
      </c>
      <c r="J12">
        <v>0.54839165008674884</v>
      </c>
      <c r="K12">
        <v>50</v>
      </c>
      <c r="L12">
        <v>-1.1624942495573309</v>
      </c>
      <c r="M12">
        <v>-0.23323574385218751</v>
      </c>
      <c r="N12">
        <v>-8693.22314453125</v>
      </c>
      <c r="O12">
        <v>600.14845446265565</v>
      </c>
      <c r="P12">
        <f t="shared" si="1"/>
        <v>6.3971770487162765</v>
      </c>
      <c r="Q12">
        <v>150037.11361566393</v>
      </c>
      <c r="R12">
        <f t="shared" si="2"/>
        <v>11.918637966578522</v>
      </c>
      <c r="S12">
        <v>12</v>
      </c>
      <c r="T12">
        <v>911.72837899680019</v>
      </c>
      <c r="U12">
        <v>0.69450691441395052</v>
      </c>
      <c r="V12">
        <v>0.40421574679441169</v>
      </c>
      <c r="W12">
        <v>-1.3648947817469961</v>
      </c>
      <c r="X12">
        <v>-1.112020405197365</v>
      </c>
      <c r="Y12">
        <v>-1.272209031281434</v>
      </c>
      <c r="Z12">
        <v>0.76723667746580837</v>
      </c>
      <c r="AA12">
        <v>9.2068401295897004</v>
      </c>
      <c r="AB12">
        <v>0.75764390732538156</v>
      </c>
      <c r="AC12">
        <v>0.72651432949188288</v>
      </c>
      <c r="AD12">
        <v>0.41704860231545982</v>
      </c>
      <c r="AE12">
        <v>93.52500006357829</v>
      </c>
      <c r="AF12">
        <v>28.268333403269448</v>
      </c>
      <c r="AG12">
        <v>19.528333330154418</v>
      </c>
      <c r="AH12">
        <v>104.97666666666672</v>
      </c>
      <c r="AI12">
        <v>0.76900000000000002</v>
      </c>
      <c r="AJ12">
        <v>28</v>
      </c>
      <c r="AK12">
        <v>0</v>
      </c>
      <c r="AL12" s="2">
        <v>4</v>
      </c>
      <c r="AM12">
        <v>0.94285714285714395</v>
      </c>
      <c r="AN12">
        <v>2.3756465481342488</v>
      </c>
      <c r="AO12">
        <v>98</v>
      </c>
      <c r="AP12" s="5">
        <v>0.91500000000000004</v>
      </c>
      <c r="AQ12" s="5">
        <f t="shared" si="3"/>
        <v>0.22875000000000001</v>
      </c>
      <c r="AR12" s="5">
        <v>7.5000000000000011E-2</v>
      </c>
      <c r="AS12">
        <v>12.2</v>
      </c>
    </row>
    <row r="13" spans="1:45" x14ac:dyDescent="0.3">
      <c r="A13" t="s">
        <v>12</v>
      </c>
      <c r="B13">
        <v>0.38094394533721382</v>
      </c>
      <c r="C13">
        <v>8.8251749948079938E-2</v>
      </c>
      <c r="D13">
        <v>-6.1392648905612912E-2</v>
      </c>
      <c r="E13">
        <v>-0.88631611359768625</v>
      </c>
      <c r="F13">
        <v>1.6548008142603881</v>
      </c>
      <c r="G13">
        <v>2.2999999999999998</v>
      </c>
      <c r="H13">
        <v>5.25</v>
      </c>
      <c r="I13">
        <v>5.3000000000000007</v>
      </c>
      <c r="J13">
        <v>0.24627379033832045</v>
      </c>
      <c r="K13">
        <v>50</v>
      </c>
      <c r="L13">
        <v>-1.1624942495573309</v>
      </c>
      <c r="M13">
        <v>-0.23323574385218751</v>
      </c>
      <c r="N13">
        <v>-8693.22314453125</v>
      </c>
      <c r="O13">
        <v>421.15624362245933</v>
      </c>
      <c r="P13">
        <f t="shared" si="1"/>
        <v>6.0430038898265002</v>
      </c>
      <c r="Q13">
        <v>105289.06090561482</v>
      </c>
      <c r="R13">
        <f t="shared" si="2"/>
        <v>11.564464807688747</v>
      </c>
      <c r="S13">
        <v>11</v>
      </c>
      <c r="T13">
        <v>918.31200899680016</v>
      </c>
      <c r="U13">
        <v>0.61901806673092907</v>
      </c>
      <c r="V13">
        <v>0.55691135423221771</v>
      </c>
      <c r="W13">
        <v>-0.63524088038386362</v>
      </c>
      <c r="X13">
        <v>-0.96269459055182194</v>
      </c>
      <c r="Y13">
        <v>-0.3843748897033003</v>
      </c>
      <c r="Z13">
        <v>0.7720328961153079</v>
      </c>
      <c r="AA13">
        <v>8.4923618572683868</v>
      </c>
      <c r="AB13">
        <v>0.6809198747900852</v>
      </c>
      <c r="AC13">
        <v>0.74115338555108212</v>
      </c>
      <c r="AD13">
        <v>0.49627257684155418</v>
      </c>
      <c r="AE13">
        <v>93.52500006357829</v>
      </c>
      <c r="AF13">
        <v>28.268333403269448</v>
      </c>
      <c r="AG13">
        <v>19.528333330154418</v>
      </c>
      <c r="AH13">
        <v>104.97666666666672</v>
      </c>
      <c r="AI13">
        <v>0.76900000000000002</v>
      </c>
      <c r="AJ13">
        <v>28</v>
      </c>
      <c r="AK13">
        <v>0</v>
      </c>
      <c r="AL13" s="2">
        <v>4</v>
      </c>
      <c r="AM13">
        <v>0.85238095238095202</v>
      </c>
      <c r="AN13">
        <v>2.0543121797806441</v>
      </c>
      <c r="AO13">
        <v>98</v>
      </c>
      <c r="AP13" s="5">
        <v>0.91500000000000004</v>
      </c>
      <c r="AQ13" s="5">
        <f t="shared" si="3"/>
        <v>0.22875000000000001</v>
      </c>
      <c r="AR13" s="5">
        <v>7.5000000000000011E-2</v>
      </c>
      <c r="AS13">
        <v>12.2</v>
      </c>
    </row>
    <row r="14" spans="1:45" x14ac:dyDescent="0.3">
      <c r="A14" t="s">
        <v>13</v>
      </c>
      <c r="B14">
        <v>0.45292875110655351</v>
      </c>
      <c r="C14">
        <v>-0.2375387010832711</v>
      </c>
      <c r="D14">
        <v>8.7710874448666556E-2</v>
      </c>
      <c r="E14">
        <v>-0.50797388221759432</v>
      </c>
      <c r="F14">
        <v>1.3720722974705351</v>
      </c>
      <c r="G14">
        <v>1.8</v>
      </c>
      <c r="H14">
        <v>4.75</v>
      </c>
      <c r="I14">
        <v>5.0999999999999996</v>
      </c>
      <c r="J14">
        <v>0.92844443645267871</v>
      </c>
      <c r="K14">
        <v>50</v>
      </c>
      <c r="L14">
        <v>-0.88617357887392112</v>
      </c>
      <c r="M14">
        <v>-1.161799202093847</v>
      </c>
      <c r="N14">
        <v>-8518.3427734375</v>
      </c>
      <c r="O14">
        <v>682.36137922633782</v>
      </c>
      <c r="P14">
        <f t="shared" si="1"/>
        <v>6.5255593990693441</v>
      </c>
      <c r="Q14">
        <v>97480.197032333992</v>
      </c>
      <c r="R14">
        <f t="shared" si="2"/>
        <v>11.487404528996167</v>
      </c>
      <c r="S14">
        <v>11</v>
      </c>
      <c r="T14">
        <v>959.53616100000022</v>
      </c>
      <c r="U14">
        <v>0.1476812786041192</v>
      </c>
      <c r="V14">
        <v>0.18174820056547311</v>
      </c>
      <c r="W14">
        <v>-0.36610266459063728</v>
      </c>
      <c r="X14">
        <v>-0.66046835290016559</v>
      </c>
      <c r="Y14">
        <v>-4.1959774889531377E-2</v>
      </c>
      <c r="Z14">
        <v>0.79203259432205553</v>
      </c>
      <c r="AA14">
        <v>8.7123585375426114</v>
      </c>
      <c r="AB14">
        <v>0.1624494064865844</v>
      </c>
      <c r="AC14">
        <v>0.68950133716851525</v>
      </c>
      <c r="AD14">
        <v>0.53032211865857937</v>
      </c>
      <c r="AE14">
        <v>93.403333353996274</v>
      </c>
      <c r="AF14">
        <v>28.268333403269448</v>
      </c>
      <c r="AG14">
        <v>19.5600000222524</v>
      </c>
      <c r="AH14">
        <v>105.81166666666667</v>
      </c>
      <c r="AI14">
        <v>0.76883333333333348</v>
      </c>
      <c r="AJ14">
        <v>26</v>
      </c>
      <c r="AK14">
        <v>0</v>
      </c>
      <c r="AL14" s="2">
        <v>7</v>
      </c>
      <c r="AM14">
        <v>0.87619047619047685</v>
      </c>
      <c r="AN14">
        <v>2.1069130743124092</v>
      </c>
      <c r="AO14">
        <v>98</v>
      </c>
      <c r="AP14" s="5">
        <v>0.89500000000000002</v>
      </c>
      <c r="AQ14" s="5">
        <f t="shared" si="3"/>
        <v>0.12785714285714286</v>
      </c>
      <c r="AR14" s="5">
        <v>7.5000000000000011E-2</v>
      </c>
      <c r="AS14">
        <v>11.933333333333332</v>
      </c>
    </row>
    <row r="15" spans="1:45" x14ac:dyDescent="0.3">
      <c r="A15" t="s">
        <v>14</v>
      </c>
      <c r="B15">
        <v>0.36492321413034018</v>
      </c>
      <c r="C15">
        <v>-7.5557392000054041E-2</v>
      </c>
      <c r="D15">
        <v>1.025868971187296E-2</v>
      </c>
      <c r="E15">
        <v>-0.50797388221759432</v>
      </c>
      <c r="F15">
        <v>1.3720722974705351</v>
      </c>
      <c r="G15">
        <v>1.8</v>
      </c>
      <c r="H15">
        <v>4.75</v>
      </c>
      <c r="I15">
        <v>5.0999999999999996</v>
      </c>
      <c r="J15">
        <v>0.73096185164945882</v>
      </c>
      <c r="K15">
        <v>50</v>
      </c>
      <c r="L15">
        <v>-0.88617357887392112</v>
      </c>
      <c r="M15">
        <v>-1.161799202093847</v>
      </c>
      <c r="N15">
        <v>-8518.3427734375</v>
      </c>
      <c r="O15">
        <v>468.64927340054368</v>
      </c>
      <c r="P15">
        <f t="shared" si="1"/>
        <v>6.149854670781699</v>
      </c>
      <c r="Q15">
        <v>66949.896200077652</v>
      </c>
      <c r="R15">
        <f t="shared" si="2"/>
        <v>11.111699800708521</v>
      </c>
      <c r="S15">
        <v>10</v>
      </c>
      <c r="T15">
        <v>856.14400899680015</v>
      </c>
      <c r="U15">
        <v>0.51035602546812786</v>
      </c>
      <c r="V15">
        <v>0.40309140253821851</v>
      </c>
      <c r="W15">
        <v>-0.83442752832513101</v>
      </c>
      <c r="X15">
        <v>-1.1241989734215321</v>
      </c>
      <c r="Y15">
        <v>-0.10049488807673559</v>
      </c>
      <c r="Z15">
        <v>0.75590142603019417</v>
      </c>
      <c r="AA15">
        <v>7.5590142603019412</v>
      </c>
      <c r="AB15">
        <v>0.56706225283298395</v>
      </c>
      <c r="AC15">
        <v>0.70569763829256327</v>
      </c>
      <c r="AD15">
        <v>0.53417630993736565</v>
      </c>
      <c r="AE15">
        <v>93.403333353996274</v>
      </c>
      <c r="AF15">
        <v>28.268333403269448</v>
      </c>
      <c r="AG15">
        <v>19.5600000222524</v>
      </c>
      <c r="AH15">
        <v>105.81166666666667</v>
      </c>
      <c r="AI15">
        <v>0.76883333333333348</v>
      </c>
      <c r="AJ15">
        <v>26</v>
      </c>
      <c r="AK15">
        <v>0</v>
      </c>
      <c r="AL15" s="2">
        <v>7</v>
      </c>
      <c r="AM15">
        <v>0.93333333333331869</v>
      </c>
      <c r="AN15">
        <v>2.1873223188492541</v>
      </c>
      <c r="AO15">
        <v>98</v>
      </c>
      <c r="AP15" s="5">
        <v>0.89500000000000002</v>
      </c>
      <c r="AQ15" s="5">
        <f t="shared" si="3"/>
        <v>0.12785714285714286</v>
      </c>
      <c r="AR15" s="5">
        <v>7.5000000000000011E-2</v>
      </c>
      <c r="AS15">
        <v>11.933333333333332</v>
      </c>
    </row>
    <row r="16" spans="1:45" x14ac:dyDescent="0.3">
      <c r="A16" t="s">
        <v>15</v>
      </c>
      <c r="B16">
        <v>0.29970457902511077</v>
      </c>
      <c r="C16">
        <v>-0.13499907940942779</v>
      </c>
      <c r="D16">
        <v>-4.141134631126165E-2</v>
      </c>
      <c r="E16">
        <v>-0.50797388221759432</v>
      </c>
      <c r="F16">
        <v>1.3720722974705351</v>
      </c>
      <c r="G16">
        <v>1.8</v>
      </c>
      <c r="H16">
        <v>4.75</v>
      </c>
      <c r="I16">
        <v>5.0999999999999996</v>
      </c>
      <c r="J16">
        <v>0.73907696719240679</v>
      </c>
      <c r="K16">
        <v>50</v>
      </c>
      <c r="L16">
        <v>-0.88617357887392112</v>
      </c>
      <c r="M16">
        <v>-1.161799202093847</v>
      </c>
      <c r="N16">
        <v>-8518.3427734375</v>
      </c>
      <c r="O16">
        <v>270.16879189622296</v>
      </c>
      <c r="P16">
        <f t="shared" si="1"/>
        <v>5.5990469188414798</v>
      </c>
      <c r="Q16">
        <v>38595.541699460424</v>
      </c>
      <c r="R16">
        <f t="shared" si="2"/>
        <v>10.560892048768304</v>
      </c>
      <c r="S16">
        <v>5</v>
      </c>
      <c r="T16">
        <v>484.98506599680002</v>
      </c>
      <c r="U16">
        <v>0.42231219562000311</v>
      </c>
      <c r="V16">
        <v>0.36285567481749548</v>
      </c>
      <c r="W16">
        <v>-0.2875918426212527</v>
      </c>
      <c r="X16">
        <v>-0.25774621894641442</v>
      </c>
      <c r="Y16">
        <v>-0.7412365102773768</v>
      </c>
      <c r="Z16">
        <v>0.79101445626735301</v>
      </c>
      <c r="AA16">
        <v>3.9550722813367649</v>
      </c>
      <c r="AB16">
        <v>0.52789024452797728</v>
      </c>
      <c r="AC16">
        <v>0.73768611316007549</v>
      </c>
      <c r="AD16">
        <v>0.55899350806526726</v>
      </c>
      <c r="AE16">
        <v>93.403333353996274</v>
      </c>
      <c r="AF16">
        <v>28.268333403269448</v>
      </c>
      <c r="AG16">
        <v>19.5600000222524</v>
      </c>
      <c r="AH16">
        <v>105.81166666666667</v>
      </c>
      <c r="AI16">
        <v>0.76883333333333348</v>
      </c>
      <c r="AJ16">
        <v>26</v>
      </c>
      <c r="AK16">
        <v>0</v>
      </c>
      <c r="AL16" s="2">
        <v>7</v>
      </c>
      <c r="AM16">
        <v>0.8241758241758177</v>
      </c>
      <c r="AN16">
        <v>1.531778078791366</v>
      </c>
      <c r="AO16">
        <v>98</v>
      </c>
      <c r="AP16" s="5">
        <v>0.89500000000000002</v>
      </c>
      <c r="AQ16" s="5">
        <f t="shared" si="3"/>
        <v>0.12785714285714286</v>
      </c>
      <c r="AR16" s="5">
        <v>7.5000000000000011E-2</v>
      </c>
      <c r="AS16">
        <v>11.933333333333332</v>
      </c>
    </row>
    <row r="17" spans="1:45" x14ac:dyDescent="0.3">
      <c r="A17" t="s">
        <v>16</v>
      </c>
      <c r="B17">
        <v>0.2683321474688381</v>
      </c>
      <c r="C17">
        <v>0.1188490780583475</v>
      </c>
      <c r="D17">
        <v>-0.1319150569288304</v>
      </c>
      <c r="E17">
        <v>-0.50797388221759432</v>
      </c>
      <c r="F17">
        <v>1.3720722974705351</v>
      </c>
      <c r="G17">
        <v>1.8</v>
      </c>
      <c r="H17">
        <v>4.75</v>
      </c>
      <c r="I17">
        <v>5.0999999999999996</v>
      </c>
      <c r="J17">
        <v>0.45311867247174137</v>
      </c>
      <c r="K17">
        <v>50</v>
      </c>
      <c r="L17">
        <v>-0.88617357887392112</v>
      </c>
      <c r="M17">
        <v>-1.161799202093847</v>
      </c>
      <c r="N17">
        <v>-8518.3427734375</v>
      </c>
      <c r="O17">
        <v>327.12452960769201</v>
      </c>
      <c r="P17">
        <f t="shared" si="1"/>
        <v>5.7903409228903673</v>
      </c>
      <c r="Q17">
        <v>46732.075658241709</v>
      </c>
      <c r="R17">
        <f t="shared" si="2"/>
        <v>10.752186052817191</v>
      </c>
      <c r="S17">
        <v>7</v>
      </c>
      <c r="T17">
        <v>658.30286099679995</v>
      </c>
      <c r="U17">
        <v>0.63197753531597967</v>
      </c>
      <c r="V17">
        <v>0.51099980702695214</v>
      </c>
      <c r="W17">
        <v>-0.45301600937330649</v>
      </c>
      <c r="X17">
        <v>-9.0336818238166638E-2</v>
      </c>
      <c r="Y17">
        <v>-0.63558399266384202</v>
      </c>
      <c r="Z17">
        <v>0.80518338022767377</v>
      </c>
      <c r="AA17">
        <v>5.6362836615937164</v>
      </c>
      <c r="AB17">
        <v>0.73730712453734937</v>
      </c>
      <c r="AC17">
        <v>0.76045194950835748</v>
      </c>
      <c r="AD17">
        <v>0.53107240696289026</v>
      </c>
      <c r="AE17">
        <v>93.403333353996274</v>
      </c>
      <c r="AF17">
        <v>28.268333403269448</v>
      </c>
      <c r="AG17">
        <v>19.5600000222524</v>
      </c>
      <c r="AH17">
        <v>105.81166666666667</v>
      </c>
      <c r="AI17">
        <v>0.76883333333333348</v>
      </c>
      <c r="AJ17">
        <v>26</v>
      </c>
      <c r="AK17">
        <v>0</v>
      </c>
      <c r="AL17" s="2">
        <v>7</v>
      </c>
      <c r="AM17">
        <v>0.84285714285714652</v>
      </c>
      <c r="AN17">
        <v>1.776842988331482</v>
      </c>
      <c r="AO17">
        <v>98</v>
      </c>
      <c r="AP17" s="5">
        <v>0.89500000000000002</v>
      </c>
      <c r="AQ17" s="5">
        <f t="shared" si="3"/>
        <v>0.12785714285714286</v>
      </c>
      <c r="AR17" s="5">
        <v>7.5000000000000011E-2</v>
      </c>
      <c r="AS17">
        <v>11.933333333333332</v>
      </c>
    </row>
    <row r="18" spans="1:45" x14ac:dyDescent="0.3">
      <c r="A18" t="s">
        <v>17</v>
      </c>
      <c r="B18">
        <v>0.35417491096161458</v>
      </c>
      <c r="C18">
        <v>-8.8329337511861034E-2</v>
      </c>
      <c r="D18">
        <v>-0.11978729142672929</v>
      </c>
      <c r="E18">
        <v>-0.50797388221759432</v>
      </c>
      <c r="F18">
        <v>1.3720722974705351</v>
      </c>
      <c r="G18">
        <v>1.8</v>
      </c>
      <c r="H18">
        <v>4.75</v>
      </c>
      <c r="I18">
        <v>5.0999999999999996</v>
      </c>
      <c r="J18">
        <v>0.61034667271338849</v>
      </c>
      <c r="K18">
        <v>50</v>
      </c>
      <c r="L18">
        <v>-0.88617357887392112</v>
      </c>
      <c r="M18">
        <v>-1.161799202093847</v>
      </c>
      <c r="N18">
        <v>-8518.3427734375</v>
      </c>
      <c r="O18">
        <v>818.13553026289082</v>
      </c>
      <c r="P18">
        <f t="shared" si="1"/>
        <v>6.7070280077964766</v>
      </c>
      <c r="Q18">
        <v>116876.50432327013</v>
      </c>
      <c r="R18">
        <f t="shared" si="2"/>
        <v>11.668873137723301</v>
      </c>
      <c r="S18">
        <v>8</v>
      </c>
      <c r="T18">
        <v>643.08020299680004</v>
      </c>
      <c r="U18">
        <v>0.4681198540049335</v>
      </c>
      <c r="V18">
        <v>0.46151381437395178</v>
      </c>
      <c r="W18">
        <v>-1.4195515738308371</v>
      </c>
      <c r="X18">
        <v>-2.121190213800761</v>
      </c>
      <c r="Y18">
        <v>-0.81618382250552557</v>
      </c>
      <c r="Z18">
        <v>0.70044652882172964</v>
      </c>
      <c r="AA18">
        <v>5.6035722305738371</v>
      </c>
      <c r="AB18">
        <v>0.53499411888594683</v>
      </c>
      <c r="AC18">
        <v>0.6535777990920717</v>
      </c>
      <c r="AD18">
        <v>0.49458879259439747</v>
      </c>
      <c r="AE18">
        <v>93.403333353996274</v>
      </c>
      <c r="AF18">
        <v>28.268333403269448</v>
      </c>
      <c r="AG18">
        <v>19.5600000222524</v>
      </c>
      <c r="AH18">
        <v>105.81166666666667</v>
      </c>
      <c r="AI18">
        <v>0.76883333333333348</v>
      </c>
      <c r="AJ18">
        <v>26</v>
      </c>
      <c r="AK18">
        <v>0</v>
      </c>
      <c r="AL18" s="2">
        <v>7</v>
      </c>
      <c r="AM18">
        <v>0.86549707602340042</v>
      </c>
      <c r="AN18">
        <v>1.8857642807655579</v>
      </c>
      <c r="AO18">
        <v>98</v>
      </c>
      <c r="AP18" s="5">
        <v>0.89500000000000002</v>
      </c>
      <c r="AQ18" s="5">
        <f t="shared" si="3"/>
        <v>0.12785714285714286</v>
      </c>
      <c r="AR18" s="5">
        <v>7.5000000000000011E-2</v>
      </c>
      <c r="AS18">
        <v>11.933333333333332</v>
      </c>
    </row>
    <row r="19" spans="1:45" x14ac:dyDescent="0.3">
      <c r="A19" t="s">
        <v>18</v>
      </c>
      <c r="B19">
        <v>0.33657124893105722</v>
      </c>
      <c r="C19">
        <v>-0.19726175521130371</v>
      </c>
      <c r="D19">
        <v>3.0491901923098221E-2</v>
      </c>
      <c r="E19">
        <v>-0.1688208771837208</v>
      </c>
      <c r="F19">
        <v>1.2427983219200489</v>
      </c>
      <c r="G19">
        <v>1.55</v>
      </c>
      <c r="H19">
        <v>4.75</v>
      </c>
      <c r="I19">
        <v>4.9000000000000004</v>
      </c>
      <c r="J19">
        <v>0.76471122766517263</v>
      </c>
      <c r="K19">
        <v>68</v>
      </c>
      <c r="L19">
        <v>-0.85978718988239489</v>
      </c>
      <c r="M19">
        <v>1.695288648036988E-2</v>
      </c>
      <c r="N19">
        <v>-8518.3427734375</v>
      </c>
      <c r="O19">
        <v>411.53432835880227</v>
      </c>
      <c r="P19">
        <f t="shared" si="1"/>
        <v>6.0198924391377879</v>
      </c>
      <c r="Q19">
        <v>68589.054726467046</v>
      </c>
      <c r="R19">
        <f t="shared" si="2"/>
        <v>11.13588824889187</v>
      </c>
      <c r="S19">
        <v>6</v>
      </c>
      <c r="T19">
        <v>647.45457599680003</v>
      </c>
      <c r="U19">
        <v>0.32059276610497439</v>
      </c>
      <c r="V19">
        <v>0.42643899668712643</v>
      </c>
      <c r="W19">
        <v>0.64124534350344364</v>
      </c>
      <c r="X19">
        <v>0.60272108255755918</v>
      </c>
      <c r="Y19">
        <v>0.56166477663776948</v>
      </c>
      <c r="Z19">
        <v>0.85486705765345161</v>
      </c>
      <c r="AA19">
        <v>5.1292023459207101</v>
      </c>
      <c r="AB19">
        <v>0.38471131932850428</v>
      </c>
      <c r="AC19">
        <v>0.65387262780177324</v>
      </c>
      <c r="AD19">
        <v>0.69359494475105343</v>
      </c>
      <c r="AE19">
        <v>93.403333353996274</v>
      </c>
      <c r="AF19">
        <v>28.268333403269448</v>
      </c>
      <c r="AG19">
        <v>19.5600000222524</v>
      </c>
      <c r="AH19">
        <v>105.81166666666667</v>
      </c>
      <c r="AI19">
        <v>0.76883333333333348</v>
      </c>
      <c r="AJ19">
        <v>24</v>
      </c>
      <c r="AK19">
        <v>0</v>
      </c>
      <c r="AL19" s="2">
        <v>6</v>
      </c>
      <c r="AM19">
        <v>0.75789473684211028</v>
      </c>
      <c r="AN19">
        <v>1.495615780172503</v>
      </c>
      <c r="AO19">
        <v>98</v>
      </c>
      <c r="AP19" s="5">
        <v>1.0350000000000001</v>
      </c>
      <c r="AQ19" s="5">
        <f t="shared" si="3"/>
        <v>0.17250000000000001</v>
      </c>
      <c r="AR19" s="5">
        <v>7.4999999999999997E-2</v>
      </c>
      <c r="AS19">
        <v>13.800000000000002</v>
      </c>
    </row>
    <row r="20" spans="1:45" x14ac:dyDescent="0.3">
      <c r="A20" t="s">
        <v>19</v>
      </c>
      <c r="B20">
        <v>0.34239735394205389</v>
      </c>
      <c r="C20">
        <v>-0.24696365212731411</v>
      </c>
      <c r="D20">
        <v>9.9750779661118408E-2</v>
      </c>
      <c r="E20">
        <v>-0.1688208771837208</v>
      </c>
      <c r="F20">
        <v>1.2427983219200489</v>
      </c>
      <c r="G20">
        <v>1.55</v>
      </c>
      <c r="H20">
        <v>4.75</v>
      </c>
      <c r="I20">
        <v>4.9000000000000004</v>
      </c>
      <c r="J20">
        <v>0.98491208340406677</v>
      </c>
      <c r="K20">
        <v>68</v>
      </c>
      <c r="L20">
        <v>-0.85978718988239489</v>
      </c>
      <c r="M20">
        <v>1.695288648036988E-2</v>
      </c>
      <c r="N20">
        <v>-8518.3427734375</v>
      </c>
      <c r="O20">
        <v>496.69815808754919</v>
      </c>
      <c r="P20">
        <f t="shared" si="1"/>
        <v>6.2079825138067495</v>
      </c>
      <c r="Q20">
        <v>82783.026347924853</v>
      </c>
      <c r="R20">
        <f t="shared" si="2"/>
        <v>11.323978323560832</v>
      </c>
      <c r="S20">
        <v>3</v>
      </c>
      <c r="T20">
        <v>367.34270700000008</v>
      </c>
      <c r="U20">
        <v>6.2648456902011512E-2</v>
      </c>
      <c r="V20">
        <v>0.90939405771969217</v>
      </c>
      <c r="W20">
        <v>0.73187321430344432</v>
      </c>
      <c r="X20">
        <v>0.76311100379497021</v>
      </c>
      <c r="Y20">
        <v>0.87868778205481746</v>
      </c>
      <c r="Z20">
        <v>0.90093149114532822</v>
      </c>
      <c r="AA20">
        <v>2.702794473435985</v>
      </c>
      <c r="AB20">
        <v>9.3972685555501437E-2</v>
      </c>
      <c r="AC20">
        <v>0.80924301839425505</v>
      </c>
      <c r="AD20">
        <v>0.89146458670699613</v>
      </c>
      <c r="AE20">
        <v>93.403333353996274</v>
      </c>
      <c r="AF20">
        <v>28.268333403269448</v>
      </c>
      <c r="AG20">
        <v>19.5600000222524</v>
      </c>
      <c r="AH20">
        <v>105.81166666666667</v>
      </c>
      <c r="AI20">
        <v>0.76883333333333348</v>
      </c>
      <c r="AJ20">
        <v>24</v>
      </c>
      <c r="AK20">
        <v>0</v>
      </c>
      <c r="AL20" s="2">
        <v>6</v>
      </c>
      <c r="AM20">
        <v>0.5</v>
      </c>
      <c r="AN20">
        <v>0.63651416829481278</v>
      </c>
      <c r="AO20">
        <v>98</v>
      </c>
      <c r="AP20" s="5">
        <v>1.0350000000000001</v>
      </c>
      <c r="AQ20" s="5">
        <f t="shared" si="3"/>
        <v>0.17250000000000001</v>
      </c>
      <c r="AR20" s="5">
        <v>7.4999999999999997E-2</v>
      </c>
      <c r="AS20">
        <v>13.800000000000002</v>
      </c>
    </row>
    <row r="21" spans="1:45" x14ac:dyDescent="0.3">
      <c r="A21" t="s">
        <v>20</v>
      </c>
      <c r="B21">
        <v>0.41864381025939329</v>
      </c>
      <c r="C21">
        <v>-0.22520998907383061</v>
      </c>
      <c r="D21">
        <v>5.0665396938483133E-2</v>
      </c>
      <c r="E21">
        <v>-0.1688208771837208</v>
      </c>
      <c r="F21">
        <v>1.2427983219200489</v>
      </c>
      <c r="G21">
        <v>1.55</v>
      </c>
      <c r="H21">
        <v>4.75</v>
      </c>
      <c r="I21">
        <v>4.9000000000000004</v>
      </c>
      <c r="J21">
        <v>0.85966437362382897</v>
      </c>
      <c r="K21">
        <v>68</v>
      </c>
      <c r="L21">
        <v>-0.85978718988239489</v>
      </c>
      <c r="M21">
        <v>1.695288648036988E-2</v>
      </c>
      <c r="N21">
        <v>-8518.3427734375</v>
      </c>
      <c r="O21">
        <v>876.84019238407234</v>
      </c>
      <c r="P21">
        <f t="shared" si="1"/>
        <v>6.7763247549972343</v>
      </c>
      <c r="Q21">
        <v>146140.03206401205</v>
      </c>
      <c r="R21">
        <f t="shared" si="2"/>
        <v>11.892320564751316</v>
      </c>
      <c r="S21">
        <v>8</v>
      </c>
      <c r="T21">
        <v>790.07376799680014</v>
      </c>
      <c r="U21">
        <v>0.22393664454740639</v>
      </c>
      <c r="V21">
        <v>0.40220712059741093</v>
      </c>
      <c r="W21">
        <v>8.5663239938977093E-2</v>
      </c>
      <c r="X21">
        <v>0.47946269741213488</v>
      </c>
      <c r="Y21">
        <v>9.9675982043403565E-4</v>
      </c>
      <c r="Z21">
        <v>0.83985125806447081</v>
      </c>
      <c r="AA21">
        <v>6.7188100645157656</v>
      </c>
      <c r="AB21">
        <v>0.25592759379845031</v>
      </c>
      <c r="AC21">
        <v>0.68541525134316561</v>
      </c>
      <c r="AD21">
        <v>0.57758779008699279</v>
      </c>
      <c r="AE21">
        <v>93.403333353996274</v>
      </c>
      <c r="AF21">
        <v>28.268333403269448</v>
      </c>
      <c r="AG21">
        <v>19.5600000222524</v>
      </c>
      <c r="AH21">
        <v>105.81166666666667</v>
      </c>
      <c r="AI21">
        <v>0.76883333333333348</v>
      </c>
      <c r="AJ21">
        <v>24</v>
      </c>
      <c r="AK21">
        <v>0</v>
      </c>
      <c r="AL21" s="2">
        <v>6</v>
      </c>
      <c r="AM21">
        <v>0.81521739130435744</v>
      </c>
      <c r="AN21">
        <v>1.765943982579588</v>
      </c>
      <c r="AO21">
        <v>98</v>
      </c>
      <c r="AP21" s="5">
        <v>1.0350000000000001</v>
      </c>
      <c r="AQ21" s="5">
        <f t="shared" si="3"/>
        <v>0.17250000000000001</v>
      </c>
      <c r="AR21" s="5">
        <v>7.4999999999999997E-2</v>
      </c>
      <c r="AS21">
        <v>13.800000000000002</v>
      </c>
    </row>
    <row r="22" spans="1:45" x14ac:dyDescent="0.3">
      <c r="A22" t="s">
        <v>21</v>
      </c>
      <c r="B22">
        <v>0.26071846726982439</v>
      </c>
      <c r="C22">
        <v>0.20458191931367189</v>
      </c>
      <c r="D22">
        <v>-8.1858105283255343E-3</v>
      </c>
      <c r="E22">
        <v>-0.1688208771837208</v>
      </c>
      <c r="F22">
        <v>1.2427983219200489</v>
      </c>
      <c r="G22">
        <v>1.55</v>
      </c>
      <c r="H22">
        <v>4.75</v>
      </c>
      <c r="I22">
        <v>4.9000000000000004</v>
      </c>
      <c r="J22">
        <v>0.39449021221746111</v>
      </c>
      <c r="K22">
        <v>68</v>
      </c>
      <c r="L22">
        <v>-0.85978718988239489</v>
      </c>
      <c r="M22">
        <v>1.695288648036988E-2</v>
      </c>
      <c r="N22">
        <v>-8518.3427734375</v>
      </c>
      <c r="O22">
        <v>309.48829966732933</v>
      </c>
      <c r="P22">
        <f t="shared" si="1"/>
        <v>5.7349202874272818</v>
      </c>
      <c r="Q22">
        <v>51581.383277888213</v>
      </c>
      <c r="R22">
        <f t="shared" si="2"/>
        <v>10.850916097181363</v>
      </c>
      <c r="S22">
        <v>11</v>
      </c>
      <c r="T22">
        <v>781.54033199680009</v>
      </c>
      <c r="U22">
        <v>0.64981732960474947</v>
      </c>
      <c r="V22">
        <v>0.28512303300300063</v>
      </c>
      <c r="W22">
        <v>-2.374875635250036</v>
      </c>
      <c r="X22">
        <v>-0.54808530453511628</v>
      </c>
      <c r="Y22">
        <v>-2.646092112542946</v>
      </c>
      <c r="Z22">
        <v>0.79030538659796101</v>
      </c>
      <c r="AA22">
        <v>8.6933592525775705</v>
      </c>
      <c r="AB22">
        <v>0.71479906332054954</v>
      </c>
      <c r="AC22">
        <v>0.76019645037588501</v>
      </c>
      <c r="AD22">
        <v>0.30900573966942829</v>
      </c>
      <c r="AE22">
        <v>93.403333353996274</v>
      </c>
      <c r="AF22">
        <v>28.268333403269448</v>
      </c>
      <c r="AG22">
        <v>19.5600000222524</v>
      </c>
      <c r="AH22">
        <v>105.81166666666667</v>
      </c>
      <c r="AI22">
        <v>0.76883333333333348</v>
      </c>
      <c r="AJ22">
        <v>24</v>
      </c>
      <c r="AK22">
        <v>0</v>
      </c>
      <c r="AL22" s="2">
        <v>6</v>
      </c>
      <c r="AM22">
        <v>0.93684210526316702</v>
      </c>
      <c r="AN22">
        <v>2.2502602786175911</v>
      </c>
      <c r="AO22">
        <v>98</v>
      </c>
      <c r="AP22" s="5">
        <v>1.0350000000000001</v>
      </c>
      <c r="AQ22" s="5">
        <f t="shared" si="3"/>
        <v>0.17250000000000001</v>
      </c>
      <c r="AR22" s="5">
        <v>7.4999999999999997E-2</v>
      </c>
      <c r="AS22">
        <v>13.800000000000002</v>
      </c>
    </row>
    <row r="23" spans="1:45" x14ac:dyDescent="0.3">
      <c r="A23" t="s">
        <v>22</v>
      </c>
      <c r="B23">
        <v>0.4571879063386266</v>
      </c>
      <c r="C23">
        <v>-0.25284887028867692</v>
      </c>
      <c r="D23">
        <v>0.1052999314493635</v>
      </c>
      <c r="E23">
        <v>-0.1688208771837208</v>
      </c>
      <c r="F23">
        <v>1.2427983219200489</v>
      </c>
      <c r="G23">
        <v>1.55</v>
      </c>
      <c r="H23">
        <v>4.75</v>
      </c>
      <c r="I23">
        <v>4.9000000000000004</v>
      </c>
      <c r="J23">
        <v>0.98441087377078573</v>
      </c>
      <c r="K23">
        <v>68</v>
      </c>
      <c r="L23">
        <v>-0.85978718988239489</v>
      </c>
      <c r="M23">
        <v>1.695288648036988E-2</v>
      </c>
      <c r="N23">
        <v>-8518.3427734375</v>
      </c>
      <c r="O23">
        <v>669.23317372104327</v>
      </c>
      <c r="P23">
        <f t="shared" si="1"/>
        <v>6.5061325400911851</v>
      </c>
      <c r="Q23">
        <v>111538.86228684059</v>
      </c>
      <c r="R23">
        <f t="shared" si="2"/>
        <v>11.622128349845267</v>
      </c>
      <c r="S23">
        <v>7</v>
      </c>
      <c r="T23">
        <v>572.83748400000025</v>
      </c>
      <c r="U23">
        <v>0.12536132963002569</v>
      </c>
      <c r="V23">
        <v>0.2103492781326603</v>
      </c>
      <c r="W23">
        <v>-1.613038026736634</v>
      </c>
      <c r="X23">
        <v>-0.86084866610320399</v>
      </c>
      <c r="Y23">
        <v>-1.7619434507210241</v>
      </c>
      <c r="Z23">
        <v>0.76498575787131828</v>
      </c>
      <c r="AA23">
        <v>5.3549003050992283</v>
      </c>
      <c r="AB23">
        <v>0.14625488459738489</v>
      </c>
      <c r="AC23">
        <v>0.54655389051227987</v>
      </c>
      <c r="AD23">
        <v>0.40551034059959068</v>
      </c>
      <c r="AE23">
        <v>93.403333353996274</v>
      </c>
      <c r="AF23">
        <v>28.268333403269448</v>
      </c>
      <c r="AG23">
        <v>19.5600000222524</v>
      </c>
      <c r="AH23">
        <v>105.81166666666667</v>
      </c>
      <c r="AI23">
        <v>0.76883333333333348</v>
      </c>
      <c r="AJ23">
        <v>24</v>
      </c>
      <c r="AK23">
        <v>0</v>
      </c>
      <c r="AL23" s="2">
        <v>6</v>
      </c>
      <c r="AM23">
        <v>0.78571428571428781</v>
      </c>
      <c r="AN23">
        <v>1.640756641348889</v>
      </c>
      <c r="AO23">
        <v>98</v>
      </c>
      <c r="AP23" s="5">
        <v>1.0350000000000001</v>
      </c>
      <c r="AQ23" s="5">
        <f t="shared" si="3"/>
        <v>0.17250000000000001</v>
      </c>
      <c r="AR23" s="5">
        <v>7.4999999999999997E-2</v>
      </c>
      <c r="AS23">
        <v>13.800000000000002</v>
      </c>
    </row>
    <row r="24" spans="1:45" x14ac:dyDescent="0.3">
      <c r="A24" t="s">
        <v>23</v>
      </c>
      <c r="B24">
        <v>0.25004168894869089</v>
      </c>
      <c r="C24">
        <v>0.15105795967652089</v>
      </c>
      <c r="D24">
        <v>-0.1172556985926779</v>
      </c>
      <c r="E24">
        <v>-0.17415771238193689</v>
      </c>
      <c r="F24">
        <v>1.235563766502551</v>
      </c>
      <c r="G24">
        <v>1.5</v>
      </c>
      <c r="H24">
        <v>4.8</v>
      </c>
      <c r="I24">
        <v>4.95</v>
      </c>
      <c r="J24">
        <v>0.31082853925319232</v>
      </c>
      <c r="K24">
        <v>71</v>
      </c>
      <c r="L24">
        <v>-1.4048386997005169</v>
      </c>
      <c r="M24">
        <v>5.3765199077075283E-2</v>
      </c>
      <c r="N24">
        <v>-8572.9596354166661</v>
      </c>
      <c r="O24">
        <v>301.78353449227149</v>
      </c>
      <c r="P24">
        <f t="shared" si="1"/>
        <v>5.7097099871657404</v>
      </c>
      <c r="Q24">
        <v>43111.933498895924</v>
      </c>
      <c r="R24">
        <f t="shared" si="2"/>
        <v>10.671555117092565</v>
      </c>
      <c r="S24">
        <v>10</v>
      </c>
      <c r="T24">
        <v>1010.267798</v>
      </c>
      <c r="U24">
        <v>0.6674577087109248</v>
      </c>
      <c r="V24">
        <v>0.5175596017492492</v>
      </c>
      <c r="W24">
        <v>0.96544790866587726</v>
      </c>
      <c r="X24">
        <v>0.79301841583301969</v>
      </c>
      <c r="Y24">
        <v>0.84998819261500658</v>
      </c>
      <c r="Z24">
        <v>0.8489739719411481</v>
      </c>
      <c r="AA24">
        <v>8.4897397194114816</v>
      </c>
      <c r="AB24">
        <v>0.74161967831027187</v>
      </c>
      <c r="AC24">
        <v>0.7985983151527497</v>
      </c>
      <c r="AD24">
        <v>0.62025006687561413</v>
      </c>
      <c r="AE24">
        <v>93.403333353996274</v>
      </c>
      <c r="AF24">
        <v>28.268333403269448</v>
      </c>
      <c r="AG24">
        <v>19.5600000222524</v>
      </c>
      <c r="AH24">
        <v>105.81166666666667</v>
      </c>
      <c r="AI24">
        <v>0.76883333333333348</v>
      </c>
      <c r="AJ24">
        <v>21</v>
      </c>
      <c r="AK24">
        <v>0</v>
      </c>
      <c r="AL24" s="2">
        <v>7</v>
      </c>
      <c r="AM24">
        <v>0.92397660818714433</v>
      </c>
      <c r="AN24">
        <v>2.1872709920631008</v>
      </c>
      <c r="AO24">
        <v>98</v>
      </c>
      <c r="AP24" s="5">
        <v>0.98499999999999999</v>
      </c>
      <c r="AQ24" s="5">
        <f t="shared" si="3"/>
        <v>0.14071428571428571</v>
      </c>
      <c r="AR24" s="5">
        <v>7.4999999999999997E-2</v>
      </c>
      <c r="AS24">
        <v>13.133333333333333</v>
      </c>
    </row>
    <row r="25" spans="1:45" x14ac:dyDescent="0.3">
      <c r="A25" t="s">
        <v>24</v>
      </c>
      <c r="B25">
        <v>0.405744814668906</v>
      </c>
      <c r="C25">
        <v>-4.9317438712649563E-2</v>
      </c>
      <c r="D25">
        <v>-0.10313943891745531</v>
      </c>
      <c r="E25">
        <v>-0.17415771238193689</v>
      </c>
      <c r="F25">
        <v>1.235563766502551</v>
      </c>
      <c r="G25">
        <v>1.5</v>
      </c>
      <c r="H25">
        <v>4.8</v>
      </c>
      <c r="I25">
        <v>4.95</v>
      </c>
      <c r="J25">
        <v>0.67270175771739149</v>
      </c>
      <c r="K25">
        <v>71</v>
      </c>
      <c r="L25">
        <v>-1.4048386997005169</v>
      </c>
      <c r="M25">
        <v>5.3765199077075283E-2</v>
      </c>
      <c r="N25">
        <v>-8572.9596354166661</v>
      </c>
      <c r="O25">
        <v>349.12156083816785</v>
      </c>
      <c r="P25">
        <f t="shared" si="1"/>
        <v>5.8554201734131492</v>
      </c>
      <c r="Q25">
        <v>49874.50869116684</v>
      </c>
      <c r="R25">
        <f t="shared" si="2"/>
        <v>10.817265303339973</v>
      </c>
      <c r="S25">
        <v>11</v>
      </c>
      <c r="T25">
        <v>1015.368419</v>
      </c>
      <c r="U25">
        <v>0.48499558852400693</v>
      </c>
      <c r="V25">
        <v>0.45351246173310178</v>
      </c>
      <c r="W25">
        <v>0.37507970232756621</v>
      </c>
      <c r="X25">
        <v>4.4942374517044373E-2</v>
      </c>
      <c r="Y25">
        <v>0.30235797630927819</v>
      </c>
      <c r="Z25">
        <v>0.81157983767830966</v>
      </c>
      <c r="AA25">
        <v>8.927378214461406</v>
      </c>
      <c r="AB25">
        <v>0.53349514951267651</v>
      </c>
      <c r="AC25">
        <v>0.79793721338304924</v>
      </c>
      <c r="AD25">
        <v>0.55513131415024164</v>
      </c>
      <c r="AE25">
        <v>93.403333353996274</v>
      </c>
      <c r="AF25">
        <v>28.268333403269448</v>
      </c>
      <c r="AG25">
        <v>19.5600000222524</v>
      </c>
      <c r="AH25">
        <v>105.81166666666667</v>
      </c>
      <c r="AI25">
        <v>0.76883333333333348</v>
      </c>
      <c r="AJ25">
        <v>21</v>
      </c>
      <c r="AK25">
        <v>0</v>
      </c>
      <c r="AL25" s="2">
        <v>7</v>
      </c>
      <c r="AM25">
        <v>0.93382352941176294</v>
      </c>
      <c r="AN25">
        <v>2.26238625418332</v>
      </c>
      <c r="AO25">
        <v>98</v>
      </c>
      <c r="AP25" s="5">
        <v>0.98499999999999999</v>
      </c>
      <c r="AQ25" s="5">
        <f t="shared" si="3"/>
        <v>0.14071428571428571</v>
      </c>
      <c r="AR25" s="5">
        <v>7.4999999999999997E-2</v>
      </c>
      <c r="AS25">
        <v>13.133333333333333</v>
      </c>
    </row>
    <row r="26" spans="1:45" x14ac:dyDescent="0.3">
      <c r="A26" t="s">
        <v>25</v>
      </c>
      <c r="B26">
        <v>0.224930920759426</v>
      </c>
      <c r="C26">
        <v>3.3231885735638747E-2</v>
      </c>
      <c r="D26">
        <v>3.7582212169808477E-2</v>
      </c>
      <c r="E26">
        <v>-0.17415771238193689</v>
      </c>
      <c r="F26">
        <v>1.235563766502551</v>
      </c>
      <c r="G26">
        <v>1.5</v>
      </c>
      <c r="H26">
        <v>4.8</v>
      </c>
      <c r="I26">
        <v>4.95</v>
      </c>
      <c r="J26">
        <v>0.62365732299854626</v>
      </c>
      <c r="K26">
        <v>71</v>
      </c>
      <c r="L26">
        <v>-1.4048386997005169</v>
      </c>
      <c r="M26">
        <v>5.3765199077075283E-2</v>
      </c>
      <c r="N26">
        <v>-8572.9596354166661</v>
      </c>
      <c r="O26">
        <v>140.69452871921783</v>
      </c>
      <c r="P26">
        <f t="shared" si="1"/>
        <v>4.9465910772179731</v>
      </c>
      <c r="Q26">
        <v>20099.218388459685</v>
      </c>
      <c r="R26">
        <f t="shared" si="2"/>
        <v>9.9084362071447973</v>
      </c>
      <c r="S26">
        <v>4</v>
      </c>
      <c r="T26">
        <v>418.04255500000011</v>
      </c>
      <c r="U26">
        <v>0.51974438966617365</v>
      </c>
      <c r="V26">
        <v>0.56457866647568555</v>
      </c>
      <c r="W26">
        <v>-0.1887882165700456</v>
      </c>
      <c r="X26">
        <v>1.7501356917373999E-2</v>
      </c>
      <c r="Y26">
        <v>-0.51365736361731595</v>
      </c>
      <c r="Z26">
        <v>0.81610418742521773</v>
      </c>
      <c r="AA26">
        <v>3.2644167497008709</v>
      </c>
      <c r="AB26">
        <v>0.69299252149720103</v>
      </c>
      <c r="AC26">
        <v>0.80691181850695326</v>
      </c>
      <c r="AD26">
        <v>0.62751577121820934</v>
      </c>
      <c r="AE26">
        <v>93.403333353996274</v>
      </c>
      <c r="AF26">
        <v>28.268333403269448</v>
      </c>
      <c r="AG26">
        <v>19.5600000222524</v>
      </c>
      <c r="AH26">
        <v>105.81166666666667</v>
      </c>
      <c r="AI26">
        <v>0.76883333333333348</v>
      </c>
      <c r="AJ26">
        <v>21</v>
      </c>
      <c r="AK26">
        <v>0</v>
      </c>
      <c r="AL26" s="2">
        <v>7</v>
      </c>
      <c r="AM26">
        <v>0.75641025641025483</v>
      </c>
      <c r="AN26">
        <v>1.2658567518727371</v>
      </c>
      <c r="AO26">
        <v>98</v>
      </c>
      <c r="AP26" s="5">
        <v>0.98499999999999999</v>
      </c>
      <c r="AQ26" s="5">
        <f t="shared" si="3"/>
        <v>0.14071428571428571</v>
      </c>
      <c r="AR26" s="5">
        <v>7.4999999999999997E-2</v>
      </c>
      <c r="AS26">
        <v>13.133333333333333</v>
      </c>
    </row>
    <row r="27" spans="1:45" x14ac:dyDescent="0.3">
      <c r="A27" t="s">
        <v>26</v>
      </c>
      <c r="B27">
        <v>0.28639547012367761</v>
      </c>
      <c r="C27">
        <v>-7.844633003305522E-2</v>
      </c>
      <c r="D27">
        <v>-0.12539554000037981</v>
      </c>
      <c r="E27">
        <v>-0.17415771238193689</v>
      </c>
      <c r="F27">
        <v>1.235563766502551</v>
      </c>
      <c r="G27">
        <v>1.5</v>
      </c>
      <c r="H27">
        <v>4.8</v>
      </c>
      <c r="I27">
        <v>4.95</v>
      </c>
      <c r="J27">
        <v>0.60109132538331922</v>
      </c>
      <c r="K27">
        <v>71</v>
      </c>
      <c r="L27">
        <v>-1.4048386997005169</v>
      </c>
      <c r="M27">
        <v>5.3765199077075283E-2</v>
      </c>
      <c r="N27">
        <v>-8572.9596354166661</v>
      </c>
      <c r="O27">
        <v>221.88626904742586</v>
      </c>
      <c r="P27">
        <f t="shared" si="1"/>
        <v>5.4021649490128132</v>
      </c>
      <c r="Q27">
        <v>31698.038435346545</v>
      </c>
      <c r="R27">
        <f t="shared" si="2"/>
        <v>10.364010078939637</v>
      </c>
      <c r="S27">
        <v>6</v>
      </c>
      <c r="T27">
        <v>499.13517399680012</v>
      </c>
      <c r="U27">
        <v>0.48510895389542491</v>
      </c>
      <c r="V27">
        <v>0.45218508969095061</v>
      </c>
      <c r="W27">
        <v>-1.6242407992773991</v>
      </c>
      <c r="X27">
        <v>-1.8647544762695261</v>
      </c>
      <c r="Y27">
        <v>-1.1370740162314721</v>
      </c>
      <c r="Z27">
        <v>0.6910608651652832</v>
      </c>
      <c r="AA27">
        <v>4.1463651909916992</v>
      </c>
      <c r="AB27">
        <v>0.58213074528816833</v>
      </c>
      <c r="AC27">
        <v>0.59141756875012685</v>
      </c>
      <c r="AD27">
        <v>0.48816561404127351</v>
      </c>
      <c r="AE27">
        <v>93.403333353996274</v>
      </c>
      <c r="AF27">
        <v>28.268333403269448</v>
      </c>
      <c r="AG27">
        <v>19.5600000222524</v>
      </c>
      <c r="AH27">
        <v>105.81166666666667</v>
      </c>
      <c r="AI27">
        <v>0.76883333333333348</v>
      </c>
      <c r="AJ27">
        <v>21</v>
      </c>
      <c r="AK27">
        <v>0</v>
      </c>
      <c r="AL27" s="2">
        <v>7</v>
      </c>
      <c r="AM27">
        <v>0.8571428571428632</v>
      </c>
      <c r="AN27">
        <v>1.679204331602707</v>
      </c>
      <c r="AO27">
        <v>98</v>
      </c>
      <c r="AP27" s="5">
        <v>0.98499999999999999</v>
      </c>
      <c r="AQ27" s="5">
        <f t="shared" si="3"/>
        <v>0.14071428571428571</v>
      </c>
      <c r="AR27" s="5">
        <v>7.4999999999999997E-2</v>
      </c>
      <c r="AS27">
        <v>13.133333333333333</v>
      </c>
    </row>
    <row r="28" spans="1:45" x14ac:dyDescent="0.3">
      <c r="A28" t="s">
        <v>27</v>
      </c>
      <c r="B28">
        <v>0.29561410428334778</v>
      </c>
      <c r="C28">
        <v>6.0596271878584343E-3</v>
      </c>
      <c r="D28">
        <v>-0.1549841165462307</v>
      </c>
      <c r="E28">
        <v>-0.17415771238193689</v>
      </c>
      <c r="F28">
        <v>1.235563766502551</v>
      </c>
      <c r="G28">
        <v>1.5</v>
      </c>
      <c r="H28">
        <v>4.8</v>
      </c>
      <c r="I28">
        <v>4.95</v>
      </c>
      <c r="J28">
        <v>0.50751513726766673</v>
      </c>
      <c r="K28">
        <v>71</v>
      </c>
      <c r="L28">
        <v>-1.4048386997005169</v>
      </c>
      <c r="M28">
        <v>5.3765199077075283E-2</v>
      </c>
      <c r="N28">
        <v>-8572.9596354166661</v>
      </c>
      <c r="O28">
        <v>408.59499529189827</v>
      </c>
      <c r="P28">
        <f t="shared" si="1"/>
        <v>6.0127244338794785</v>
      </c>
      <c r="Q28">
        <v>58370.713613128326</v>
      </c>
      <c r="R28">
        <f t="shared" si="2"/>
        <v>10.974569563806302</v>
      </c>
      <c r="S28">
        <v>6</v>
      </c>
      <c r="T28">
        <v>550.0618559968002</v>
      </c>
      <c r="U28">
        <v>0.50179648248034503</v>
      </c>
      <c r="V28">
        <v>0.58159793742059673</v>
      </c>
      <c r="W28">
        <v>-0.90373261179915476</v>
      </c>
      <c r="X28">
        <v>-0.73552763993265269</v>
      </c>
      <c r="Y28">
        <v>-0.66217688711494749</v>
      </c>
      <c r="Z28">
        <v>0.764842551347933</v>
      </c>
      <c r="AA28">
        <v>4.5890553080875982</v>
      </c>
      <c r="AB28">
        <v>0.60215578083010746</v>
      </c>
      <c r="AC28">
        <v>0.68633223865773552</v>
      </c>
      <c r="AD28">
        <v>0.54429382831193807</v>
      </c>
      <c r="AE28">
        <v>93.403333353996274</v>
      </c>
      <c r="AF28">
        <v>28.268333403269448</v>
      </c>
      <c r="AG28">
        <v>19.5600000222524</v>
      </c>
      <c r="AH28">
        <v>105.81166666666667</v>
      </c>
      <c r="AI28">
        <v>0.76883333333333348</v>
      </c>
      <c r="AJ28">
        <v>21</v>
      </c>
      <c r="AK28">
        <v>0</v>
      </c>
      <c r="AL28" s="2">
        <v>7</v>
      </c>
      <c r="AM28">
        <v>0.84615384615384004</v>
      </c>
      <c r="AN28">
        <v>1.648847071672479</v>
      </c>
      <c r="AO28">
        <v>98</v>
      </c>
      <c r="AP28" s="5">
        <v>0.98499999999999999</v>
      </c>
      <c r="AQ28" s="5">
        <f t="shared" si="3"/>
        <v>0.14071428571428571</v>
      </c>
      <c r="AR28" s="5">
        <v>7.4999999999999997E-2</v>
      </c>
      <c r="AS28">
        <v>13.133333333333333</v>
      </c>
    </row>
    <row r="29" spans="1:45" x14ac:dyDescent="0.3">
      <c r="A29" t="s">
        <v>28</v>
      </c>
      <c r="B29">
        <v>0.39205955334987602</v>
      </c>
      <c r="C29">
        <v>9.7720655885613197E-2</v>
      </c>
      <c r="D29">
        <v>-0.14448762637934881</v>
      </c>
      <c r="E29">
        <v>0.37500150656210163</v>
      </c>
      <c r="F29">
        <v>0.96710208810769838</v>
      </c>
      <c r="G29">
        <v>1.1000000000000001</v>
      </c>
      <c r="H29">
        <v>4.9000000000000004</v>
      </c>
      <c r="I29">
        <v>4.8499999999999996</v>
      </c>
      <c r="J29">
        <v>0.47187672598415009</v>
      </c>
      <c r="K29">
        <v>60</v>
      </c>
      <c r="L29">
        <v>-1.170241966634985</v>
      </c>
      <c r="M29">
        <v>-0.35737355870030479</v>
      </c>
      <c r="N29">
        <v>-8572.9596354166697</v>
      </c>
      <c r="O29">
        <v>264.43211645097165</v>
      </c>
      <c r="P29">
        <f t="shared" si="1"/>
        <v>5.5775845697799147</v>
      </c>
      <c r="Q29">
        <v>52886.423290194332</v>
      </c>
      <c r="R29">
        <f t="shared" si="2"/>
        <v>10.875901936327951</v>
      </c>
      <c r="S29">
        <v>11</v>
      </c>
      <c r="T29">
        <v>840.12279000000012</v>
      </c>
      <c r="U29">
        <v>0.63220182327235441</v>
      </c>
      <c r="V29">
        <v>0.33577069035678869</v>
      </c>
      <c r="W29">
        <v>-1.597429845752272</v>
      </c>
      <c r="X29">
        <v>-0.21978772083608841</v>
      </c>
      <c r="Y29">
        <v>-2.3332804663600539</v>
      </c>
      <c r="Z29">
        <v>0.80463420523027041</v>
      </c>
      <c r="AA29">
        <v>8.8509762575329738</v>
      </c>
      <c r="AB29">
        <v>0.69542200653187503</v>
      </c>
      <c r="AC29">
        <v>0.79317466926171798</v>
      </c>
      <c r="AD29">
        <v>0.33103050492955682</v>
      </c>
      <c r="AE29">
        <v>93.403333353996274</v>
      </c>
      <c r="AF29">
        <v>28.268333403269448</v>
      </c>
      <c r="AG29">
        <v>19.5600000222524</v>
      </c>
      <c r="AH29">
        <v>105.81166666666667</v>
      </c>
      <c r="AI29">
        <v>0.76883333333333348</v>
      </c>
      <c r="AJ29">
        <v>25</v>
      </c>
      <c r="AK29">
        <v>0</v>
      </c>
      <c r="AL29" s="2">
        <v>5</v>
      </c>
      <c r="AM29">
        <v>0.96153846153845679</v>
      </c>
      <c r="AN29">
        <v>2.311423444691973</v>
      </c>
      <c r="AO29">
        <v>98</v>
      </c>
      <c r="AP29" s="5">
        <v>1.1200000000000001</v>
      </c>
      <c r="AQ29" s="5">
        <f t="shared" si="3"/>
        <v>0.22400000000000003</v>
      </c>
      <c r="AR29" s="5">
        <v>0.09</v>
      </c>
      <c r="AS29">
        <v>12.444444444444446</v>
      </c>
    </row>
    <row r="30" spans="1:45" x14ac:dyDescent="0.3">
      <c r="A30" t="s">
        <v>29</v>
      </c>
      <c r="B30">
        <v>0.40132393867734828</v>
      </c>
      <c r="C30">
        <v>-0.1789386186541034</v>
      </c>
      <c r="D30">
        <v>1.378465090681693E-2</v>
      </c>
      <c r="E30">
        <v>0.37500150656210163</v>
      </c>
      <c r="F30">
        <v>0.96710208810769838</v>
      </c>
      <c r="G30">
        <v>1.1000000000000001</v>
      </c>
      <c r="H30">
        <v>4.9000000000000004</v>
      </c>
      <c r="I30">
        <v>4.8499999999999996</v>
      </c>
      <c r="J30">
        <v>0.81173433952100515</v>
      </c>
      <c r="K30">
        <v>60</v>
      </c>
      <c r="L30">
        <v>-1.170241966634985</v>
      </c>
      <c r="M30">
        <v>-0.35737355870030479</v>
      </c>
      <c r="N30">
        <v>-8572.9596354166697</v>
      </c>
      <c r="O30">
        <v>562.80688683719416</v>
      </c>
      <c r="P30">
        <f t="shared" si="1"/>
        <v>6.3329365619052274</v>
      </c>
      <c r="Q30">
        <v>112561.37736743881</v>
      </c>
      <c r="R30">
        <f t="shared" si="2"/>
        <v>11.631253928453264</v>
      </c>
      <c r="S30">
        <v>8</v>
      </c>
      <c r="T30">
        <v>679.65950699680013</v>
      </c>
      <c r="U30">
        <v>0.346397164828119</v>
      </c>
      <c r="V30">
        <v>0.2276814229665107</v>
      </c>
      <c r="W30">
        <v>-1.0200994978699911</v>
      </c>
      <c r="X30">
        <v>-0.49825730606869362</v>
      </c>
      <c r="Y30">
        <v>-1.446970374892848</v>
      </c>
      <c r="Z30">
        <v>0.78543284073803654</v>
      </c>
      <c r="AA30">
        <v>6.2834627259042923</v>
      </c>
      <c r="AB30">
        <v>0.39588247452589909</v>
      </c>
      <c r="AC30">
        <v>0.75947330971797777</v>
      </c>
      <c r="AD30">
        <v>0.4338945791121892</v>
      </c>
      <c r="AE30">
        <v>93.403333353996274</v>
      </c>
      <c r="AF30">
        <v>28.268333403269448</v>
      </c>
      <c r="AG30">
        <v>19.5600000222524</v>
      </c>
      <c r="AH30">
        <v>105.81166666666667</v>
      </c>
      <c r="AI30">
        <v>0.76883333333333348</v>
      </c>
      <c r="AJ30">
        <v>25</v>
      </c>
      <c r="AK30">
        <v>0</v>
      </c>
      <c r="AL30" s="2">
        <v>5</v>
      </c>
      <c r="AM30">
        <v>0.88235294117647589</v>
      </c>
      <c r="AN30">
        <v>1.923068868095112</v>
      </c>
      <c r="AO30">
        <v>98</v>
      </c>
      <c r="AP30" s="5">
        <v>1.1200000000000001</v>
      </c>
      <c r="AQ30" s="5">
        <f t="shared" si="3"/>
        <v>0.22400000000000003</v>
      </c>
      <c r="AR30" s="5">
        <v>0.09</v>
      </c>
      <c r="AS30">
        <v>12.444444444444446</v>
      </c>
    </row>
    <row r="31" spans="1:45" x14ac:dyDescent="0.3">
      <c r="A31" t="s">
        <v>30</v>
      </c>
      <c r="B31">
        <v>0.35787265917603012</v>
      </c>
      <c r="C31">
        <v>-4.3530243930425358E-2</v>
      </c>
      <c r="D31">
        <v>-0.13699843970139949</v>
      </c>
      <c r="E31">
        <v>0.37500150656210163</v>
      </c>
      <c r="F31">
        <v>0.96710208810769838</v>
      </c>
      <c r="G31">
        <v>1.1000000000000001</v>
      </c>
      <c r="H31">
        <v>4.9000000000000004</v>
      </c>
      <c r="I31">
        <v>4.8499999999999996</v>
      </c>
      <c r="J31">
        <v>0.55769261503203515</v>
      </c>
      <c r="K31">
        <v>60</v>
      </c>
      <c r="L31">
        <v>-1.170241966634985</v>
      </c>
      <c r="M31">
        <v>-0.35737355870030479</v>
      </c>
      <c r="N31">
        <v>-8572.9596354166697</v>
      </c>
      <c r="O31">
        <v>335.30467496653017</v>
      </c>
      <c r="P31">
        <f t="shared" si="1"/>
        <v>5.815039596013011</v>
      </c>
      <c r="Q31">
        <v>67060.934993306029</v>
      </c>
      <c r="R31">
        <f t="shared" si="2"/>
        <v>11.113356962561047</v>
      </c>
      <c r="S31">
        <v>11</v>
      </c>
      <c r="T31">
        <v>915.58771099680007</v>
      </c>
      <c r="U31">
        <v>0.49605820545820078</v>
      </c>
      <c r="V31">
        <v>0.48100255506973749</v>
      </c>
      <c r="W31">
        <v>-0.71295921232421422</v>
      </c>
      <c r="X31">
        <v>-0.79360176097473423</v>
      </c>
      <c r="Y31">
        <v>-0.41993530941049151</v>
      </c>
      <c r="Z31">
        <v>0.78015208937178682</v>
      </c>
      <c r="AA31">
        <v>8.5816729830896552</v>
      </c>
      <c r="AB31">
        <v>0.54566402657811486</v>
      </c>
      <c r="AC31">
        <v>0.7531523503306583</v>
      </c>
      <c r="AD31">
        <v>0.49696177378398021</v>
      </c>
      <c r="AE31">
        <v>93.403333353996274</v>
      </c>
      <c r="AF31">
        <v>28.268333403269448</v>
      </c>
      <c r="AG31">
        <v>19.5600000222524</v>
      </c>
      <c r="AH31">
        <v>105.81166666666667</v>
      </c>
      <c r="AI31">
        <v>0.76883333333333348</v>
      </c>
      <c r="AJ31">
        <v>25</v>
      </c>
      <c r="AK31">
        <v>0</v>
      </c>
      <c r="AL31" s="2">
        <v>5</v>
      </c>
      <c r="AM31">
        <v>0.94285714285716482</v>
      </c>
      <c r="AN31">
        <v>2.2686052856349659</v>
      </c>
      <c r="AO31">
        <v>98</v>
      </c>
      <c r="AP31" s="5">
        <v>1.1200000000000001</v>
      </c>
      <c r="AQ31" s="5">
        <f t="shared" si="3"/>
        <v>0.22400000000000003</v>
      </c>
      <c r="AR31" s="5">
        <v>0.09</v>
      </c>
      <c r="AS31">
        <v>12.444444444444446</v>
      </c>
    </row>
    <row r="32" spans="1:45" x14ac:dyDescent="0.3">
      <c r="A32" t="s">
        <v>31</v>
      </c>
      <c r="B32">
        <v>0.24315834032661729</v>
      </c>
      <c r="C32">
        <v>0.1133458007695486</v>
      </c>
      <c r="D32">
        <v>-4.6331357098913029E-3</v>
      </c>
      <c r="E32">
        <v>0.37500150656210163</v>
      </c>
      <c r="F32">
        <v>0.96710208810769838</v>
      </c>
      <c r="G32">
        <v>1.1000000000000001</v>
      </c>
      <c r="H32">
        <v>4.9000000000000004</v>
      </c>
      <c r="I32">
        <v>4.8499999999999996</v>
      </c>
      <c r="J32">
        <v>0.51731721879857995</v>
      </c>
      <c r="K32">
        <v>60</v>
      </c>
      <c r="L32">
        <v>-1.170241966634985</v>
      </c>
      <c r="M32">
        <v>-0.35737355870030479</v>
      </c>
      <c r="N32">
        <v>-8572.9596354166697</v>
      </c>
      <c r="O32">
        <v>244.88343712523834</v>
      </c>
      <c r="P32">
        <f t="shared" si="1"/>
        <v>5.5007823304960137</v>
      </c>
      <c r="Q32">
        <v>48976.687425047661</v>
      </c>
      <c r="R32">
        <f t="shared" si="2"/>
        <v>10.799099697044051</v>
      </c>
      <c r="S32">
        <v>9</v>
      </c>
      <c r="T32">
        <v>806.3256829968002</v>
      </c>
      <c r="U32">
        <v>0.6280418878825299</v>
      </c>
      <c r="V32">
        <v>0.39873764048183558</v>
      </c>
      <c r="W32">
        <v>-0.49105081773069792</v>
      </c>
      <c r="X32">
        <v>0.34902444458233772</v>
      </c>
      <c r="Y32">
        <v>-1.1017317975343259</v>
      </c>
      <c r="Z32">
        <v>0.83217949615152775</v>
      </c>
      <c r="AA32">
        <v>7.4896154653637499</v>
      </c>
      <c r="AB32">
        <v>0.70654712595652158</v>
      </c>
      <c r="AC32">
        <v>0.76445617993762383</v>
      </c>
      <c r="AD32">
        <v>0.45384397661406578</v>
      </c>
      <c r="AE32">
        <v>93.403333353996274</v>
      </c>
      <c r="AF32">
        <v>28.268333403269448</v>
      </c>
      <c r="AG32">
        <v>19.5600000222524</v>
      </c>
      <c r="AH32">
        <v>105.81166666666667</v>
      </c>
      <c r="AI32">
        <v>0.76883333333333348</v>
      </c>
      <c r="AJ32">
        <v>25</v>
      </c>
      <c r="AK32">
        <v>0</v>
      </c>
      <c r="AL32" s="2">
        <v>5</v>
      </c>
      <c r="AM32">
        <v>0.88888888888889683</v>
      </c>
      <c r="AN32">
        <v>2.010162658639612</v>
      </c>
      <c r="AO32">
        <v>98</v>
      </c>
      <c r="AP32" s="5">
        <v>1.1200000000000001</v>
      </c>
      <c r="AQ32" s="5">
        <f t="shared" si="3"/>
        <v>0.22400000000000003</v>
      </c>
      <c r="AR32" s="5">
        <v>0.09</v>
      </c>
      <c r="AS32">
        <v>12.444444444444446</v>
      </c>
    </row>
    <row r="33" spans="1:45" x14ac:dyDescent="0.3">
      <c r="A33" t="s">
        <v>32</v>
      </c>
      <c r="B33">
        <v>0.37586375488917861</v>
      </c>
      <c r="C33">
        <v>0.20838378563851789</v>
      </c>
      <c r="D33">
        <v>-7.8915675940280677E-2</v>
      </c>
      <c r="E33">
        <v>0.37500150656210163</v>
      </c>
      <c r="F33">
        <v>0.96710208810769838</v>
      </c>
      <c r="G33">
        <v>1.1000000000000001</v>
      </c>
      <c r="H33">
        <v>4.9000000000000004</v>
      </c>
      <c r="I33">
        <v>4.8499999999999996</v>
      </c>
      <c r="J33">
        <v>8.7484250028620009E-2</v>
      </c>
      <c r="K33">
        <v>60</v>
      </c>
      <c r="L33">
        <v>-1.170241966634985</v>
      </c>
      <c r="M33">
        <v>-0.35737355870030479</v>
      </c>
      <c r="N33">
        <v>-8572.9596354166697</v>
      </c>
      <c r="O33">
        <v>304.11948847012047</v>
      </c>
      <c r="P33">
        <f t="shared" si="1"/>
        <v>5.7174206783586916</v>
      </c>
      <c r="Q33">
        <v>60823.897694024097</v>
      </c>
      <c r="R33">
        <f t="shared" si="2"/>
        <v>11.015738044906728</v>
      </c>
      <c r="S33">
        <v>8</v>
      </c>
      <c r="T33">
        <v>830.82667099680009</v>
      </c>
      <c r="U33">
        <v>0.2290661612153119</v>
      </c>
      <c r="V33">
        <v>0.81341672380263541</v>
      </c>
      <c r="W33">
        <v>0.82019962020983805</v>
      </c>
      <c r="X33">
        <v>0.75993550115885944</v>
      </c>
      <c r="Y33">
        <v>0.59714818587938978</v>
      </c>
      <c r="Z33">
        <v>0.85204479344577444</v>
      </c>
      <c r="AA33">
        <v>6.8163583475661964</v>
      </c>
      <c r="AB33">
        <v>0.26178989925151402</v>
      </c>
      <c r="AC33">
        <v>0.75072862435002996</v>
      </c>
      <c r="AD33">
        <v>0.64478436886459289</v>
      </c>
      <c r="AE33">
        <v>93.403333353996274</v>
      </c>
      <c r="AF33">
        <v>28.268333403269448</v>
      </c>
      <c r="AG33">
        <v>19.5600000222524</v>
      </c>
      <c r="AH33">
        <v>105.81166666666667</v>
      </c>
      <c r="AI33">
        <v>0.76883333333333348</v>
      </c>
      <c r="AJ33">
        <v>25</v>
      </c>
      <c r="AK33">
        <v>0</v>
      </c>
      <c r="AL33" s="2">
        <v>5</v>
      </c>
      <c r="AM33">
        <v>0.8083333333333218</v>
      </c>
      <c r="AN33">
        <v>1.747966236888095</v>
      </c>
      <c r="AO33">
        <v>98</v>
      </c>
      <c r="AP33" s="5">
        <v>1.1200000000000001</v>
      </c>
      <c r="AQ33" s="5">
        <f t="shared" si="3"/>
        <v>0.22400000000000003</v>
      </c>
      <c r="AR33" s="5">
        <v>0.09</v>
      </c>
      <c r="AS33">
        <v>12.444444444444446</v>
      </c>
    </row>
    <row r="34" spans="1:45" x14ac:dyDescent="0.3">
      <c r="A34" t="s">
        <v>33</v>
      </c>
      <c r="B34">
        <v>0.34748878917600268</v>
      </c>
      <c r="C34">
        <v>-0.25121840163463399</v>
      </c>
      <c r="D34">
        <v>0.10327249755904459</v>
      </c>
      <c r="E34">
        <v>1.951282749936726</v>
      </c>
      <c r="F34">
        <v>-0.71298383075259608</v>
      </c>
      <c r="G34">
        <v>0.15</v>
      </c>
      <c r="H34">
        <v>7.5</v>
      </c>
      <c r="I34">
        <v>4.3499999999999996</v>
      </c>
      <c r="J34">
        <v>1</v>
      </c>
      <c r="K34">
        <v>63</v>
      </c>
      <c r="L34">
        <v>0.98616065848976819</v>
      </c>
      <c r="M34">
        <v>-1.7031151839068499</v>
      </c>
      <c r="N34">
        <v>-279.76015726725262</v>
      </c>
      <c r="O34">
        <v>635.59503949551709</v>
      </c>
      <c r="P34">
        <f t="shared" si="1"/>
        <v>6.4545616301883006</v>
      </c>
      <c r="Q34">
        <v>105932.50658258618</v>
      </c>
      <c r="R34">
        <f t="shared" si="2"/>
        <v>11.570557439942382</v>
      </c>
      <c r="S34">
        <v>3</v>
      </c>
      <c r="T34">
        <v>60.135163999999961</v>
      </c>
      <c r="U34">
        <v>0.1039766586631098</v>
      </c>
      <c r="V34">
        <v>0.1107419934385087</v>
      </c>
      <c r="W34">
        <v>-4.9051551572061181</v>
      </c>
      <c r="X34">
        <v>-5.380588018174306</v>
      </c>
      <c r="Y34">
        <v>-3.9452668477083872</v>
      </c>
      <c r="Z34">
        <v>0.1474853373230568</v>
      </c>
      <c r="AA34">
        <v>0.4424560119691705</v>
      </c>
      <c r="AB34">
        <v>0.15596498858345351</v>
      </c>
      <c r="AC34">
        <v>6.4013650619479515E-2</v>
      </c>
      <c r="AD34">
        <v>9.0542843592126498E-2</v>
      </c>
      <c r="AE34">
        <v>102.64499934514363</v>
      </c>
      <c r="AF34">
        <v>27.196666717529297</v>
      </c>
      <c r="AG34">
        <v>18.436666742960611</v>
      </c>
      <c r="AH34">
        <v>94.740000000000009</v>
      </c>
      <c r="AI34">
        <v>0.63449999999999984</v>
      </c>
      <c r="AJ34">
        <v>54</v>
      </c>
      <c r="AK34">
        <v>30</v>
      </c>
      <c r="AL34" s="2">
        <v>6</v>
      </c>
      <c r="AM34">
        <v>0.47272727272727472</v>
      </c>
      <c r="AN34">
        <v>0.7595473914748635</v>
      </c>
      <c r="AO34">
        <v>95</v>
      </c>
      <c r="AP34" s="5">
        <v>1.98</v>
      </c>
      <c r="AQ34" s="5">
        <f t="shared" si="3"/>
        <v>0.33</v>
      </c>
      <c r="AR34" s="5">
        <v>0.1</v>
      </c>
      <c r="AS34">
        <v>19.799999999999997</v>
      </c>
    </row>
    <row r="35" spans="1:45" x14ac:dyDescent="0.3">
      <c r="A35" t="s">
        <v>34</v>
      </c>
      <c r="B35">
        <v>0.35924776498460798</v>
      </c>
      <c r="C35">
        <v>-0.1017894413357167</v>
      </c>
      <c r="D35">
        <v>-2.238327181208951E-2</v>
      </c>
      <c r="E35">
        <v>1.951282749936726</v>
      </c>
      <c r="F35">
        <v>-0.71298383075259608</v>
      </c>
      <c r="G35">
        <v>0.15</v>
      </c>
      <c r="H35">
        <v>7.5</v>
      </c>
      <c r="I35">
        <v>4.3499999999999996</v>
      </c>
      <c r="J35">
        <v>0.73221631326517522</v>
      </c>
      <c r="K35">
        <v>63</v>
      </c>
      <c r="L35">
        <v>0.98616065848976819</v>
      </c>
      <c r="M35">
        <v>-1.7031151839068499</v>
      </c>
      <c r="N35">
        <v>-279.76015726725262</v>
      </c>
      <c r="O35">
        <v>398.91413045415641</v>
      </c>
      <c r="P35">
        <f t="shared" si="1"/>
        <v>5.9887461818341157</v>
      </c>
      <c r="Q35">
        <v>66485.688409026057</v>
      </c>
      <c r="R35">
        <f t="shared" si="2"/>
        <v>11.104741991588197</v>
      </c>
      <c r="S35">
        <v>5</v>
      </c>
      <c r="T35">
        <v>396.78360099999998</v>
      </c>
      <c r="U35">
        <v>0.38559842900381108</v>
      </c>
      <c r="V35">
        <v>0.35409636388137711</v>
      </c>
      <c r="W35">
        <v>-2.0344866652976812</v>
      </c>
      <c r="X35">
        <v>-2.105653747117834</v>
      </c>
      <c r="Y35">
        <v>-1.6294299554458831</v>
      </c>
      <c r="Z35">
        <v>0.66136986749845794</v>
      </c>
      <c r="AA35">
        <v>3.3068493374922898</v>
      </c>
      <c r="AB35">
        <v>0.48199803764059262</v>
      </c>
      <c r="AC35">
        <v>0.62166306786171555</v>
      </c>
      <c r="AD35">
        <v>0.42890716313051352</v>
      </c>
      <c r="AE35">
        <v>102.64499934514363</v>
      </c>
      <c r="AF35">
        <v>27.196666717529297</v>
      </c>
      <c r="AG35">
        <v>18.436666742960611</v>
      </c>
      <c r="AH35">
        <v>94.740000000000009</v>
      </c>
      <c r="AI35">
        <v>0.63449999999999984</v>
      </c>
      <c r="AJ35">
        <v>54</v>
      </c>
      <c r="AK35">
        <v>30</v>
      </c>
      <c r="AL35" s="2">
        <v>6</v>
      </c>
      <c r="AM35">
        <v>0.70588235294117929</v>
      </c>
      <c r="AN35">
        <v>1.300592007534505</v>
      </c>
      <c r="AO35">
        <v>95</v>
      </c>
      <c r="AP35" s="5">
        <v>1.98</v>
      </c>
      <c r="AQ35" s="5">
        <f t="shared" si="3"/>
        <v>0.33</v>
      </c>
      <c r="AR35" s="5">
        <v>0.1</v>
      </c>
      <c r="AS35">
        <v>19.799999999999997</v>
      </c>
    </row>
    <row r="36" spans="1:45" x14ac:dyDescent="0.3">
      <c r="A36" t="s">
        <v>35</v>
      </c>
      <c r="B36">
        <v>0.48972982141786642</v>
      </c>
      <c r="C36">
        <v>-0.1303994324477126</v>
      </c>
      <c r="D36">
        <v>-8.1140782418005111E-2</v>
      </c>
      <c r="E36">
        <v>1.951282749936726</v>
      </c>
      <c r="F36">
        <v>-0.71298383075259608</v>
      </c>
      <c r="G36">
        <v>0.15</v>
      </c>
      <c r="H36">
        <v>7.5</v>
      </c>
      <c r="I36">
        <v>4.3499999999999996</v>
      </c>
      <c r="J36">
        <v>0.67097521534635352</v>
      </c>
      <c r="K36">
        <v>63</v>
      </c>
      <c r="L36">
        <v>0.98616065848976819</v>
      </c>
      <c r="M36">
        <v>-1.7031151839068499</v>
      </c>
      <c r="N36">
        <v>-279.76015726725262</v>
      </c>
      <c r="O36">
        <v>1235.896151465171</v>
      </c>
      <c r="P36">
        <f t="shared" si="1"/>
        <v>7.1195516146375857</v>
      </c>
      <c r="Q36">
        <v>205982.6919108619</v>
      </c>
      <c r="R36">
        <f t="shared" si="2"/>
        <v>12.235547424391667</v>
      </c>
      <c r="S36">
        <v>6</v>
      </c>
      <c r="T36">
        <v>514.18357199680008</v>
      </c>
      <c r="U36">
        <v>0.42372299596555191</v>
      </c>
      <c r="V36">
        <v>0.38130262064074821</v>
      </c>
      <c r="W36">
        <v>-1.181102068498439</v>
      </c>
      <c r="X36">
        <v>-1.1481499579461281</v>
      </c>
      <c r="Y36">
        <v>-1.1834794999792431</v>
      </c>
      <c r="Z36">
        <v>0.73600339197825515</v>
      </c>
      <c r="AA36">
        <v>4.4160203518695296</v>
      </c>
      <c r="AB36">
        <v>0.50846759589074209</v>
      </c>
      <c r="AC36">
        <v>0.72594893138356653</v>
      </c>
      <c r="AD36">
        <v>0.48440104619630331</v>
      </c>
      <c r="AE36">
        <v>102.64499934514363</v>
      </c>
      <c r="AF36">
        <v>27.196666717529297</v>
      </c>
      <c r="AG36">
        <v>18.436666742960611</v>
      </c>
      <c r="AH36">
        <v>94.740000000000009</v>
      </c>
      <c r="AI36">
        <v>0.63449999999999984</v>
      </c>
      <c r="AJ36">
        <v>54</v>
      </c>
      <c r="AK36">
        <v>30</v>
      </c>
      <c r="AL36" s="2">
        <v>6</v>
      </c>
      <c r="AM36">
        <v>0.8047619047619059</v>
      </c>
      <c r="AN36">
        <v>1.571446363722135</v>
      </c>
      <c r="AO36">
        <v>95</v>
      </c>
      <c r="AP36" s="5">
        <v>1.98</v>
      </c>
      <c r="AQ36" s="5">
        <f t="shared" si="3"/>
        <v>0.33</v>
      </c>
      <c r="AR36" s="5">
        <v>0.1</v>
      </c>
      <c r="AS36">
        <v>19.799999999999997</v>
      </c>
    </row>
    <row r="37" spans="1:45" x14ac:dyDescent="0.3">
      <c r="A37" t="s">
        <v>36</v>
      </c>
      <c r="B37">
        <v>0.39687931076624128</v>
      </c>
      <c r="C37">
        <v>-0.21592743400485789</v>
      </c>
      <c r="D37">
        <v>3.0929891911649479E-2</v>
      </c>
      <c r="E37">
        <v>1.951282749936726</v>
      </c>
      <c r="F37">
        <v>-0.71298383075259608</v>
      </c>
      <c r="G37">
        <v>0.15</v>
      </c>
      <c r="H37">
        <v>7.5</v>
      </c>
      <c r="I37">
        <v>4.3499999999999996</v>
      </c>
      <c r="J37">
        <v>0.83802498779270451</v>
      </c>
      <c r="K37">
        <v>63</v>
      </c>
      <c r="L37">
        <v>0.98616065848976819</v>
      </c>
      <c r="M37">
        <v>-1.7031151839068499</v>
      </c>
      <c r="N37">
        <v>-279.76015726725262</v>
      </c>
      <c r="O37">
        <v>672.12608127307385</v>
      </c>
      <c r="P37">
        <f t="shared" si="1"/>
        <v>6.5104459438666158</v>
      </c>
      <c r="Q37">
        <v>112021.01354551232</v>
      </c>
      <c r="R37">
        <f t="shared" si="2"/>
        <v>11.626441753620698</v>
      </c>
      <c r="S37">
        <v>5</v>
      </c>
      <c r="T37">
        <v>426.27457199679998</v>
      </c>
      <c r="U37">
        <v>0.24661357725527891</v>
      </c>
      <c r="V37">
        <v>0.30904959176129349</v>
      </c>
      <c r="W37">
        <v>-1.524617079647731</v>
      </c>
      <c r="X37">
        <v>-1.4760109911274231</v>
      </c>
      <c r="Y37">
        <v>-1.1795542224429889</v>
      </c>
      <c r="Z37">
        <v>0.6921753154711956</v>
      </c>
      <c r="AA37">
        <v>3.460876577355978</v>
      </c>
      <c r="AB37">
        <v>0.30826697265183678</v>
      </c>
      <c r="AC37">
        <v>0.5110292465845826</v>
      </c>
      <c r="AD37">
        <v>0.49337749047214852</v>
      </c>
      <c r="AE37">
        <v>102.64499934514363</v>
      </c>
      <c r="AF37">
        <v>27.196666717529297</v>
      </c>
      <c r="AG37">
        <v>18.436666742960611</v>
      </c>
      <c r="AH37">
        <v>94.740000000000009</v>
      </c>
      <c r="AI37">
        <v>0.63449999999999984</v>
      </c>
      <c r="AJ37">
        <v>54</v>
      </c>
      <c r="AK37">
        <v>30</v>
      </c>
      <c r="AL37" s="2">
        <v>6</v>
      </c>
      <c r="AM37">
        <v>0.71666666666666057</v>
      </c>
      <c r="AN37">
        <v>1.3208883431493219</v>
      </c>
      <c r="AO37">
        <v>95</v>
      </c>
      <c r="AP37" s="5">
        <v>1.98</v>
      </c>
      <c r="AQ37" s="5">
        <f t="shared" si="3"/>
        <v>0.33</v>
      </c>
      <c r="AR37" s="5">
        <v>0.1</v>
      </c>
      <c r="AS37">
        <v>19.799999999999997</v>
      </c>
    </row>
    <row r="38" spans="1:45" x14ac:dyDescent="0.3">
      <c r="A38" t="s">
        <v>37</v>
      </c>
      <c r="B38">
        <v>0.43521900899173921</v>
      </c>
      <c r="C38">
        <v>-9.8203378782241516E-2</v>
      </c>
      <c r="D38">
        <v>-8.3577661134091527E-2</v>
      </c>
      <c r="E38">
        <v>1.951282749936726</v>
      </c>
      <c r="F38">
        <v>-0.71298383075259608</v>
      </c>
      <c r="G38">
        <v>0.15</v>
      </c>
      <c r="H38">
        <v>7.5</v>
      </c>
      <c r="I38">
        <v>4.3499999999999996</v>
      </c>
      <c r="J38">
        <v>0.67488355700642466</v>
      </c>
      <c r="K38">
        <v>63</v>
      </c>
      <c r="L38">
        <v>0.98616065848976819</v>
      </c>
      <c r="M38">
        <v>-1.7031151839068499</v>
      </c>
      <c r="N38">
        <v>-279.76015726725262</v>
      </c>
      <c r="O38">
        <v>1026.3520042754269</v>
      </c>
      <c r="P38">
        <f t="shared" si="1"/>
        <v>6.9337660509799361</v>
      </c>
      <c r="Q38">
        <v>171058.66737923786</v>
      </c>
      <c r="R38">
        <f t="shared" si="2"/>
        <v>12.049761860734019</v>
      </c>
      <c r="S38">
        <v>7</v>
      </c>
      <c r="T38">
        <v>550.54787199980012</v>
      </c>
      <c r="U38">
        <v>0.43628082478043939</v>
      </c>
      <c r="V38">
        <v>0.222609928766272</v>
      </c>
      <c r="W38">
        <v>-2.4480568589735632</v>
      </c>
      <c r="X38">
        <v>-0.5518439191552611</v>
      </c>
      <c r="Y38">
        <v>-2.9551856417388942</v>
      </c>
      <c r="Z38">
        <v>0.77882631533361946</v>
      </c>
      <c r="AA38">
        <v>5.4517842073353364</v>
      </c>
      <c r="AB38">
        <v>0.50899429742003954</v>
      </c>
      <c r="AC38">
        <v>0.7253739562203495</v>
      </c>
      <c r="AD38">
        <v>0.27450991269938968</v>
      </c>
      <c r="AE38">
        <v>102.64499934514363</v>
      </c>
      <c r="AF38">
        <v>27.196666717529297</v>
      </c>
      <c r="AG38">
        <v>18.436666742960611</v>
      </c>
      <c r="AH38">
        <v>94.740000000000009</v>
      </c>
      <c r="AI38">
        <v>0.63449999999999984</v>
      </c>
      <c r="AJ38">
        <v>54</v>
      </c>
      <c r="AK38">
        <v>30</v>
      </c>
      <c r="AL38" s="2">
        <v>6</v>
      </c>
      <c r="AM38">
        <v>0.86764705882352744</v>
      </c>
      <c r="AN38">
        <v>1.8090102842668669</v>
      </c>
      <c r="AO38">
        <v>95</v>
      </c>
      <c r="AP38" s="5">
        <v>1.98</v>
      </c>
      <c r="AQ38" s="5">
        <f t="shared" si="3"/>
        <v>0.33</v>
      </c>
      <c r="AR38" s="5">
        <v>0.1</v>
      </c>
      <c r="AS38">
        <v>19.799999999999997</v>
      </c>
    </row>
    <row r="39" spans="1:45" x14ac:dyDescent="0.3">
      <c r="A39" t="s">
        <v>38</v>
      </c>
      <c r="B39">
        <v>0.35348201394648732</v>
      </c>
      <c r="C39">
        <v>-5.030647201771668E-3</v>
      </c>
      <c r="D39">
        <v>-0.11022660449656339</v>
      </c>
      <c r="E39">
        <v>2.075508063722201</v>
      </c>
      <c r="F39">
        <v>-0.58979965723431793</v>
      </c>
      <c r="G39">
        <v>0.05</v>
      </c>
      <c r="H39">
        <v>7.15</v>
      </c>
      <c r="I39">
        <v>4.55</v>
      </c>
      <c r="J39">
        <v>0.58036382247816387</v>
      </c>
      <c r="K39">
        <v>75</v>
      </c>
      <c r="L39">
        <v>-0.23727804132230501</v>
      </c>
      <c r="M39">
        <v>-0.54667040207592288</v>
      </c>
      <c r="N39">
        <v>-302.27897644042969</v>
      </c>
      <c r="O39">
        <v>688.46246999403638</v>
      </c>
      <c r="P39">
        <f t="shared" si="1"/>
        <v>6.5344608068704124</v>
      </c>
      <c r="Q39">
        <v>137692.49399880727</v>
      </c>
      <c r="R39">
        <f t="shared" si="2"/>
        <v>11.832778173418449</v>
      </c>
      <c r="S39">
        <v>11</v>
      </c>
      <c r="T39">
        <v>1048.2654759968</v>
      </c>
      <c r="U39">
        <v>0.59250642593944169</v>
      </c>
      <c r="V39">
        <v>0.53371365381421587</v>
      </c>
      <c r="W39">
        <v>0.35785981982187942</v>
      </c>
      <c r="X39">
        <v>1.277134771629727</v>
      </c>
      <c r="Y39">
        <v>0.5242276141870601</v>
      </c>
      <c r="Z39">
        <v>0.86657106756592661</v>
      </c>
      <c r="AA39">
        <v>9.5322817432251927</v>
      </c>
      <c r="AB39">
        <v>0.65175707172010611</v>
      </c>
      <c r="AC39">
        <v>0.7730783596964631</v>
      </c>
      <c r="AD39">
        <v>0.57862523604806393</v>
      </c>
      <c r="AE39">
        <v>102.64499934514363</v>
      </c>
      <c r="AF39">
        <v>27.196666717529297</v>
      </c>
      <c r="AG39">
        <v>18.436666742960611</v>
      </c>
      <c r="AH39">
        <v>94.740000000000009</v>
      </c>
      <c r="AI39">
        <v>0.63449999999999984</v>
      </c>
      <c r="AJ39">
        <v>55</v>
      </c>
      <c r="AK39">
        <v>19</v>
      </c>
      <c r="AL39" s="2">
        <v>5</v>
      </c>
      <c r="AM39">
        <v>0.95238095238097342</v>
      </c>
      <c r="AN39">
        <v>2.3034884952192689</v>
      </c>
      <c r="AO39">
        <v>95</v>
      </c>
      <c r="AP39" s="5">
        <v>1.575</v>
      </c>
      <c r="AQ39" s="5">
        <f t="shared" si="3"/>
        <v>0.315</v>
      </c>
      <c r="AR39" s="5">
        <v>8.4999999999999992E-2</v>
      </c>
      <c r="AS39">
        <v>18.529411764705884</v>
      </c>
    </row>
    <row r="40" spans="1:45" x14ac:dyDescent="0.3">
      <c r="A40" t="s">
        <v>39</v>
      </c>
      <c r="B40">
        <v>0.41422253604221232</v>
      </c>
      <c r="C40">
        <v>9.9043647192645468E-2</v>
      </c>
      <c r="D40">
        <v>-0.14781168684861379</v>
      </c>
      <c r="E40">
        <v>2.075508063722201</v>
      </c>
      <c r="F40">
        <v>-0.58979965723431793</v>
      </c>
      <c r="G40">
        <v>0.05</v>
      </c>
      <c r="H40">
        <v>7.15</v>
      </c>
      <c r="I40">
        <v>4.55</v>
      </c>
      <c r="J40">
        <v>0.3357422872556548</v>
      </c>
      <c r="K40">
        <v>75</v>
      </c>
      <c r="L40">
        <v>-0.23727804132230501</v>
      </c>
      <c r="M40">
        <v>-0.54667040207592288</v>
      </c>
      <c r="N40">
        <v>-302.27897644042969</v>
      </c>
      <c r="O40">
        <v>703.67166603138048</v>
      </c>
      <c r="P40">
        <f t="shared" si="1"/>
        <v>6.556311863889289</v>
      </c>
      <c r="Q40">
        <v>140734.33320627609</v>
      </c>
      <c r="R40">
        <f t="shared" si="2"/>
        <v>11.854629230437325</v>
      </c>
      <c r="S40">
        <v>13</v>
      </c>
      <c r="T40">
        <v>1188.141712000001</v>
      </c>
      <c r="U40">
        <v>0.62082809873138967</v>
      </c>
      <c r="V40">
        <v>0.4806481725598063</v>
      </c>
      <c r="W40">
        <v>0.58256179720325441</v>
      </c>
      <c r="X40">
        <v>0.51532967611897429</v>
      </c>
      <c r="Y40">
        <v>0.39859000313074677</v>
      </c>
      <c r="Z40">
        <v>0.83338189180513178</v>
      </c>
      <c r="AA40">
        <v>10.83396459346671</v>
      </c>
      <c r="AB40">
        <v>0.67256377600458828</v>
      </c>
      <c r="AC40">
        <v>0.76639777475128601</v>
      </c>
      <c r="AD40">
        <v>0.53627347531049185</v>
      </c>
      <c r="AE40">
        <v>102.64499934514363</v>
      </c>
      <c r="AF40">
        <v>27.196666717529297</v>
      </c>
      <c r="AG40">
        <v>18.436666742960611</v>
      </c>
      <c r="AH40">
        <v>94.740000000000009</v>
      </c>
      <c r="AI40">
        <v>0.63449999999999984</v>
      </c>
      <c r="AJ40">
        <v>55</v>
      </c>
      <c r="AK40">
        <v>19</v>
      </c>
      <c r="AL40" s="2">
        <v>5</v>
      </c>
      <c r="AM40">
        <v>0.92810457516341316</v>
      </c>
      <c r="AN40">
        <v>2.366289317713365</v>
      </c>
      <c r="AO40">
        <v>95</v>
      </c>
      <c r="AP40" s="5">
        <v>1.575</v>
      </c>
      <c r="AQ40" s="5">
        <f t="shared" si="3"/>
        <v>0.315</v>
      </c>
      <c r="AR40" s="5">
        <v>8.4999999999999992E-2</v>
      </c>
      <c r="AS40">
        <v>18.529411764705884</v>
      </c>
    </row>
    <row r="41" spans="1:45" x14ac:dyDescent="0.3">
      <c r="A41" t="s">
        <v>40</v>
      </c>
      <c r="B41">
        <v>0.57687486943806143</v>
      </c>
      <c r="C41">
        <v>-0.24340434260052751</v>
      </c>
      <c r="D41">
        <v>8.7029800299953858E-2</v>
      </c>
      <c r="E41">
        <v>2.075508063722201</v>
      </c>
      <c r="F41">
        <v>-0.58979965723431793</v>
      </c>
      <c r="G41">
        <v>0.05</v>
      </c>
      <c r="H41">
        <v>7.15</v>
      </c>
      <c r="I41">
        <v>4.55</v>
      </c>
      <c r="J41">
        <v>0.92754138493209615</v>
      </c>
      <c r="K41">
        <v>75</v>
      </c>
      <c r="L41">
        <v>-0.23727804132230501</v>
      </c>
      <c r="M41">
        <v>-0.54667040207592288</v>
      </c>
      <c r="N41">
        <v>-302.27897644042969</v>
      </c>
      <c r="O41">
        <v>1079.9215117118342</v>
      </c>
      <c r="P41">
        <f t="shared" si="1"/>
        <v>6.9846436431364634</v>
      </c>
      <c r="Q41">
        <v>215984.30234236686</v>
      </c>
      <c r="R41">
        <f t="shared" si="2"/>
        <v>12.282961009684501</v>
      </c>
      <c r="S41">
        <v>12</v>
      </c>
      <c r="T41">
        <v>912.42001499980029</v>
      </c>
      <c r="U41">
        <v>0.1632469593838822</v>
      </c>
      <c r="V41">
        <v>0.207082731400026</v>
      </c>
      <c r="W41">
        <v>-1.417852298040789</v>
      </c>
      <c r="X41">
        <v>-0.59318872031397429</v>
      </c>
      <c r="Y41">
        <v>-2.2933563629104801</v>
      </c>
      <c r="Z41">
        <v>0.78909294634037896</v>
      </c>
      <c r="AA41">
        <v>9.4691153560845471</v>
      </c>
      <c r="AB41">
        <v>0.1780875923160678</v>
      </c>
      <c r="AC41">
        <v>0.75321847862483016</v>
      </c>
      <c r="AD41">
        <v>0.33526517719131738</v>
      </c>
      <c r="AE41">
        <v>102.64499934514363</v>
      </c>
      <c r="AF41">
        <v>27.196666717529297</v>
      </c>
      <c r="AG41">
        <v>18.436666742960611</v>
      </c>
      <c r="AH41">
        <v>94.740000000000009</v>
      </c>
      <c r="AI41">
        <v>0.63449999999999984</v>
      </c>
      <c r="AJ41">
        <v>55</v>
      </c>
      <c r="AK41">
        <v>19</v>
      </c>
      <c r="AL41" s="2">
        <v>5</v>
      </c>
      <c r="AM41">
        <v>0.95833333333331261</v>
      </c>
      <c r="AN41">
        <v>2.3933121229745238</v>
      </c>
      <c r="AO41">
        <v>95</v>
      </c>
      <c r="AP41" s="5">
        <v>1.575</v>
      </c>
      <c r="AQ41" s="5">
        <f t="shared" si="3"/>
        <v>0.315</v>
      </c>
      <c r="AR41" s="5">
        <v>8.4999999999999992E-2</v>
      </c>
      <c r="AS41">
        <v>18.529411764705884</v>
      </c>
    </row>
    <row r="42" spans="1:45" x14ac:dyDescent="0.3">
      <c r="A42" t="s">
        <v>41</v>
      </c>
      <c r="B42">
        <v>0.41362104913428821</v>
      </c>
      <c r="C42">
        <v>4.4879088498965693E-2</v>
      </c>
      <c r="D42">
        <v>-0.1552423510722363</v>
      </c>
      <c r="E42">
        <v>2.075508063722201</v>
      </c>
      <c r="F42">
        <v>-0.58979965723431793</v>
      </c>
      <c r="G42">
        <v>0.05</v>
      </c>
      <c r="H42">
        <v>7.15</v>
      </c>
      <c r="I42">
        <v>4.55</v>
      </c>
      <c r="J42">
        <v>0.3882473385212572</v>
      </c>
      <c r="K42">
        <v>75</v>
      </c>
      <c r="L42">
        <v>-0.23727804132230501</v>
      </c>
      <c r="M42">
        <v>-0.54667040207592288</v>
      </c>
      <c r="N42">
        <v>-302.27897644042969</v>
      </c>
      <c r="O42">
        <v>564.16022745466353</v>
      </c>
      <c r="P42">
        <f t="shared" si="1"/>
        <v>6.3353383023834589</v>
      </c>
      <c r="Q42">
        <v>112832.04549093268</v>
      </c>
      <c r="R42">
        <f t="shared" si="2"/>
        <v>11.633655668931496</v>
      </c>
      <c r="S42">
        <v>15</v>
      </c>
      <c r="T42">
        <v>1146.1804610029999</v>
      </c>
      <c r="U42">
        <v>0.57021859121899166</v>
      </c>
      <c r="V42">
        <v>0.2836209046100136</v>
      </c>
      <c r="W42">
        <v>-0.95244063843077076</v>
      </c>
      <c r="X42">
        <v>-0.22606049281458401</v>
      </c>
      <c r="Y42">
        <v>-1.657006527735901</v>
      </c>
      <c r="Z42">
        <v>0.80538859192089385</v>
      </c>
      <c r="AA42">
        <v>12.08082887881341</v>
      </c>
      <c r="AB42">
        <v>0.61094849174823485</v>
      </c>
      <c r="AC42">
        <v>0.75609916588094916</v>
      </c>
      <c r="AD42">
        <v>0.36991725831757882</v>
      </c>
      <c r="AE42">
        <v>102.64499934514363</v>
      </c>
      <c r="AF42">
        <v>27.196666717529297</v>
      </c>
      <c r="AG42">
        <v>18.436666742960611</v>
      </c>
      <c r="AH42">
        <v>94.740000000000009</v>
      </c>
      <c r="AI42">
        <v>0.63449999999999984</v>
      </c>
      <c r="AJ42">
        <v>55</v>
      </c>
      <c r="AK42">
        <v>19</v>
      </c>
      <c r="AL42" s="2">
        <v>5</v>
      </c>
      <c r="AM42">
        <v>0.97076023391813981</v>
      </c>
      <c r="AN42">
        <v>2.62504815873254</v>
      </c>
      <c r="AO42">
        <v>95</v>
      </c>
      <c r="AP42" s="5">
        <v>1.575</v>
      </c>
      <c r="AQ42" s="5">
        <f t="shared" si="3"/>
        <v>0.315</v>
      </c>
      <c r="AR42" s="5">
        <v>8.4999999999999992E-2</v>
      </c>
      <c r="AS42">
        <v>18.529411764705884</v>
      </c>
    </row>
    <row r="43" spans="1:45" x14ac:dyDescent="0.3">
      <c r="A43" t="s">
        <v>42</v>
      </c>
      <c r="B43">
        <v>0.52136089621644477</v>
      </c>
      <c r="C43">
        <v>-0.16168303528905589</v>
      </c>
      <c r="D43">
        <v>4.4137368321957859E-2</v>
      </c>
      <c r="E43">
        <v>2.075508063722201</v>
      </c>
      <c r="F43">
        <v>-0.58979965723431793</v>
      </c>
      <c r="G43">
        <v>0.05</v>
      </c>
      <c r="H43">
        <v>7.15</v>
      </c>
      <c r="I43">
        <v>4.55</v>
      </c>
      <c r="J43">
        <v>0.99055940656688513</v>
      </c>
      <c r="K43">
        <v>75</v>
      </c>
      <c r="L43">
        <v>-0.23727804132230501</v>
      </c>
      <c r="M43">
        <v>-0.54667040207592288</v>
      </c>
      <c r="N43">
        <v>-302.27897644042969</v>
      </c>
      <c r="O43">
        <v>503.79049888961015</v>
      </c>
      <c r="P43">
        <f t="shared" si="1"/>
        <v>6.2221605048474871</v>
      </c>
      <c r="Q43">
        <v>100758.09977792203</v>
      </c>
      <c r="R43">
        <f t="shared" si="2"/>
        <v>11.520477871395524</v>
      </c>
      <c r="S43">
        <v>8</v>
      </c>
      <c r="T43">
        <v>745.11040300000025</v>
      </c>
      <c r="U43">
        <v>0.22166801729452101</v>
      </c>
      <c r="V43">
        <v>0.40915110934649002</v>
      </c>
      <c r="W43">
        <v>-0.55138570970829781</v>
      </c>
      <c r="X43">
        <v>-0.23611051920569981</v>
      </c>
      <c r="Y43">
        <v>-9.8559947378583854E-2</v>
      </c>
      <c r="Z43">
        <v>0.79914064561289755</v>
      </c>
      <c r="AA43">
        <v>6.3931251649031804</v>
      </c>
      <c r="AB43">
        <v>0.2533348785249066</v>
      </c>
      <c r="AC43">
        <v>0.5970042622301025</v>
      </c>
      <c r="AD43">
        <v>0.57021158374256964</v>
      </c>
      <c r="AE43">
        <v>102.64499934514363</v>
      </c>
      <c r="AF43">
        <v>27.196666717529297</v>
      </c>
      <c r="AG43">
        <v>18.436666742960611</v>
      </c>
      <c r="AH43">
        <v>94.740000000000009</v>
      </c>
      <c r="AI43">
        <v>0.63449999999999984</v>
      </c>
      <c r="AJ43">
        <v>55</v>
      </c>
      <c r="AK43">
        <v>19</v>
      </c>
      <c r="AL43" s="2">
        <v>5</v>
      </c>
      <c r="AM43">
        <v>0.82857142857144317</v>
      </c>
      <c r="AN43">
        <v>1.7716239556773661</v>
      </c>
      <c r="AO43">
        <v>95</v>
      </c>
      <c r="AP43" s="5">
        <v>1.575</v>
      </c>
      <c r="AQ43" s="5">
        <f t="shared" si="3"/>
        <v>0.315</v>
      </c>
      <c r="AR43" s="5">
        <v>8.4999999999999992E-2</v>
      </c>
      <c r="AS43">
        <v>18.529411764705884</v>
      </c>
    </row>
    <row r="44" spans="1:45" x14ac:dyDescent="0.3">
      <c r="A44" t="s">
        <v>43</v>
      </c>
      <c r="B44">
        <v>0.46115481495834137</v>
      </c>
      <c r="C44">
        <v>0.12308838047639881</v>
      </c>
      <c r="D44">
        <v>0.1030266207550751</v>
      </c>
      <c r="E44">
        <v>-4.0089577931491416</v>
      </c>
      <c r="F44">
        <v>-0.70317826185939336</v>
      </c>
      <c r="G44">
        <v>3.9</v>
      </c>
      <c r="H44">
        <v>6.2</v>
      </c>
      <c r="I44">
        <v>5.3</v>
      </c>
      <c r="J44">
        <v>0.48536030931205354</v>
      </c>
      <c r="K44">
        <v>157</v>
      </c>
      <c r="L44">
        <v>-0.62714947503004992</v>
      </c>
      <c r="M44">
        <v>1.108822831754406</v>
      </c>
      <c r="N44">
        <v>-297.91234436035154</v>
      </c>
      <c r="O44">
        <v>413.28586841454006</v>
      </c>
      <c r="P44">
        <f t="shared" si="1"/>
        <v>6.024139528856038</v>
      </c>
      <c r="Q44">
        <v>68880.978069090022</v>
      </c>
      <c r="R44">
        <f t="shared" si="2"/>
        <v>11.14013533861012</v>
      </c>
      <c r="S44">
        <v>10</v>
      </c>
      <c r="T44">
        <v>759.95934900000032</v>
      </c>
      <c r="U44">
        <v>0.47992426468313287</v>
      </c>
      <c r="V44">
        <v>0.19943824838706711</v>
      </c>
      <c r="W44">
        <v>-1.7865405727667349</v>
      </c>
      <c r="X44">
        <v>-1.04492449802562</v>
      </c>
      <c r="Y44">
        <v>-1.838582698967876</v>
      </c>
      <c r="Z44">
        <v>0.76963507487419047</v>
      </c>
      <c r="AA44">
        <v>7.6963507487419047</v>
      </c>
      <c r="AB44">
        <v>0.53324918525318821</v>
      </c>
      <c r="AC44">
        <v>0.68333199447122717</v>
      </c>
      <c r="AD44">
        <v>0.38371127395806881</v>
      </c>
      <c r="AE44">
        <v>131.73499951362609</v>
      </c>
      <c r="AF44">
        <v>24.985000006357829</v>
      </c>
      <c r="AG44">
        <v>14.660000054041545</v>
      </c>
      <c r="AH44">
        <v>86.160000000000011</v>
      </c>
      <c r="AI44">
        <v>0.49983333333333324</v>
      </c>
      <c r="AJ44">
        <v>459</v>
      </c>
      <c r="AK44" s="3">
        <v>33.5</v>
      </c>
      <c r="AL44" s="2">
        <v>6</v>
      </c>
      <c r="AM44">
        <v>0.80923076923075166</v>
      </c>
      <c r="AN44">
        <v>1.85236590465423</v>
      </c>
      <c r="AO44">
        <v>95</v>
      </c>
      <c r="AP44" s="5">
        <v>1.145</v>
      </c>
      <c r="AQ44" s="5">
        <f t="shared" si="3"/>
        <v>0.19083333333333333</v>
      </c>
      <c r="AR44" s="5">
        <v>0.11000000000000001</v>
      </c>
      <c r="AS44">
        <v>10.409090909090908</v>
      </c>
    </row>
    <row r="45" spans="1:45" x14ac:dyDescent="0.3">
      <c r="A45" t="s">
        <v>44</v>
      </c>
      <c r="B45">
        <v>0.42250122535158158</v>
      </c>
      <c r="C45">
        <v>-0.20304540631695089</v>
      </c>
      <c r="D45">
        <v>6.8122665706760177E-2</v>
      </c>
      <c r="E45">
        <v>-4.0089577931491416</v>
      </c>
      <c r="F45">
        <v>-0.70317826185939336</v>
      </c>
      <c r="G45">
        <v>3.9</v>
      </c>
      <c r="H45">
        <v>6.2</v>
      </c>
      <c r="I45">
        <v>5.3</v>
      </c>
      <c r="J45">
        <v>0.87517230938398871</v>
      </c>
      <c r="K45">
        <v>157</v>
      </c>
      <c r="L45">
        <v>-0.62714947503004992</v>
      </c>
      <c r="M45">
        <v>1.108822831754406</v>
      </c>
      <c r="N45">
        <v>-297.91234436035154</v>
      </c>
      <c r="O45">
        <v>274.07662071686474</v>
      </c>
      <c r="P45">
        <f t="shared" si="1"/>
        <v>5.6134077049495401</v>
      </c>
      <c r="Q45">
        <v>45679.436786144113</v>
      </c>
      <c r="R45">
        <f t="shared" si="2"/>
        <v>10.729403514703622</v>
      </c>
      <c r="S45">
        <v>8</v>
      </c>
      <c r="T45">
        <v>688.65020000000027</v>
      </c>
      <c r="U45">
        <v>0.30394898453755081</v>
      </c>
      <c r="V45">
        <v>0.27046770993352931</v>
      </c>
      <c r="W45">
        <v>-0.83165493846620842</v>
      </c>
      <c r="X45">
        <v>-1.0728601810841629</v>
      </c>
      <c r="Y45">
        <v>-0.50270857562942117</v>
      </c>
      <c r="Z45">
        <v>0.75550943196991904</v>
      </c>
      <c r="AA45">
        <v>6.0440754557593523</v>
      </c>
      <c r="AB45">
        <v>0.3473702696110697</v>
      </c>
      <c r="AC45">
        <v>0.72137751203514311</v>
      </c>
      <c r="AD45">
        <v>0.52595950209921782</v>
      </c>
      <c r="AE45">
        <v>131.73499951362609</v>
      </c>
      <c r="AF45">
        <v>24.985000006357829</v>
      </c>
      <c r="AG45">
        <v>14.660000054041545</v>
      </c>
      <c r="AH45">
        <v>86.160000000000011</v>
      </c>
      <c r="AI45">
        <v>0.49983333333333324</v>
      </c>
      <c r="AJ45">
        <v>459</v>
      </c>
      <c r="AK45" s="3">
        <v>33.5</v>
      </c>
      <c r="AL45" s="2">
        <v>6</v>
      </c>
      <c r="AM45">
        <v>0.84285714285714297</v>
      </c>
      <c r="AN45">
        <v>1.822617832290264</v>
      </c>
      <c r="AO45">
        <v>95</v>
      </c>
      <c r="AP45" s="5">
        <v>1.145</v>
      </c>
      <c r="AQ45" s="5">
        <f t="shared" si="3"/>
        <v>0.19083333333333333</v>
      </c>
      <c r="AR45" s="5">
        <v>0.11000000000000001</v>
      </c>
      <c r="AS45">
        <v>10.409090909090908</v>
      </c>
    </row>
    <row r="46" spans="1:45" x14ac:dyDescent="0.3">
      <c r="A46" t="s">
        <v>45</v>
      </c>
      <c r="B46">
        <v>0.28890442347275619</v>
      </c>
      <c r="C46">
        <v>0.29083729198644992</v>
      </c>
      <c r="D46">
        <v>0.12121480030355659</v>
      </c>
      <c r="E46">
        <v>-4.0089577931491416</v>
      </c>
      <c r="F46">
        <v>-0.70317826185939336</v>
      </c>
      <c r="G46">
        <v>3.9</v>
      </c>
      <c r="H46">
        <v>6.2</v>
      </c>
      <c r="I46">
        <v>5.3</v>
      </c>
      <c r="J46">
        <v>0.26917832723887414</v>
      </c>
      <c r="K46">
        <v>157</v>
      </c>
      <c r="L46">
        <v>-0.62714947503004992</v>
      </c>
      <c r="M46">
        <v>1.108822831754406</v>
      </c>
      <c r="N46">
        <v>-297.91234436035154</v>
      </c>
      <c r="O46">
        <v>203.01566462939672</v>
      </c>
      <c r="P46">
        <f t="shared" si="1"/>
        <v>5.3132831417267239</v>
      </c>
      <c r="Q46">
        <v>33835.944104899456</v>
      </c>
      <c r="R46">
        <f t="shared" si="2"/>
        <v>10.429278951480805</v>
      </c>
      <c r="S46">
        <v>8</v>
      </c>
      <c r="T46">
        <v>697.7424920000002</v>
      </c>
      <c r="U46">
        <v>0.63622116853066335</v>
      </c>
      <c r="V46">
        <v>0.61690066195772031</v>
      </c>
      <c r="W46">
        <v>-0.83242885616467088</v>
      </c>
      <c r="X46">
        <v>-0.24212194059721129</v>
      </c>
      <c r="Y46">
        <v>-1.1247098202115819</v>
      </c>
      <c r="Z46">
        <v>0.80190162572505408</v>
      </c>
      <c r="AA46">
        <v>6.4152130058004326</v>
      </c>
      <c r="AB46">
        <v>0.72710990926638308</v>
      </c>
      <c r="AC46">
        <v>0.80617802874795619</v>
      </c>
      <c r="AD46">
        <v>0.46988218393277292</v>
      </c>
      <c r="AE46">
        <v>131.73499951362609</v>
      </c>
      <c r="AF46">
        <v>24.985000006357829</v>
      </c>
      <c r="AG46">
        <v>14.660000054041545</v>
      </c>
      <c r="AH46">
        <v>86.160000000000011</v>
      </c>
      <c r="AI46">
        <v>0.49983333333333324</v>
      </c>
      <c r="AJ46">
        <v>459</v>
      </c>
      <c r="AK46" s="3">
        <v>33.5</v>
      </c>
      <c r="AL46" s="2">
        <v>6</v>
      </c>
      <c r="AM46">
        <v>0.9722222222222221</v>
      </c>
      <c r="AN46">
        <v>2.0431918705451211</v>
      </c>
      <c r="AO46">
        <v>95</v>
      </c>
      <c r="AP46" s="5">
        <v>1.145</v>
      </c>
      <c r="AQ46" s="5">
        <f t="shared" si="3"/>
        <v>0.19083333333333333</v>
      </c>
      <c r="AR46" s="5">
        <v>0.11000000000000001</v>
      </c>
      <c r="AS46">
        <v>10.409090909090908</v>
      </c>
    </row>
    <row r="47" spans="1:45" x14ac:dyDescent="0.3">
      <c r="A47" t="s">
        <v>46</v>
      </c>
      <c r="B47">
        <v>0.35774818401937047</v>
      </c>
      <c r="C47">
        <v>-0.23024744880550771</v>
      </c>
      <c r="D47">
        <v>9.3716301872266122E-2</v>
      </c>
      <c r="E47">
        <v>-4.0089577931491416</v>
      </c>
      <c r="F47">
        <v>-0.70317826185939336</v>
      </c>
      <c r="G47">
        <v>3.9</v>
      </c>
      <c r="H47">
        <v>6.2</v>
      </c>
      <c r="I47">
        <v>5.3</v>
      </c>
      <c r="J47">
        <v>0.92985271745490428</v>
      </c>
      <c r="K47">
        <v>157</v>
      </c>
      <c r="L47">
        <v>-0.62714947503004992</v>
      </c>
      <c r="M47">
        <v>1.108822831754406</v>
      </c>
      <c r="N47">
        <v>-297.91234436035154</v>
      </c>
      <c r="O47">
        <v>152.38234302202929</v>
      </c>
      <c r="P47">
        <f t="shared" si="1"/>
        <v>5.02639277710482</v>
      </c>
      <c r="Q47">
        <v>25397.057170338212</v>
      </c>
      <c r="R47">
        <f t="shared" si="2"/>
        <v>10.142388586858901</v>
      </c>
      <c r="S47">
        <v>6</v>
      </c>
      <c r="T47">
        <v>502.93841300000031</v>
      </c>
      <c r="U47">
        <v>0.20375076635444719</v>
      </c>
      <c r="V47">
        <v>0.22467776020860891</v>
      </c>
      <c r="W47">
        <v>-1.9437994916341139</v>
      </c>
      <c r="X47">
        <v>-1.1642788025350581</v>
      </c>
      <c r="Y47">
        <v>-1.396627278526327</v>
      </c>
      <c r="Z47">
        <v>0.73312937291477176</v>
      </c>
      <c r="AA47">
        <v>4.3987762374886303</v>
      </c>
      <c r="AB47">
        <v>0.24450092089865891</v>
      </c>
      <c r="AC47">
        <v>0.64197817414512903</v>
      </c>
      <c r="AD47">
        <v>0.45364194347732623</v>
      </c>
      <c r="AE47">
        <v>131.73499951362609</v>
      </c>
      <c r="AF47">
        <v>24.985000006357829</v>
      </c>
      <c r="AG47">
        <v>14.660000054041545</v>
      </c>
      <c r="AH47">
        <v>86.160000000000011</v>
      </c>
      <c r="AI47">
        <v>0.49983333333333324</v>
      </c>
      <c r="AJ47">
        <v>459</v>
      </c>
      <c r="AK47" s="3">
        <v>33.5</v>
      </c>
      <c r="AL47" s="2">
        <v>6</v>
      </c>
      <c r="AM47">
        <v>0.89285714285714235</v>
      </c>
      <c r="AN47">
        <v>1.6674619334292951</v>
      </c>
      <c r="AO47">
        <v>95</v>
      </c>
      <c r="AP47" s="5">
        <v>1.145</v>
      </c>
      <c r="AQ47" s="5">
        <f t="shared" si="3"/>
        <v>0.19083333333333333</v>
      </c>
      <c r="AR47" s="5">
        <v>0.11000000000000001</v>
      </c>
      <c r="AS47">
        <v>10.409090909090908</v>
      </c>
    </row>
    <row r="48" spans="1:45" x14ac:dyDescent="0.3">
      <c r="A48" t="s">
        <v>47</v>
      </c>
      <c r="B48">
        <v>0.3873720728534259</v>
      </c>
      <c r="C48">
        <v>-9.8167872004652962E-2</v>
      </c>
      <c r="D48">
        <v>5.7982083655894419E-2</v>
      </c>
      <c r="E48">
        <v>-4.0089577931491416</v>
      </c>
      <c r="F48">
        <v>-0.70317826185939336</v>
      </c>
      <c r="G48">
        <v>3.9</v>
      </c>
      <c r="H48">
        <v>6.2</v>
      </c>
      <c r="I48">
        <v>5.3</v>
      </c>
      <c r="J48">
        <v>0.74773469949606797</v>
      </c>
      <c r="K48">
        <v>157</v>
      </c>
      <c r="L48">
        <v>-0.62714947503004992</v>
      </c>
      <c r="M48">
        <v>1.108822831754406</v>
      </c>
      <c r="N48">
        <v>-297.91234436035154</v>
      </c>
      <c r="O48">
        <v>453.49498894478472</v>
      </c>
      <c r="P48">
        <f t="shared" si="1"/>
        <v>6.116984219758276</v>
      </c>
      <c r="Q48">
        <v>75582.498157464128</v>
      </c>
      <c r="R48">
        <f t="shared" si="2"/>
        <v>11.232980029512358</v>
      </c>
      <c r="S48">
        <v>10</v>
      </c>
      <c r="T48">
        <v>592.06946900000025</v>
      </c>
      <c r="U48">
        <v>0.41268472463909323</v>
      </c>
      <c r="V48">
        <v>0.29942618620792588</v>
      </c>
      <c r="W48">
        <v>-2.9891096893687932</v>
      </c>
      <c r="X48">
        <v>-5.3237597626982547</v>
      </c>
      <c r="Y48">
        <v>-2.4031094004769891</v>
      </c>
      <c r="Z48">
        <v>0.5704356102551662</v>
      </c>
      <c r="AA48">
        <v>5.704356102551662</v>
      </c>
      <c r="AB48">
        <v>0.45853858544321813</v>
      </c>
      <c r="AC48">
        <v>0.60812705312204107</v>
      </c>
      <c r="AD48">
        <v>0.33263519299271921</v>
      </c>
      <c r="AE48">
        <v>131.73499951362609</v>
      </c>
      <c r="AF48">
        <v>24.985000006357829</v>
      </c>
      <c r="AG48">
        <v>14.660000054041545</v>
      </c>
      <c r="AH48">
        <v>86.160000000000011</v>
      </c>
      <c r="AI48">
        <v>0.49983333333333324</v>
      </c>
      <c r="AJ48">
        <v>459</v>
      </c>
      <c r="AK48" s="3">
        <v>33.5</v>
      </c>
      <c r="AL48" s="2">
        <v>6</v>
      </c>
      <c r="AM48">
        <v>0.90666666666666318</v>
      </c>
      <c r="AN48">
        <v>2.155185248848456</v>
      </c>
      <c r="AO48">
        <v>95</v>
      </c>
      <c r="AP48" s="5">
        <v>1.145</v>
      </c>
      <c r="AQ48" s="5">
        <f t="shared" si="3"/>
        <v>0.19083333333333333</v>
      </c>
      <c r="AR48" s="5">
        <v>0.11000000000000001</v>
      </c>
      <c r="AS48">
        <v>10.409090909090908</v>
      </c>
    </row>
    <row r="49" spans="1:45" x14ac:dyDescent="0.3">
      <c r="A49" t="s">
        <v>48</v>
      </c>
      <c r="B49">
        <v>0.34081402831402829</v>
      </c>
      <c r="C49">
        <v>0.29750416331155649</v>
      </c>
      <c r="D49">
        <v>0.28194465491546039</v>
      </c>
      <c r="E49">
        <v>-4.0089577931491416</v>
      </c>
      <c r="F49">
        <v>-0.70317826185939336</v>
      </c>
      <c r="G49">
        <v>3.9</v>
      </c>
      <c r="H49">
        <v>6.2</v>
      </c>
      <c r="I49">
        <v>5.3</v>
      </c>
      <c r="J49">
        <v>0.11719574182411045</v>
      </c>
      <c r="K49">
        <v>157</v>
      </c>
      <c r="L49">
        <v>-0.62714947503004992</v>
      </c>
      <c r="M49">
        <v>1.108822831754406</v>
      </c>
      <c r="N49">
        <v>-297.91234436035154</v>
      </c>
      <c r="O49">
        <v>303.782534131202</v>
      </c>
      <c r="P49">
        <f t="shared" si="1"/>
        <v>5.7163120971699497</v>
      </c>
      <c r="Q49">
        <v>50630.422355200353</v>
      </c>
      <c r="R49">
        <f t="shared" si="2"/>
        <v>10.832307906924033</v>
      </c>
      <c r="S49">
        <v>5</v>
      </c>
      <c r="T49">
        <v>427.74181600000009</v>
      </c>
      <c r="U49">
        <v>0.21670983348682241</v>
      </c>
      <c r="V49">
        <v>0.71771485271661029</v>
      </c>
      <c r="W49">
        <v>-1.3350069420764989</v>
      </c>
      <c r="X49">
        <v>-1.325626631349065</v>
      </c>
      <c r="Y49">
        <v>-1.350578579075763</v>
      </c>
      <c r="Z49">
        <v>0.71253835722367243</v>
      </c>
      <c r="AA49">
        <v>3.562691786118362</v>
      </c>
      <c r="AB49">
        <v>0.27088729297276498</v>
      </c>
      <c r="AC49">
        <v>0.68456430421006353</v>
      </c>
      <c r="AD49">
        <v>0.46323879487089831</v>
      </c>
      <c r="AE49">
        <v>131.73499951362609</v>
      </c>
      <c r="AF49">
        <v>24.985000006357829</v>
      </c>
      <c r="AG49">
        <v>14.660000054041545</v>
      </c>
      <c r="AH49">
        <v>86.160000000000011</v>
      </c>
      <c r="AI49">
        <v>0.49983333333333324</v>
      </c>
      <c r="AJ49">
        <v>459</v>
      </c>
      <c r="AK49" s="3">
        <v>33.5</v>
      </c>
      <c r="AL49" s="2">
        <v>6</v>
      </c>
      <c r="AM49">
        <v>0.72499999999999676</v>
      </c>
      <c r="AN49">
        <v>1.3535913521346059</v>
      </c>
      <c r="AO49">
        <v>95</v>
      </c>
      <c r="AP49" s="5">
        <v>1.145</v>
      </c>
      <c r="AQ49" s="5">
        <f t="shared" si="3"/>
        <v>0.19083333333333333</v>
      </c>
      <c r="AR49" s="5">
        <v>0.11000000000000001</v>
      </c>
      <c r="AS49">
        <v>10.409090909090908</v>
      </c>
    </row>
    <row r="50" spans="1:45" x14ac:dyDescent="0.3">
      <c r="A50" t="s">
        <v>49</v>
      </c>
      <c r="B50">
        <v>0.47136674718196447</v>
      </c>
      <c r="C50">
        <v>0.18922832665947409</v>
      </c>
      <c r="D50">
        <v>-4.0169246136655859E-2</v>
      </c>
      <c r="E50">
        <v>-0.68726984535175462</v>
      </c>
      <c r="F50">
        <v>-2.3201785896005021</v>
      </c>
      <c r="G50">
        <v>1.2999999999999998</v>
      </c>
      <c r="H50">
        <v>6.6999999999999993</v>
      </c>
      <c r="I50">
        <v>4.6999999999999993</v>
      </c>
      <c r="J50">
        <v>0.43595015576323992</v>
      </c>
      <c r="K50">
        <v>138</v>
      </c>
      <c r="L50">
        <v>-1.0611195775736451</v>
      </c>
      <c r="M50">
        <v>1.2741878260523429</v>
      </c>
      <c r="N50">
        <v>-365.40533447265631</v>
      </c>
      <c r="O50">
        <v>231.94991064140532</v>
      </c>
      <c r="P50">
        <f t="shared" si="1"/>
        <v>5.446521445948294</v>
      </c>
      <c r="Q50">
        <v>46389.982128281066</v>
      </c>
      <c r="R50">
        <f t="shared" si="2"/>
        <v>10.744838812496331</v>
      </c>
      <c r="S50">
        <v>12</v>
      </c>
      <c r="T50">
        <v>781.95431600000074</v>
      </c>
      <c r="U50">
        <v>0.67624682084678156</v>
      </c>
      <c r="V50">
        <v>0.43657665141900998</v>
      </c>
      <c r="W50">
        <v>-2.664579224716586</v>
      </c>
      <c r="X50">
        <v>-2.3830479268429952</v>
      </c>
      <c r="Y50">
        <v>-2.5083291238781982</v>
      </c>
      <c r="Z50">
        <v>0.72332087050797944</v>
      </c>
      <c r="AA50">
        <v>8.6798504460957524</v>
      </c>
      <c r="AB50">
        <v>0.7377238080957188</v>
      </c>
      <c r="AC50">
        <v>0.73327018583759351</v>
      </c>
      <c r="AD50">
        <v>0.308299460078021</v>
      </c>
      <c r="AE50">
        <v>114.98333368301391</v>
      </c>
      <c r="AF50">
        <v>26.721666622161866</v>
      </c>
      <c r="AG50">
        <v>16.640000104904175</v>
      </c>
      <c r="AH50">
        <v>92.15666666666668</v>
      </c>
      <c r="AI50">
        <v>0.58033333333333348</v>
      </c>
      <c r="AJ50">
        <v>91</v>
      </c>
      <c r="AK50" s="3">
        <v>0</v>
      </c>
      <c r="AL50" s="2">
        <v>5</v>
      </c>
      <c r="AM50">
        <v>0.94117647058824971</v>
      </c>
      <c r="AN50">
        <v>2.351257284127318</v>
      </c>
      <c r="AO50">
        <v>217</v>
      </c>
      <c r="AP50" s="5">
        <v>1.4449999999999998</v>
      </c>
      <c r="AQ50" s="5">
        <f t="shared" si="3"/>
        <v>0.28899999999999998</v>
      </c>
      <c r="AR50" s="5">
        <v>0.11</v>
      </c>
      <c r="AS50">
        <v>13.136363636363635</v>
      </c>
    </row>
    <row r="51" spans="1:45" x14ac:dyDescent="0.3">
      <c r="A51" t="s">
        <v>50</v>
      </c>
      <c r="B51">
        <v>0.33814538916003078</v>
      </c>
      <c r="C51">
        <v>2.236600669749016E-2</v>
      </c>
      <c r="D51">
        <v>-5.5766544569532367E-2</v>
      </c>
      <c r="E51">
        <v>-0.68726984535175462</v>
      </c>
      <c r="F51">
        <v>-2.3201785896005021</v>
      </c>
      <c r="G51">
        <v>1.2999999999999998</v>
      </c>
      <c r="H51">
        <v>6.6999999999999993</v>
      </c>
      <c r="I51">
        <v>4.6999999999999993</v>
      </c>
      <c r="J51">
        <v>0.64335882536486577</v>
      </c>
      <c r="K51">
        <v>138</v>
      </c>
      <c r="L51">
        <v>-1.0611195775736451</v>
      </c>
      <c r="M51">
        <v>1.2741878260523429</v>
      </c>
      <c r="N51">
        <v>-365.40533447265631</v>
      </c>
      <c r="O51">
        <v>342.45870137936623</v>
      </c>
      <c r="P51">
        <f t="shared" si="1"/>
        <v>5.8361510705176789</v>
      </c>
      <c r="Q51">
        <v>68491.740275873264</v>
      </c>
      <c r="R51">
        <f t="shared" si="2"/>
        <v>11.134468437065715</v>
      </c>
      <c r="S51">
        <v>13</v>
      </c>
      <c r="T51">
        <v>950.53617300000053</v>
      </c>
      <c r="U51">
        <v>0.58711433911389754</v>
      </c>
      <c r="V51">
        <v>0.26436665236936402</v>
      </c>
      <c r="W51">
        <v>-1.8453841856510249</v>
      </c>
      <c r="X51">
        <v>-1.129172521504501</v>
      </c>
      <c r="Y51">
        <v>-1.6754666039149131</v>
      </c>
      <c r="Z51">
        <v>0.77280579417082063</v>
      </c>
      <c r="AA51">
        <v>10.046475324220671</v>
      </c>
      <c r="AB51">
        <v>0.63604053567189911</v>
      </c>
      <c r="AC51">
        <v>0.77293891411974014</v>
      </c>
      <c r="AD51">
        <v>0.38025860321798072</v>
      </c>
      <c r="AE51">
        <v>114.98333368301391</v>
      </c>
      <c r="AF51">
        <v>26.721666622161866</v>
      </c>
      <c r="AG51">
        <v>16.640000104904175</v>
      </c>
      <c r="AH51">
        <v>92.15666666666668</v>
      </c>
      <c r="AI51">
        <v>0.58033333333333348</v>
      </c>
      <c r="AJ51">
        <v>91</v>
      </c>
      <c r="AK51" s="3">
        <v>0</v>
      </c>
      <c r="AL51" s="2">
        <v>5</v>
      </c>
      <c r="AM51">
        <v>0.95238095238095299</v>
      </c>
      <c r="AN51">
        <v>2.466577143604936</v>
      </c>
      <c r="AO51">
        <v>217</v>
      </c>
      <c r="AP51" s="5">
        <v>1.4449999999999998</v>
      </c>
      <c r="AQ51" s="5">
        <f t="shared" si="3"/>
        <v>0.28899999999999998</v>
      </c>
      <c r="AR51" s="5">
        <v>0.11</v>
      </c>
      <c r="AS51">
        <v>13.136363636363635</v>
      </c>
    </row>
    <row r="52" spans="1:45" x14ac:dyDescent="0.3">
      <c r="A52" t="s">
        <v>51</v>
      </c>
      <c r="B52">
        <v>0.37585733882030181</v>
      </c>
      <c r="C52">
        <v>0.20567053196329821</v>
      </c>
      <c r="D52">
        <v>-3.6208765034082983E-2</v>
      </c>
      <c r="E52">
        <v>-0.68726984535175462</v>
      </c>
      <c r="F52">
        <v>-2.3201785896005021</v>
      </c>
      <c r="G52">
        <v>1.2999999999999998</v>
      </c>
      <c r="H52">
        <v>6.6999999999999993</v>
      </c>
      <c r="I52">
        <v>4.6999999999999993</v>
      </c>
      <c r="J52">
        <v>0.38615985988192036</v>
      </c>
      <c r="K52">
        <v>138</v>
      </c>
      <c r="L52">
        <v>-1.0611195775736451</v>
      </c>
      <c r="M52">
        <v>1.2741878260523429</v>
      </c>
      <c r="N52">
        <v>-365.40533447265631</v>
      </c>
      <c r="O52">
        <v>180.67456340622334</v>
      </c>
      <c r="P52">
        <f t="shared" si="1"/>
        <v>5.1966974207068661</v>
      </c>
      <c r="Q52">
        <v>36134.91268124467</v>
      </c>
      <c r="R52">
        <f t="shared" si="2"/>
        <v>10.495014787254902</v>
      </c>
      <c r="S52">
        <v>10</v>
      </c>
      <c r="T52">
        <v>851.16197100000056</v>
      </c>
      <c r="U52">
        <v>0.66682361408532131</v>
      </c>
      <c r="V52">
        <v>0.418256139416393</v>
      </c>
      <c r="W52">
        <v>-0.66622348832499312</v>
      </c>
      <c r="X52">
        <v>-0.15689427433623371</v>
      </c>
      <c r="Y52">
        <v>-1.0904828495531911</v>
      </c>
      <c r="Z52">
        <v>0.80406801930232841</v>
      </c>
      <c r="AA52">
        <v>8.0406801930232845</v>
      </c>
      <c r="AB52">
        <v>0.74091512910246426</v>
      </c>
      <c r="AC52">
        <v>0.78767109268396551</v>
      </c>
      <c r="AD52">
        <v>0.4535191109892277</v>
      </c>
      <c r="AE52">
        <v>114.98333368301391</v>
      </c>
      <c r="AF52">
        <v>26.721666622161866</v>
      </c>
      <c r="AG52">
        <v>16.640000104904175</v>
      </c>
      <c r="AH52">
        <v>92.15666666666668</v>
      </c>
      <c r="AI52">
        <v>0.58033333333333348</v>
      </c>
      <c r="AJ52">
        <v>91</v>
      </c>
      <c r="AK52" s="3">
        <v>0</v>
      </c>
      <c r="AL52" s="2">
        <v>5</v>
      </c>
      <c r="AM52">
        <v>0.94871794871794313</v>
      </c>
      <c r="AN52">
        <v>2.2047854169135199</v>
      </c>
      <c r="AO52">
        <v>217</v>
      </c>
      <c r="AP52" s="5">
        <v>1.4449999999999998</v>
      </c>
      <c r="AQ52" s="5">
        <f t="shared" si="3"/>
        <v>0.28899999999999998</v>
      </c>
      <c r="AR52" s="5">
        <v>0.11</v>
      </c>
      <c r="AS52">
        <v>13.136363636363635</v>
      </c>
    </row>
    <row r="53" spans="1:45" x14ac:dyDescent="0.3">
      <c r="A53" t="s">
        <v>52</v>
      </c>
      <c r="B53">
        <v>0.46381031613976698</v>
      </c>
      <c r="C53">
        <v>0.33272626550831408</v>
      </c>
      <c r="D53">
        <v>0.1221678599779298</v>
      </c>
      <c r="E53">
        <v>-0.68726984535175462</v>
      </c>
      <c r="F53">
        <v>-2.3201785896005021</v>
      </c>
      <c r="G53">
        <v>1.2999999999999998</v>
      </c>
      <c r="H53">
        <v>6.6999999999999993</v>
      </c>
      <c r="I53">
        <v>4.6999999999999993</v>
      </c>
      <c r="J53">
        <v>0.22698787539949436</v>
      </c>
      <c r="K53">
        <v>138</v>
      </c>
      <c r="L53">
        <v>-1.0611195775736451</v>
      </c>
      <c r="M53">
        <v>1.2741878260523429</v>
      </c>
      <c r="N53">
        <v>-365.40533447265631</v>
      </c>
      <c r="O53">
        <v>430.93546786482216</v>
      </c>
      <c r="P53">
        <f t="shared" si="1"/>
        <v>6.0659583523618767</v>
      </c>
      <c r="Q53">
        <v>86187.093572964426</v>
      </c>
      <c r="R53">
        <f t="shared" si="2"/>
        <v>11.364275718909914</v>
      </c>
      <c r="S53">
        <v>10</v>
      </c>
      <c r="T53">
        <v>919.86515200000065</v>
      </c>
      <c r="U53">
        <v>0.55303988400105675</v>
      </c>
      <c r="V53">
        <v>0.63564718534226983</v>
      </c>
      <c r="W53">
        <v>-0.2148394781615183</v>
      </c>
      <c r="X53">
        <v>0.25383732805854697</v>
      </c>
      <c r="Y53">
        <v>5.8644548700627887E-2</v>
      </c>
      <c r="Z53">
        <v>0.8269320540087316</v>
      </c>
      <c r="AA53">
        <v>8.2693205400873158</v>
      </c>
      <c r="AB53">
        <v>0.61448876232564609</v>
      </c>
      <c r="AC53">
        <v>0.77626332579626112</v>
      </c>
      <c r="AD53">
        <v>0.55408394592630805</v>
      </c>
      <c r="AE53">
        <v>114.98333368301391</v>
      </c>
      <c r="AF53">
        <v>26.721666622161866</v>
      </c>
      <c r="AG53">
        <v>16.640000104904175</v>
      </c>
      <c r="AH53">
        <v>92.15666666666668</v>
      </c>
      <c r="AI53">
        <v>0.58033333333333348</v>
      </c>
      <c r="AJ53">
        <v>91</v>
      </c>
      <c r="AK53" s="3">
        <v>0</v>
      </c>
      <c r="AL53" s="2">
        <v>5</v>
      </c>
      <c r="AM53">
        <v>0.88888888888889994</v>
      </c>
      <c r="AN53">
        <v>2.0582239041311672</v>
      </c>
      <c r="AO53">
        <v>217</v>
      </c>
      <c r="AP53" s="5">
        <v>1.4449999999999998</v>
      </c>
      <c r="AQ53" s="5">
        <f t="shared" si="3"/>
        <v>0.28899999999999998</v>
      </c>
      <c r="AR53" s="5">
        <v>0.11</v>
      </c>
      <c r="AS53">
        <v>13.136363636363635</v>
      </c>
    </row>
    <row r="54" spans="1:45" x14ac:dyDescent="0.3">
      <c r="A54" t="s">
        <v>53</v>
      </c>
      <c r="B54">
        <v>0.1813197767145136</v>
      </c>
      <c r="C54">
        <v>0.1832794128437932</v>
      </c>
      <c r="D54">
        <v>-6.0358718185391978E-2</v>
      </c>
      <c r="E54">
        <v>-0.68726984535175462</v>
      </c>
      <c r="F54">
        <v>-2.3201785896005021</v>
      </c>
      <c r="G54">
        <v>1.2999999999999998</v>
      </c>
      <c r="H54">
        <v>6.6999999999999993</v>
      </c>
      <c r="I54">
        <v>4.6999999999999993</v>
      </c>
      <c r="J54">
        <v>0.32795620381832585</v>
      </c>
      <c r="K54">
        <v>138</v>
      </c>
      <c r="L54">
        <v>-1.0611195775736451</v>
      </c>
      <c r="M54">
        <v>1.2741878260523429</v>
      </c>
      <c r="N54">
        <v>-365.40533447265631</v>
      </c>
      <c r="O54">
        <v>424.56164184753948</v>
      </c>
      <c r="P54">
        <f t="shared" si="1"/>
        <v>6.0510572056865062</v>
      </c>
      <c r="Q54">
        <v>84912.328369507886</v>
      </c>
      <c r="R54">
        <f t="shared" si="2"/>
        <v>11.349374572234543</v>
      </c>
      <c r="S54">
        <v>7</v>
      </c>
      <c r="T54">
        <v>601.24194300000033</v>
      </c>
      <c r="U54">
        <v>0.61573370014309392</v>
      </c>
      <c r="V54">
        <v>0.63239481163303168</v>
      </c>
      <c r="W54">
        <v>-1.297988840104894</v>
      </c>
      <c r="X54">
        <v>-1.257382555658487</v>
      </c>
      <c r="Y54">
        <v>-0.77714085012625089</v>
      </c>
      <c r="Z54">
        <v>0.73849329380259954</v>
      </c>
      <c r="AA54">
        <v>5.1694530566181971</v>
      </c>
      <c r="AB54">
        <v>0.71835598618754715</v>
      </c>
      <c r="AC54">
        <v>0.70572615495594004</v>
      </c>
      <c r="AD54">
        <v>0.51018828059423482</v>
      </c>
      <c r="AE54">
        <v>114.98333368301391</v>
      </c>
      <c r="AF54">
        <v>26.721666622161866</v>
      </c>
      <c r="AG54">
        <v>16.640000104904175</v>
      </c>
      <c r="AH54">
        <v>92.15666666666668</v>
      </c>
      <c r="AI54">
        <v>0.58033333333333348</v>
      </c>
      <c r="AJ54">
        <v>91</v>
      </c>
      <c r="AK54" s="3">
        <v>0</v>
      </c>
      <c r="AL54" s="2">
        <v>5</v>
      </c>
      <c r="AM54">
        <v>0.85620915032680123</v>
      </c>
      <c r="AN54">
        <v>1.7690361613040131</v>
      </c>
      <c r="AO54">
        <v>217</v>
      </c>
      <c r="AP54" s="5">
        <v>1.4449999999999998</v>
      </c>
      <c r="AQ54" s="5">
        <f t="shared" si="3"/>
        <v>0.28899999999999998</v>
      </c>
      <c r="AR54" s="5">
        <v>0.11</v>
      </c>
      <c r="AS54">
        <v>13.136363636363635</v>
      </c>
    </row>
    <row r="55" spans="1:45" x14ac:dyDescent="0.3">
      <c r="A55" t="s">
        <v>54</v>
      </c>
      <c r="B55">
        <v>0.29169630156472259</v>
      </c>
      <c r="C55">
        <v>-6.9306552388862051E-3</v>
      </c>
      <c r="D55">
        <v>-2.6828460732081231E-2</v>
      </c>
      <c r="E55">
        <v>0.40123856900754362</v>
      </c>
      <c r="F55">
        <v>-0.96047131649097006</v>
      </c>
      <c r="G55">
        <v>1.1000000000000001</v>
      </c>
      <c r="H55">
        <v>7.3000000000000007</v>
      </c>
      <c r="I55">
        <v>4.8499999999999996</v>
      </c>
      <c r="J55">
        <v>0.66390620143625989</v>
      </c>
      <c r="K55">
        <v>122.5</v>
      </c>
      <c r="L55">
        <v>1.0214074070221539</v>
      </c>
      <c r="M55">
        <v>9.9367025705473455E-2</v>
      </c>
      <c r="N55">
        <v>-391.16952514648438</v>
      </c>
      <c r="O55">
        <v>399.21470978132982</v>
      </c>
      <c r="P55">
        <f t="shared" si="1"/>
        <v>5.9894993919080566</v>
      </c>
      <c r="Q55">
        <v>99803.677445332462</v>
      </c>
      <c r="R55">
        <f t="shared" si="2"/>
        <v>11.510960309770303</v>
      </c>
      <c r="S55">
        <v>17</v>
      </c>
      <c r="T55">
        <v>1412.598898</v>
      </c>
      <c r="U55">
        <v>0.55603005930803939</v>
      </c>
      <c r="V55">
        <v>0.37737416110225669</v>
      </c>
      <c r="W55">
        <v>-2.5370184067975071E-2</v>
      </c>
      <c r="X55">
        <v>-0.34784835457082069</v>
      </c>
      <c r="Y55">
        <v>0.62108584864258287</v>
      </c>
      <c r="Z55">
        <v>0.80285726336066388</v>
      </c>
      <c r="AA55">
        <v>13.64857347713129</v>
      </c>
      <c r="AB55">
        <v>0.59078194018798091</v>
      </c>
      <c r="AC55">
        <v>0.8006797762911394</v>
      </c>
      <c r="AD55">
        <v>0.51061930636685871</v>
      </c>
      <c r="AE55">
        <v>110.70166649818421</v>
      </c>
      <c r="AF55">
        <v>27.495000012715657</v>
      </c>
      <c r="AG55">
        <v>17.801666688919067</v>
      </c>
      <c r="AH55">
        <v>94.47</v>
      </c>
      <c r="AI55">
        <v>0.63400000000000001</v>
      </c>
      <c r="AJ55">
        <v>61</v>
      </c>
      <c r="AK55" s="3">
        <v>15</v>
      </c>
      <c r="AL55" s="2">
        <v>4</v>
      </c>
      <c r="AM55">
        <v>0.94861660079046839</v>
      </c>
      <c r="AN55">
        <v>2.6423191538345918</v>
      </c>
      <c r="AO55">
        <v>95</v>
      </c>
      <c r="AP55" s="5">
        <v>1.5550000000000002</v>
      </c>
      <c r="AQ55" s="5">
        <f t="shared" si="3"/>
        <v>0.38875000000000004</v>
      </c>
      <c r="AR55" s="5">
        <v>9.5000000000000001E-2</v>
      </c>
      <c r="AS55">
        <v>16.368421052631579</v>
      </c>
    </row>
    <row r="56" spans="1:45" x14ac:dyDescent="0.3">
      <c r="A56" t="s">
        <v>55</v>
      </c>
      <c r="B56">
        <v>0.24856019103806709</v>
      </c>
      <c r="C56">
        <v>0.118451922947613</v>
      </c>
      <c r="D56">
        <v>-8.9718254320620999E-2</v>
      </c>
      <c r="E56">
        <v>0.40123856900754362</v>
      </c>
      <c r="F56">
        <v>-0.96047131649097006</v>
      </c>
      <c r="G56">
        <v>1.1000000000000001</v>
      </c>
      <c r="H56">
        <v>7.3000000000000007</v>
      </c>
      <c r="I56">
        <v>4.8499999999999996</v>
      </c>
      <c r="J56">
        <v>0.38638618268766056</v>
      </c>
      <c r="K56">
        <v>122.5</v>
      </c>
      <c r="L56">
        <v>1.0214074070221539</v>
      </c>
      <c r="M56">
        <v>9.9367025705473455E-2</v>
      </c>
      <c r="N56">
        <v>-391.16952514648438</v>
      </c>
      <c r="O56">
        <v>223.03906788713536</v>
      </c>
      <c r="P56">
        <f t="shared" si="1"/>
        <v>5.4073469484347294</v>
      </c>
      <c r="Q56">
        <v>55759.766971783843</v>
      </c>
      <c r="R56">
        <f t="shared" si="2"/>
        <v>10.928807866296976</v>
      </c>
      <c r="S56">
        <v>11</v>
      </c>
      <c r="T56">
        <v>1061.298614</v>
      </c>
      <c r="U56">
        <v>0.64796962310665085</v>
      </c>
      <c r="V56">
        <v>0.62457527381006783</v>
      </c>
      <c r="W56">
        <v>0.71928401164317779</v>
      </c>
      <c r="X56">
        <v>0.79704211899497757</v>
      </c>
      <c r="Y56">
        <v>0.55614005571286751</v>
      </c>
      <c r="Z56">
        <v>0.84661617572054415</v>
      </c>
      <c r="AA56">
        <v>9.3127779329259859</v>
      </c>
      <c r="AB56">
        <v>0.71276658898303191</v>
      </c>
      <c r="AC56">
        <v>0.83413334648274706</v>
      </c>
      <c r="AD56">
        <v>0.5817247735751887</v>
      </c>
      <c r="AE56">
        <v>110.70166649818421</v>
      </c>
      <c r="AF56">
        <v>27.495000012715657</v>
      </c>
      <c r="AG56">
        <v>17.801666688919067</v>
      </c>
      <c r="AH56">
        <v>94.47</v>
      </c>
      <c r="AI56">
        <v>0.63400000000000001</v>
      </c>
      <c r="AJ56">
        <v>61</v>
      </c>
      <c r="AK56" s="3">
        <v>15</v>
      </c>
      <c r="AL56" s="2">
        <v>4</v>
      </c>
      <c r="AM56">
        <v>0.94852941176470273</v>
      </c>
      <c r="AN56">
        <v>2.313153678733634</v>
      </c>
      <c r="AO56">
        <v>95</v>
      </c>
      <c r="AP56" s="5">
        <v>1.5550000000000002</v>
      </c>
      <c r="AQ56" s="5">
        <f t="shared" si="3"/>
        <v>0.38875000000000004</v>
      </c>
      <c r="AR56" s="5">
        <v>9.5000000000000001E-2</v>
      </c>
      <c r="AS56">
        <v>16.368421052631579</v>
      </c>
    </row>
    <row r="57" spans="1:45" x14ac:dyDescent="0.3">
      <c r="A57" t="s">
        <v>56</v>
      </c>
      <c r="B57">
        <v>0.34456239168110919</v>
      </c>
      <c r="C57">
        <v>6.5176901547552388E-2</v>
      </c>
      <c r="D57">
        <v>-9.395527308663576E-2</v>
      </c>
      <c r="E57">
        <v>0.40123856900754362</v>
      </c>
      <c r="F57">
        <v>-0.96047131649097006</v>
      </c>
      <c r="G57">
        <v>1.1000000000000001</v>
      </c>
      <c r="H57">
        <v>7.3000000000000007</v>
      </c>
      <c r="I57">
        <v>4.8499999999999996</v>
      </c>
      <c r="J57">
        <v>0.4995350327027</v>
      </c>
      <c r="K57">
        <v>122.5</v>
      </c>
      <c r="L57">
        <v>1.0214074070221539</v>
      </c>
      <c r="M57">
        <v>9.9367025705473455E-2</v>
      </c>
      <c r="N57">
        <v>-391.16952514648438</v>
      </c>
      <c r="O57">
        <v>294.15582972331538</v>
      </c>
      <c r="P57">
        <f t="shared" si="1"/>
        <v>5.6841096599932692</v>
      </c>
      <c r="Q57">
        <v>73538.957430828828</v>
      </c>
      <c r="R57">
        <f t="shared" si="2"/>
        <v>11.205570577855516</v>
      </c>
      <c r="S57">
        <v>14</v>
      </c>
      <c r="T57">
        <v>1213.771434</v>
      </c>
      <c r="U57">
        <v>0.62997496341106096</v>
      </c>
      <c r="V57">
        <v>0.48010043403833003</v>
      </c>
      <c r="W57">
        <v>0.1977299999799921</v>
      </c>
      <c r="X57">
        <v>-6.6071444609835869E-2</v>
      </c>
      <c r="Y57">
        <v>0.51028924279433163</v>
      </c>
      <c r="Z57">
        <v>0.81187533399237632</v>
      </c>
      <c r="AA57">
        <v>11.36625467589327</v>
      </c>
      <c r="AB57">
        <v>0.67843457874553992</v>
      </c>
      <c r="AC57">
        <v>0.82508826886476783</v>
      </c>
      <c r="AD57">
        <v>0.53265549743632545</v>
      </c>
      <c r="AE57">
        <v>110.70166649818421</v>
      </c>
      <c r="AF57">
        <v>27.495000012715657</v>
      </c>
      <c r="AG57">
        <v>17.801666688919067</v>
      </c>
      <c r="AH57">
        <v>94.47</v>
      </c>
      <c r="AI57">
        <v>0.63400000000000001</v>
      </c>
      <c r="AJ57">
        <v>61</v>
      </c>
      <c r="AK57" s="3">
        <v>15</v>
      </c>
      <c r="AL57" s="2">
        <v>4</v>
      </c>
      <c r="AM57">
        <v>0.97794117647058876</v>
      </c>
      <c r="AN57">
        <v>2.5885731626821178</v>
      </c>
      <c r="AO57">
        <v>95</v>
      </c>
      <c r="AP57" s="5">
        <v>1.5550000000000002</v>
      </c>
      <c r="AQ57" s="5">
        <f t="shared" si="3"/>
        <v>0.38875000000000004</v>
      </c>
      <c r="AR57" s="5">
        <v>9.5000000000000001E-2</v>
      </c>
      <c r="AS57">
        <v>16.368421052631579</v>
      </c>
    </row>
    <row r="58" spans="1:45" x14ac:dyDescent="0.3">
      <c r="A58" t="s">
        <v>57</v>
      </c>
      <c r="B58">
        <v>0.27162293488824107</v>
      </c>
      <c r="C58">
        <v>0.30322382961868838</v>
      </c>
      <c r="D58">
        <v>7.5523789359058943E-2</v>
      </c>
      <c r="E58">
        <v>0.40123856900754362</v>
      </c>
      <c r="F58">
        <v>-0.96047131649097006</v>
      </c>
      <c r="G58">
        <v>1.1000000000000001</v>
      </c>
      <c r="H58">
        <v>7.3000000000000007</v>
      </c>
      <c r="I58">
        <v>4.8499999999999996</v>
      </c>
      <c r="J58">
        <v>0.17015772582432015</v>
      </c>
      <c r="K58">
        <v>122.5</v>
      </c>
      <c r="L58">
        <v>1.0214074070221539</v>
      </c>
      <c r="M58">
        <v>9.9367025705473455E-2</v>
      </c>
      <c r="N58">
        <v>-391.16952514648438</v>
      </c>
      <c r="O58">
        <v>236.50430276278956</v>
      </c>
      <c r="P58">
        <f t="shared" si="1"/>
        <v>5.4659664012666553</v>
      </c>
      <c r="Q58">
        <v>59126.075690697398</v>
      </c>
      <c r="R58">
        <f t="shared" si="2"/>
        <v>10.987427319128901</v>
      </c>
      <c r="S58">
        <v>12</v>
      </c>
      <c r="T58">
        <v>1060.8757340000011</v>
      </c>
      <c r="U58">
        <v>0.57743136296741604</v>
      </c>
      <c r="V58">
        <v>0.7240322288654879</v>
      </c>
      <c r="W58">
        <v>-4.540800136626922E-2</v>
      </c>
      <c r="X58">
        <v>0.42224718864306399</v>
      </c>
      <c r="Y58">
        <v>-0.31324618021785527</v>
      </c>
      <c r="Z58">
        <v>0.83147012731859649</v>
      </c>
      <c r="AA58">
        <v>9.9776415278231578</v>
      </c>
      <c r="AB58">
        <v>0.62992512538696843</v>
      </c>
      <c r="AC58">
        <v>0.8271620359584595</v>
      </c>
      <c r="AD58">
        <v>0.50039298243845431</v>
      </c>
      <c r="AE58">
        <v>110.70166649818421</v>
      </c>
      <c r="AF58">
        <v>27.495000012715657</v>
      </c>
      <c r="AG58">
        <v>17.801666688919067</v>
      </c>
      <c r="AH58">
        <v>94.47</v>
      </c>
      <c r="AI58">
        <v>0.63400000000000001</v>
      </c>
      <c r="AJ58">
        <v>61</v>
      </c>
      <c r="AK58" s="3">
        <v>15</v>
      </c>
      <c r="AL58" s="2">
        <v>4</v>
      </c>
      <c r="AM58">
        <v>0.95833333333331261</v>
      </c>
      <c r="AN58">
        <v>2.3933121229745238</v>
      </c>
      <c r="AO58">
        <v>95</v>
      </c>
      <c r="AP58" s="5">
        <v>1.5550000000000002</v>
      </c>
      <c r="AQ58" s="5">
        <f t="shared" si="3"/>
        <v>0.38875000000000004</v>
      </c>
      <c r="AR58" s="5">
        <v>9.5000000000000001E-2</v>
      </c>
      <c r="AS58">
        <v>16.368421052631579</v>
      </c>
    </row>
    <row r="59" spans="1:45" x14ac:dyDescent="0.3">
      <c r="A59" t="s">
        <v>58</v>
      </c>
      <c r="B59">
        <v>0.33756947573982271</v>
      </c>
      <c r="C59">
        <v>0.36118190341444029</v>
      </c>
      <c r="D59">
        <v>0.1757532038459125</v>
      </c>
      <c r="E59">
        <v>0.40123856900754362</v>
      </c>
      <c r="F59">
        <v>-0.96047131649097006</v>
      </c>
      <c r="G59">
        <v>1.1000000000000001</v>
      </c>
      <c r="H59">
        <v>7.3000000000000007</v>
      </c>
      <c r="I59">
        <v>4.8499999999999996</v>
      </c>
      <c r="J59">
        <v>7.6242473345977529E-2</v>
      </c>
      <c r="K59">
        <v>122.5</v>
      </c>
      <c r="L59">
        <v>1.0214074070221539</v>
      </c>
      <c r="M59">
        <v>9.9367025705473455E-2</v>
      </c>
      <c r="N59">
        <v>-391.16952514648438</v>
      </c>
      <c r="O59">
        <v>191.08827422207796</v>
      </c>
      <c r="P59">
        <f t="shared" si="1"/>
        <v>5.252735489981549</v>
      </c>
      <c r="Q59">
        <v>47772.068555519487</v>
      </c>
      <c r="R59">
        <f t="shared" si="2"/>
        <v>10.774196407843796</v>
      </c>
      <c r="S59">
        <v>9</v>
      </c>
      <c r="T59">
        <v>804.80245000000025</v>
      </c>
      <c r="U59">
        <v>0.69121839314756095</v>
      </c>
      <c r="V59">
        <v>0.48231251440486211</v>
      </c>
      <c r="W59">
        <v>-0.5360425679291112</v>
      </c>
      <c r="X59">
        <v>9.9115209288615141E-2</v>
      </c>
      <c r="Y59">
        <v>-0.73369741783754483</v>
      </c>
      <c r="Z59">
        <v>0.81798308188887559</v>
      </c>
      <c r="AA59">
        <v>7.3618477369998807</v>
      </c>
      <c r="AB59">
        <v>0.77762069467230099</v>
      </c>
      <c r="AC59">
        <v>0.7854723081469337</v>
      </c>
      <c r="AD59">
        <v>0.48445009480297851</v>
      </c>
      <c r="AE59">
        <v>110.70166649818421</v>
      </c>
      <c r="AF59">
        <v>27.495000012715657</v>
      </c>
      <c r="AG59">
        <v>17.801666688919067</v>
      </c>
      <c r="AH59">
        <v>94.47</v>
      </c>
      <c r="AI59">
        <v>0.63400000000000001</v>
      </c>
      <c r="AJ59">
        <v>61</v>
      </c>
      <c r="AK59" s="3">
        <v>15</v>
      </c>
      <c r="AL59" s="2">
        <v>4</v>
      </c>
      <c r="AM59">
        <v>0.90833333333332078</v>
      </c>
      <c r="AN59">
        <v>2.046738532694552</v>
      </c>
      <c r="AO59">
        <v>95</v>
      </c>
      <c r="AP59" s="5">
        <v>1.5550000000000002</v>
      </c>
      <c r="AQ59" s="5">
        <f t="shared" si="3"/>
        <v>0.38875000000000004</v>
      </c>
      <c r="AR59" s="5">
        <v>9.5000000000000001E-2</v>
      </c>
      <c r="AS59">
        <v>16.368421052631579</v>
      </c>
    </row>
    <row r="60" spans="1:45" x14ac:dyDescent="0.3">
      <c r="A60" t="s">
        <v>59</v>
      </c>
      <c r="B60">
        <v>0.31476956778161602</v>
      </c>
      <c r="C60">
        <v>9.0337590706167106E-2</v>
      </c>
      <c r="D60">
        <v>-7.5078042771339643E-2</v>
      </c>
      <c r="E60">
        <v>0.40123856900754362</v>
      </c>
      <c r="F60">
        <v>-0.96047131649097006</v>
      </c>
      <c r="G60">
        <v>1.1000000000000001</v>
      </c>
      <c r="H60">
        <v>7.3000000000000007</v>
      </c>
      <c r="I60">
        <v>4.8499999999999996</v>
      </c>
      <c r="J60">
        <v>0.48571061313680963</v>
      </c>
      <c r="K60">
        <v>122.5</v>
      </c>
      <c r="L60">
        <v>1.0214074070221539</v>
      </c>
      <c r="M60">
        <v>9.9367025705473455E-2</v>
      </c>
      <c r="N60">
        <v>-391.16952514648438</v>
      </c>
      <c r="O60">
        <v>211.61698716783638</v>
      </c>
      <c r="P60">
        <f t="shared" si="1"/>
        <v>5.3547779763830627</v>
      </c>
      <c r="Q60">
        <v>52904.246791959093</v>
      </c>
      <c r="R60">
        <f t="shared" si="2"/>
        <v>10.87623889424531</v>
      </c>
      <c r="S60">
        <v>12</v>
      </c>
      <c r="T60">
        <v>1112.500415</v>
      </c>
      <c r="U60">
        <v>0.62216361683334576</v>
      </c>
      <c r="V60">
        <v>0.37143873947509398</v>
      </c>
      <c r="W60">
        <v>0.62984311999583142</v>
      </c>
      <c r="X60">
        <v>0.5940684213118872</v>
      </c>
      <c r="Y60">
        <v>0.42617044421049921</v>
      </c>
      <c r="Z60">
        <v>0.83582458490613698</v>
      </c>
      <c r="AA60">
        <v>10.02989501887364</v>
      </c>
      <c r="AB60">
        <v>0.67872394750710474</v>
      </c>
      <c r="AC60">
        <v>0.77478516879127046</v>
      </c>
      <c r="AD60">
        <v>0.5575511550431973</v>
      </c>
      <c r="AE60">
        <v>110.70166649818421</v>
      </c>
      <c r="AF60">
        <v>27.495000012715657</v>
      </c>
      <c r="AG60">
        <v>17.801666688919067</v>
      </c>
      <c r="AH60">
        <v>94.47</v>
      </c>
      <c r="AI60">
        <v>0.63400000000000001</v>
      </c>
      <c r="AJ60">
        <v>61</v>
      </c>
      <c r="AK60" s="3">
        <v>15</v>
      </c>
      <c r="AL60" s="2">
        <v>4</v>
      </c>
      <c r="AM60">
        <v>0.93567251461989187</v>
      </c>
      <c r="AN60">
        <v>2.3331967142862471</v>
      </c>
      <c r="AO60">
        <v>95</v>
      </c>
      <c r="AP60" s="5">
        <v>1.5550000000000002</v>
      </c>
      <c r="AQ60" s="5">
        <f t="shared" si="3"/>
        <v>0.38875000000000004</v>
      </c>
      <c r="AR60" s="5">
        <v>9.5000000000000001E-2</v>
      </c>
      <c r="AS60">
        <v>16.368421052631579</v>
      </c>
    </row>
    <row r="61" spans="1:45" x14ac:dyDescent="0.3">
      <c r="A61" t="s">
        <v>60</v>
      </c>
      <c r="B61">
        <v>0.37110335014875179</v>
      </c>
      <c r="C61">
        <v>0.27212350567412602</v>
      </c>
      <c r="D61">
        <v>7.3097572020809479E-2</v>
      </c>
      <c r="E61">
        <v>0.40123856900754362</v>
      </c>
      <c r="F61">
        <v>-0.96047131649097006</v>
      </c>
      <c r="G61">
        <v>1.1000000000000001</v>
      </c>
      <c r="H61">
        <v>7.3000000000000007</v>
      </c>
      <c r="I61">
        <v>4.8499999999999996</v>
      </c>
      <c r="J61">
        <v>0.26503683858004023</v>
      </c>
      <c r="K61">
        <v>122.5</v>
      </c>
      <c r="L61">
        <v>1.0214074070221539</v>
      </c>
      <c r="M61">
        <v>9.9367025705473455E-2</v>
      </c>
      <c r="N61">
        <v>-391.16952514648438</v>
      </c>
      <c r="O61">
        <v>237.01876973913753</v>
      </c>
      <c r="P61">
        <f t="shared" si="1"/>
        <v>5.4681393352107479</v>
      </c>
      <c r="Q61">
        <v>59254.692434784367</v>
      </c>
      <c r="R61">
        <f t="shared" si="2"/>
        <v>10.989600253072995</v>
      </c>
      <c r="S61">
        <v>7</v>
      </c>
      <c r="T61">
        <v>779.91786800000011</v>
      </c>
      <c r="U61">
        <v>0.64995975034702635</v>
      </c>
      <c r="V61">
        <v>0.80669704531065134</v>
      </c>
      <c r="W61">
        <v>1.099151485303665</v>
      </c>
      <c r="X61">
        <v>0.75454177677290657</v>
      </c>
      <c r="Y61">
        <v>1.426643999304771</v>
      </c>
      <c r="Z61">
        <v>0.85599720506998589</v>
      </c>
      <c r="AA61">
        <v>5.9919804354899009</v>
      </c>
      <c r="AB61">
        <v>0.75828637788139952</v>
      </c>
      <c r="AC61">
        <v>0.79439308577363943</v>
      </c>
      <c r="AD61">
        <v>0.76753819806946288</v>
      </c>
      <c r="AE61">
        <v>110.70166649818421</v>
      </c>
      <c r="AF61">
        <v>27.495000012715657</v>
      </c>
      <c r="AG61">
        <v>17.801666688919067</v>
      </c>
      <c r="AH61">
        <v>94.47</v>
      </c>
      <c r="AI61">
        <v>0.63400000000000001</v>
      </c>
      <c r="AJ61">
        <v>61</v>
      </c>
      <c r="AK61" s="3">
        <v>15</v>
      </c>
      <c r="AL61" s="2">
        <v>4</v>
      </c>
      <c r="AM61">
        <v>0.80952380952381198</v>
      </c>
      <c r="AN61">
        <v>1.6744089372507129</v>
      </c>
      <c r="AO61">
        <v>95</v>
      </c>
      <c r="AP61" s="5">
        <v>1.5550000000000002</v>
      </c>
      <c r="AQ61" s="5">
        <f t="shared" si="3"/>
        <v>0.38875000000000004</v>
      </c>
      <c r="AR61" s="5">
        <v>9.5000000000000001E-2</v>
      </c>
      <c r="AS61">
        <v>16.368421052631579</v>
      </c>
    </row>
    <row r="62" spans="1:45" x14ac:dyDescent="0.3">
      <c r="A62" t="s">
        <v>61</v>
      </c>
      <c r="B62">
        <v>0.21355709114840399</v>
      </c>
      <c r="C62">
        <v>0.32924784477109409</v>
      </c>
      <c r="D62">
        <v>0.27917211620933419</v>
      </c>
      <c r="E62">
        <v>0.40123856900754362</v>
      </c>
      <c r="F62">
        <v>-0.96047131649097006</v>
      </c>
      <c r="G62">
        <v>1.1000000000000001</v>
      </c>
      <c r="H62">
        <v>7.3000000000000007</v>
      </c>
      <c r="I62">
        <v>4.8499999999999996</v>
      </c>
      <c r="J62">
        <v>0</v>
      </c>
      <c r="K62">
        <v>122.5</v>
      </c>
      <c r="L62">
        <v>1.0214074070221539</v>
      </c>
      <c r="M62">
        <v>9.9367025705473455E-2</v>
      </c>
      <c r="N62">
        <v>-391.16952514648438</v>
      </c>
      <c r="O62">
        <v>181.24557497464397</v>
      </c>
      <c r="P62">
        <f t="shared" si="1"/>
        <v>5.1998528795037604</v>
      </c>
      <c r="Q62">
        <v>45311.393743660999</v>
      </c>
      <c r="R62">
        <f t="shared" si="2"/>
        <v>10.721313797366006</v>
      </c>
      <c r="S62">
        <v>7</v>
      </c>
      <c r="T62">
        <v>791.87347700000032</v>
      </c>
      <c r="U62">
        <v>0.38432227975188632</v>
      </c>
      <c r="V62">
        <v>0.78908700099237061</v>
      </c>
      <c r="W62">
        <v>1.5463226020070231</v>
      </c>
      <c r="X62">
        <v>0.96509140550385708</v>
      </c>
      <c r="Y62">
        <v>1.665511510534933</v>
      </c>
      <c r="Z62">
        <v>0.86863415534285882</v>
      </c>
      <c r="AA62">
        <v>6.0804390874000118</v>
      </c>
      <c r="AB62">
        <v>0.44837599541361489</v>
      </c>
      <c r="AC62">
        <v>0.81373754889975869</v>
      </c>
      <c r="AD62">
        <v>0.78953213147512746</v>
      </c>
      <c r="AE62">
        <v>110.70166649818421</v>
      </c>
      <c r="AF62">
        <v>27.495000012715657</v>
      </c>
      <c r="AG62">
        <v>17.801666688919067</v>
      </c>
      <c r="AH62">
        <v>94.47</v>
      </c>
      <c r="AI62">
        <v>0.63400000000000001</v>
      </c>
      <c r="AJ62">
        <v>61</v>
      </c>
      <c r="AK62" s="3">
        <v>15</v>
      </c>
      <c r="AL62" s="2">
        <v>4</v>
      </c>
      <c r="AM62">
        <v>0.85833333333332384</v>
      </c>
      <c r="AN62">
        <v>1.77101636878359</v>
      </c>
      <c r="AO62">
        <v>95</v>
      </c>
      <c r="AP62" s="5">
        <v>1.5550000000000002</v>
      </c>
      <c r="AQ62" s="5">
        <f t="shared" si="3"/>
        <v>0.38875000000000004</v>
      </c>
      <c r="AR62" s="5">
        <v>9.5000000000000001E-2</v>
      </c>
      <c r="AS62">
        <v>16.368421052631579</v>
      </c>
    </row>
    <row r="63" spans="1:45" x14ac:dyDescent="0.3">
      <c r="A63" t="s">
        <v>62</v>
      </c>
      <c r="B63">
        <v>0.29655654075063759</v>
      </c>
      <c r="C63">
        <v>0.19636620751528261</v>
      </c>
      <c r="D63">
        <v>4.8016891736590253E-2</v>
      </c>
      <c r="E63">
        <v>2.8462517556021791</v>
      </c>
      <c r="F63">
        <v>-0.74306744432386385</v>
      </c>
      <c r="G63">
        <v>0.39999999999999997</v>
      </c>
      <c r="H63">
        <v>12.100000000000001</v>
      </c>
      <c r="I63">
        <v>4.1500000000000004</v>
      </c>
      <c r="J63">
        <v>0.403859063841704</v>
      </c>
      <c r="K63">
        <v>217</v>
      </c>
      <c r="L63">
        <v>4.0652700533569757</v>
      </c>
      <c r="M63">
        <v>-0.44837495487621037</v>
      </c>
      <c r="N63">
        <v>-386.58016967773443</v>
      </c>
      <c r="O63">
        <v>288.83263625299196</v>
      </c>
      <c r="P63">
        <f t="shared" si="1"/>
        <v>5.6658474070501041</v>
      </c>
      <c r="Q63">
        <v>57766.52725059841</v>
      </c>
      <c r="R63">
        <f t="shared" si="2"/>
        <v>10.96416477359814</v>
      </c>
      <c r="S63">
        <v>11</v>
      </c>
      <c r="T63">
        <v>1086.0753179999999</v>
      </c>
      <c r="U63">
        <v>0.66400264611987037</v>
      </c>
      <c r="V63">
        <v>0.54510045412898811</v>
      </c>
      <c r="W63">
        <v>1.1970913856704539</v>
      </c>
      <c r="X63">
        <v>0.65264370253878345</v>
      </c>
      <c r="Y63">
        <v>1.0720244732663839</v>
      </c>
      <c r="Z63">
        <v>0.84122537966534261</v>
      </c>
      <c r="AA63">
        <v>9.253479176318768</v>
      </c>
      <c r="AB63">
        <v>0.73040291351938424</v>
      </c>
      <c r="AC63">
        <v>0.83074304311086078</v>
      </c>
      <c r="AD63">
        <v>0.62328722868826869</v>
      </c>
      <c r="AE63">
        <v>126.31499986648559</v>
      </c>
      <c r="AF63">
        <v>26.888333447774251</v>
      </c>
      <c r="AG63">
        <v>15.118333371480306</v>
      </c>
      <c r="AH63">
        <v>89.685000000000031</v>
      </c>
      <c r="AI63">
        <v>0.69399999999999973</v>
      </c>
      <c r="AJ63">
        <v>444</v>
      </c>
      <c r="AK63" s="3">
        <v>27.5</v>
      </c>
      <c r="AL63" s="2">
        <v>5</v>
      </c>
      <c r="AM63">
        <v>0.93157894736842994</v>
      </c>
      <c r="AN63">
        <v>2.2764226858058181</v>
      </c>
      <c r="AO63">
        <v>76</v>
      </c>
      <c r="AP63" s="5">
        <v>1.8199999999999998</v>
      </c>
      <c r="AQ63" s="5">
        <f t="shared" si="3"/>
        <v>0.36399999999999999</v>
      </c>
      <c r="AR63" s="5">
        <v>0.17499999999999999</v>
      </c>
      <c r="AS63">
        <v>10.4</v>
      </c>
    </row>
    <row r="64" spans="1:45" x14ac:dyDescent="0.3">
      <c r="A64" t="s">
        <v>63</v>
      </c>
      <c r="B64">
        <v>0.31476140534871527</v>
      </c>
      <c r="C64">
        <v>-0.1151825076298153</v>
      </c>
      <c r="D64">
        <v>4.4658001562561701E-2</v>
      </c>
      <c r="E64">
        <v>2.8462517556021791</v>
      </c>
      <c r="F64">
        <v>-0.74306744432386385</v>
      </c>
      <c r="G64">
        <v>0.39999999999999997</v>
      </c>
      <c r="H64">
        <v>12.100000000000001</v>
      </c>
      <c r="I64">
        <v>4.1500000000000004</v>
      </c>
      <c r="J64">
        <v>0.74536896090050042</v>
      </c>
      <c r="K64">
        <v>217</v>
      </c>
      <c r="L64">
        <v>4.0652700533569757</v>
      </c>
      <c r="M64">
        <v>-0.44837495487621037</v>
      </c>
      <c r="N64">
        <v>-386.58016967773443</v>
      </c>
      <c r="O64">
        <v>147.97961789930622</v>
      </c>
      <c r="P64">
        <f t="shared" si="1"/>
        <v>4.9970745473836926</v>
      </c>
      <c r="Q64">
        <v>29595.92357986125</v>
      </c>
      <c r="R64">
        <f t="shared" si="2"/>
        <v>10.295391913931731</v>
      </c>
      <c r="S64">
        <v>10</v>
      </c>
      <c r="T64">
        <v>809.79295600000046</v>
      </c>
      <c r="U64">
        <v>0.41994758729613968</v>
      </c>
      <c r="V64">
        <v>0.33879009170223351</v>
      </c>
      <c r="W64">
        <v>-1.254625776182692</v>
      </c>
      <c r="X64">
        <v>-1.163947380403896</v>
      </c>
      <c r="Y64">
        <v>-0.84197366737831381</v>
      </c>
      <c r="Z64">
        <v>0.76264142320136075</v>
      </c>
      <c r="AA64">
        <v>7.626414232013607</v>
      </c>
      <c r="AB64">
        <v>0.46660843298150501</v>
      </c>
      <c r="AC64">
        <v>0.75475645764559751</v>
      </c>
      <c r="AD64">
        <v>0.46731103023047837</v>
      </c>
      <c r="AE64">
        <v>126.31499986648559</v>
      </c>
      <c r="AF64">
        <v>26.888333447774251</v>
      </c>
      <c r="AG64">
        <v>15.118333371480306</v>
      </c>
      <c r="AH64">
        <v>89.685000000000031</v>
      </c>
      <c r="AI64">
        <v>0.69399999999999973</v>
      </c>
      <c r="AJ64">
        <v>444</v>
      </c>
      <c r="AK64" s="3">
        <v>27.5</v>
      </c>
      <c r="AL64" s="2">
        <v>5</v>
      </c>
      <c r="AM64">
        <v>0.96969696969695929</v>
      </c>
      <c r="AN64">
        <v>2.2538575896013522</v>
      </c>
      <c r="AO64">
        <v>76</v>
      </c>
      <c r="AP64" s="5">
        <v>1.8199999999999998</v>
      </c>
      <c r="AQ64" s="5">
        <f t="shared" si="3"/>
        <v>0.36399999999999999</v>
      </c>
      <c r="AR64" s="5">
        <v>0.17499999999999999</v>
      </c>
      <c r="AS64">
        <v>10.4</v>
      </c>
    </row>
    <row r="65" spans="1:45" x14ac:dyDescent="0.3">
      <c r="A65" t="s">
        <v>64</v>
      </c>
      <c r="B65">
        <v>0.4220782237086585</v>
      </c>
      <c r="C65">
        <v>-8.1601587724015531E-2</v>
      </c>
      <c r="D65">
        <v>-2.7627365603348692E-4</v>
      </c>
      <c r="E65">
        <v>2.8462517556021791</v>
      </c>
      <c r="F65">
        <v>-0.74306744432386385</v>
      </c>
      <c r="G65">
        <v>0.39999999999999997</v>
      </c>
      <c r="H65">
        <v>12.100000000000001</v>
      </c>
      <c r="I65">
        <v>4.1500000000000004</v>
      </c>
      <c r="J65">
        <v>0.7208776483238768</v>
      </c>
      <c r="K65">
        <v>217</v>
      </c>
      <c r="L65">
        <v>4.0652700533569757</v>
      </c>
      <c r="M65">
        <v>-0.44837495487621037</v>
      </c>
      <c r="N65">
        <v>-386.58016967773443</v>
      </c>
      <c r="O65">
        <v>209.4428421497829</v>
      </c>
      <c r="P65">
        <f t="shared" si="1"/>
        <v>5.3444508723033906</v>
      </c>
      <c r="Q65">
        <v>41888.568429956591</v>
      </c>
      <c r="R65">
        <f t="shared" si="2"/>
        <v>10.642768238851428</v>
      </c>
      <c r="S65">
        <v>13</v>
      </c>
      <c r="T65">
        <v>1203.8889550032</v>
      </c>
      <c r="U65">
        <v>0.46983163120913668</v>
      </c>
      <c r="V65">
        <v>0.31626771102480972</v>
      </c>
      <c r="W65">
        <v>0.70145576620955075</v>
      </c>
      <c r="X65">
        <v>0.51333904541696762</v>
      </c>
      <c r="Y65">
        <v>0.72986779768088261</v>
      </c>
      <c r="Z65">
        <v>0.83268682525147597</v>
      </c>
      <c r="AA65">
        <v>10.824928728269191</v>
      </c>
      <c r="AB65">
        <v>0.50898426940287556</v>
      </c>
      <c r="AC65">
        <v>0.83355060409908388</v>
      </c>
      <c r="AD65">
        <v>0.56718157249323475</v>
      </c>
      <c r="AE65">
        <v>126.31499986648559</v>
      </c>
      <c r="AF65">
        <v>26.888333447774251</v>
      </c>
      <c r="AG65">
        <v>15.118333371480306</v>
      </c>
      <c r="AH65">
        <v>89.685000000000031</v>
      </c>
      <c r="AI65">
        <v>0.69399999999999973</v>
      </c>
      <c r="AJ65">
        <v>444</v>
      </c>
      <c r="AK65" s="3">
        <v>27.5</v>
      </c>
      <c r="AL65" s="2">
        <v>5</v>
      </c>
      <c r="AM65">
        <v>0.9542483660130836</v>
      </c>
      <c r="AN65">
        <v>2.4471513082779119</v>
      </c>
      <c r="AO65">
        <v>76</v>
      </c>
      <c r="AP65" s="5">
        <v>1.8199999999999998</v>
      </c>
      <c r="AQ65" s="5">
        <f t="shared" si="3"/>
        <v>0.36399999999999999</v>
      </c>
      <c r="AR65" s="5">
        <v>0.17499999999999999</v>
      </c>
      <c r="AS65">
        <v>10.4</v>
      </c>
    </row>
    <row r="66" spans="1:45" x14ac:dyDescent="0.3">
      <c r="A66" t="s">
        <v>65</v>
      </c>
      <c r="B66">
        <v>0.33071955719557189</v>
      </c>
      <c r="C66">
        <v>-0.14924829293520411</v>
      </c>
      <c r="D66">
        <v>7.8065447443055186E-2</v>
      </c>
      <c r="E66">
        <v>2.8462517556021791</v>
      </c>
      <c r="F66">
        <v>-0.74306744432386385</v>
      </c>
      <c r="G66">
        <v>0.39999999999999997</v>
      </c>
      <c r="H66">
        <v>12.100000000000001</v>
      </c>
      <c r="I66">
        <v>4.1500000000000004</v>
      </c>
      <c r="J66">
        <v>0.83495566823025413</v>
      </c>
      <c r="K66">
        <v>217</v>
      </c>
      <c r="L66">
        <v>4.0652700533569757</v>
      </c>
      <c r="M66">
        <v>-0.44837495487621037</v>
      </c>
      <c r="N66">
        <v>-386.58016967773443</v>
      </c>
      <c r="O66">
        <v>132.34518380664528</v>
      </c>
      <c r="P66">
        <f t="shared" si="1"/>
        <v>4.8854135381858637</v>
      </c>
      <c r="Q66">
        <v>26469.036761329058</v>
      </c>
      <c r="R66">
        <f t="shared" si="2"/>
        <v>10.183730904733901</v>
      </c>
      <c r="S66">
        <v>4</v>
      </c>
      <c r="T66">
        <v>299.22016500000012</v>
      </c>
      <c r="U66">
        <v>0.32660395472205722</v>
      </c>
      <c r="V66">
        <v>0.30932921326509999</v>
      </c>
      <c r="W66">
        <v>-2.5090243766130582</v>
      </c>
      <c r="X66">
        <v>-2.5153182597679038</v>
      </c>
      <c r="Y66">
        <v>-2.1572276360157718</v>
      </c>
      <c r="Z66">
        <v>0.55248725207514993</v>
      </c>
      <c r="AA66">
        <v>2.2099490083006001</v>
      </c>
      <c r="AB66">
        <v>0.43547194283347751</v>
      </c>
      <c r="AC66">
        <v>0.62714689572917814</v>
      </c>
      <c r="AD66">
        <v>0.36724727906296778</v>
      </c>
      <c r="AE66">
        <v>126.31499986648559</v>
      </c>
      <c r="AF66">
        <v>26.888333447774251</v>
      </c>
      <c r="AG66">
        <v>15.118333371480306</v>
      </c>
      <c r="AH66">
        <v>89.685000000000031</v>
      </c>
      <c r="AI66">
        <v>0.69399999999999973</v>
      </c>
      <c r="AJ66">
        <v>444</v>
      </c>
      <c r="AK66" s="3">
        <v>27.5</v>
      </c>
      <c r="AL66" s="2">
        <v>5</v>
      </c>
      <c r="AM66">
        <v>0.78571428571428559</v>
      </c>
      <c r="AN66">
        <v>1.255482325178753</v>
      </c>
      <c r="AO66">
        <v>76</v>
      </c>
      <c r="AP66" s="5">
        <v>1.8199999999999998</v>
      </c>
      <c r="AQ66" s="5">
        <f t="shared" si="3"/>
        <v>0.36399999999999999</v>
      </c>
      <c r="AR66" s="5">
        <v>0.17499999999999999</v>
      </c>
      <c r="AS66">
        <v>10.4</v>
      </c>
    </row>
    <row r="67" spans="1:45" x14ac:dyDescent="0.3">
      <c r="A67" t="s">
        <v>66</v>
      </c>
      <c r="B67">
        <v>0.34246913580246913</v>
      </c>
      <c r="C67">
        <v>4.2656774852790513E-2</v>
      </c>
      <c r="D67">
        <v>-0.13408049377167189</v>
      </c>
      <c r="E67">
        <v>2.8462517556021791</v>
      </c>
      <c r="F67">
        <v>-0.74306744432386385</v>
      </c>
      <c r="G67">
        <v>0.39999999999999997</v>
      </c>
      <c r="H67">
        <v>12.100000000000001</v>
      </c>
      <c r="I67">
        <v>4.1500000000000004</v>
      </c>
      <c r="J67">
        <v>0.45014388798213212</v>
      </c>
      <c r="K67">
        <v>217</v>
      </c>
      <c r="L67">
        <v>4.0652700533569757</v>
      </c>
      <c r="M67">
        <v>-0.44837495487621037</v>
      </c>
      <c r="N67">
        <v>-386.58016967773443</v>
      </c>
      <c r="O67">
        <v>170.37184720475474</v>
      </c>
      <c r="P67">
        <f t="shared" ref="P67:P73" si="4">LN(O67)</f>
        <v>5.1379833848110215</v>
      </c>
      <c r="Q67">
        <v>34074.369440950955</v>
      </c>
      <c r="R67">
        <f t="shared" ref="R67:R73" si="5">LN(Q67)</f>
        <v>10.436300751359058</v>
      </c>
      <c r="S67">
        <v>9</v>
      </c>
      <c r="T67">
        <v>887.47386000000029</v>
      </c>
      <c r="U67">
        <v>0.59032406415062733</v>
      </c>
      <c r="V67">
        <v>0.61694270515306504</v>
      </c>
      <c r="W67">
        <v>0.67116019952842565</v>
      </c>
      <c r="X67">
        <v>0.41802323204875153</v>
      </c>
      <c r="Y67">
        <v>0.78188695865271374</v>
      </c>
      <c r="Z67">
        <v>0.8321828367923686</v>
      </c>
      <c r="AA67">
        <v>7.489645531131317</v>
      </c>
      <c r="AB67">
        <v>0.6641145757759741</v>
      </c>
      <c r="AC67">
        <v>0.83029092064925136</v>
      </c>
      <c r="AD67">
        <v>0.63399118526240095</v>
      </c>
      <c r="AE67">
        <v>126.31499986648559</v>
      </c>
      <c r="AF67">
        <v>26.888333447774251</v>
      </c>
      <c r="AG67">
        <v>15.118333371480306</v>
      </c>
      <c r="AH67">
        <v>89.685000000000031</v>
      </c>
      <c r="AI67">
        <v>0.69399999999999973</v>
      </c>
      <c r="AJ67">
        <v>444</v>
      </c>
      <c r="AK67" s="3">
        <v>27.5</v>
      </c>
      <c r="AL67" s="2">
        <v>5</v>
      </c>
      <c r="AM67">
        <v>0.97777777777777741</v>
      </c>
      <c r="AN67">
        <v>2.1639556568820559</v>
      </c>
      <c r="AO67">
        <v>76</v>
      </c>
      <c r="AP67" s="5">
        <v>1.8199999999999998</v>
      </c>
      <c r="AQ67" s="5">
        <f t="shared" ref="AQ67:AQ73" si="6">AP67/AL67</f>
        <v>0.36399999999999999</v>
      </c>
      <c r="AR67" s="5">
        <v>0.17499999999999999</v>
      </c>
      <c r="AS67">
        <v>10.4</v>
      </c>
    </row>
    <row r="68" spans="1:45" x14ac:dyDescent="0.3">
      <c r="A68" t="s">
        <v>67</v>
      </c>
      <c r="B68">
        <v>0.42658847493265001</v>
      </c>
      <c r="C68">
        <v>0.26610775670376252</v>
      </c>
      <c r="D68">
        <v>0.18065266191011939</v>
      </c>
      <c r="E68">
        <v>-2.6142100951487559</v>
      </c>
      <c r="F68">
        <v>-0.6787188318696411</v>
      </c>
      <c r="G68">
        <v>3.3000000000000003</v>
      </c>
      <c r="H68">
        <v>8.25</v>
      </c>
      <c r="I68">
        <v>4.7</v>
      </c>
      <c r="J68">
        <v>0.2149881712665207</v>
      </c>
      <c r="K68">
        <v>286.5</v>
      </c>
      <c r="L68">
        <v>2.5349193433716</v>
      </c>
      <c r="M68">
        <v>1.5900752434964851</v>
      </c>
      <c r="N68">
        <v>-386.58016967773443</v>
      </c>
      <c r="O68">
        <v>381.88495911801704</v>
      </c>
      <c r="P68">
        <f t="shared" si="4"/>
        <v>5.9451194091092434</v>
      </c>
      <c r="Q68">
        <v>76376.991823603399</v>
      </c>
      <c r="R68">
        <f t="shared" si="5"/>
        <v>11.24343677565728</v>
      </c>
      <c r="S68">
        <v>10</v>
      </c>
      <c r="T68">
        <v>868.50701699680042</v>
      </c>
      <c r="U68">
        <v>0.50641883788709485</v>
      </c>
      <c r="V68">
        <v>0.75033560645908615</v>
      </c>
      <c r="W68">
        <v>-0.4704874536753777</v>
      </c>
      <c r="X68">
        <v>-0.18387806650405469</v>
      </c>
      <c r="Y68">
        <v>-0.66753630855589874</v>
      </c>
      <c r="Z68">
        <v>0.80388339614368109</v>
      </c>
      <c r="AA68">
        <v>8.0388339614368114</v>
      </c>
      <c r="AB68">
        <v>0.56268760130052808</v>
      </c>
      <c r="AC68">
        <v>0.77558440544757001</v>
      </c>
      <c r="AD68">
        <v>0.48632138355483512</v>
      </c>
      <c r="AE68">
        <v>126.31499986648559</v>
      </c>
      <c r="AF68">
        <v>26.888333447774251</v>
      </c>
      <c r="AG68">
        <v>15.118333371480306</v>
      </c>
      <c r="AH68">
        <v>89.685000000000031</v>
      </c>
      <c r="AI68">
        <v>0.69399999999999973</v>
      </c>
      <c r="AJ68">
        <v>430</v>
      </c>
      <c r="AK68" s="3">
        <v>9.3000000000000007</v>
      </c>
      <c r="AL68" s="2">
        <v>5</v>
      </c>
      <c r="AM68">
        <v>0.82857142857142385</v>
      </c>
      <c r="AN68">
        <v>1.9080368345090659</v>
      </c>
      <c r="AO68">
        <v>76</v>
      </c>
      <c r="AP68" s="5">
        <v>1.4</v>
      </c>
      <c r="AQ68" s="5">
        <f t="shared" si="6"/>
        <v>0.27999999999999997</v>
      </c>
      <c r="AR68" s="5">
        <v>0.15000000000000002</v>
      </c>
      <c r="AS68">
        <v>9.3333333333333321</v>
      </c>
    </row>
    <row r="69" spans="1:45" x14ac:dyDescent="0.3">
      <c r="A69" t="s">
        <v>68</v>
      </c>
      <c r="B69">
        <v>0.45826093252244421</v>
      </c>
      <c r="C69">
        <v>-0.19844399963381659</v>
      </c>
      <c r="D69">
        <v>3.035326208918052E-2</v>
      </c>
      <c r="E69">
        <v>1.7210952420608341</v>
      </c>
      <c r="F69">
        <v>0.91416180044835438</v>
      </c>
      <c r="G69">
        <v>0.2</v>
      </c>
      <c r="H69">
        <v>6</v>
      </c>
      <c r="I69">
        <v>4.3499999999999996</v>
      </c>
      <c r="J69">
        <v>0.83084940434153298</v>
      </c>
      <c r="K69">
        <v>113.5</v>
      </c>
      <c r="L69">
        <v>0.65227352773070468</v>
      </c>
      <c r="M69">
        <v>9.1096534005537078E-2</v>
      </c>
      <c r="N69">
        <v>-387.23531341552734</v>
      </c>
      <c r="O69">
        <v>289.17623818613328</v>
      </c>
      <c r="P69">
        <f t="shared" si="4"/>
        <v>5.6670363229606044</v>
      </c>
      <c r="Q69">
        <v>57835.247637226668</v>
      </c>
      <c r="R69">
        <f t="shared" si="5"/>
        <v>10.965353689508641</v>
      </c>
      <c r="S69">
        <v>10</v>
      </c>
      <c r="T69">
        <v>872.58596199980025</v>
      </c>
      <c r="U69">
        <v>0.30028769272822547</v>
      </c>
      <c r="V69">
        <v>0.28600877883457643</v>
      </c>
      <c r="W69">
        <v>-0.6353655778230799</v>
      </c>
      <c r="X69">
        <v>-0.78362500926196677</v>
      </c>
      <c r="Y69">
        <v>-0.10107157796627279</v>
      </c>
      <c r="Z69">
        <v>0.77755323580939328</v>
      </c>
      <c r="AA69">
        <v>7.7755323580939333</v>
      </c>
      <c r="AB69">
        <v>0.33365299342642929</v>
      </c>
      <c r="AC69">
        <v>0.71514792648094383</v>
      </c>
      <c r="AD69">
        <v>0.54164668452862574</v>
      </c>
      <c r="AE69">
        <v>128.39833270708721</v>
      </c>
      <c r="AF69">
        <v>26.046666685740153</v>
      </c>
      <c r="AG69">
        <v>14.3350000222524</v>
      </c>
      <c r="AH69">
        <v>89.679999999999978</v>
      </c>
      <c r="AI69">
        <v>0.63349999999999995</v>
      </c>
      <c r="AJ69">
        <v>550</v>
      </c>
      <c r="AK69">
        <v>35</v>
      </c>
      <c r="AL69" s="2">
        <v>5</v>
      </c>
      <c r="AM69">
        <v>0.94166666666665488</v>
      </c>
      <c r="AN69">
        <v>2.2200253278345379</v>
      </c>
      <c r="AO69">
        <v>42</v>
      </c>
      <c r="AP69" s="5">
        <v>1.155</v>
      </c>
      <c r="AQ69" s="5">
        <f t="shared" si="6"/>
        <v>0.23100000000000001</v>
      </c>
      <c r="AR69" s="5">
        <v>0.09</v>
      </c>
      <c r="AS69">
        <v>12.833333333333334</v>
      </c>
    </row>
    <row r="70" spans="1:45" x14ac:dyDescent="0.3">
      <c r="A70" t="s">
        <v>69</v>
      </c>
      <c r="B70">
        <v>0.56800893079165538</v>
      </c>
      <c r="C70">
        <v>7.45769650126549E-2</v>
      </c>
      <c r="D70">
        <v>5.7861188777673662E-2</v>
      </c>
      <c r="E70">
        <v>1.7210952420608341</v>
      </c>
      <c r="F70">
        <v>0.91416180044835438</v>
      </c>
      <c r="G70">
        <v>0.2</v>
      </c>
      <c r="H70">
        <v>6</v>
      </c>
      <c r="I70">
        <v>4.3499999999999996</v>
      </c>
      <c r="J70">
        <v>0.53167570443738055</v>
      </c>
      <c r="K70">
        <v>113.5</v>
      </c>
      <c r="L70">
        <v>0.65227352773070468</v>
      </c>
      <c r="M70">
        <v>9.1096534005537078E-2</v>
      </c>
      <c r="N70">
        <v>-387.23531341552734</v>
      </c>
      <c r="O70">
        <v>244.21375411979187</v>
      </c>
      <c r="P70">
        <f t="shared" si="4"/>
        <v>5.4980438832673846</v>
      </c>
      <c r="Q70">
        <v>48842.750823958377</v>
      </c>
      <c r="R70">
        <f t="shared" si="5"/>
        <v>10.796361249815421</v>
      </c>
      <c r="S70">
        <v>8</v>
      </c>
      <c r="T70">
        <v>798.04010700000003</v>
      </c>
      <c r="U70">
        <v>0.53972935210076711</v>
      </c>
      <c r="V70">
        <v>0.43046282671701552</v>
      </c>
      <c r="W70">
        <v>0.50437599102316744</v>
      </c>
      <c r="X70">
        <v>0.41715518383926342</v>
      </c>
      <c r="Y70">
        <v>0.27597743340731651</v>
      </c>
      <c r="Z70">
        <v>0.83446696258570996</v>
      </c>
      <c r="AA70">
        <v>6.6757357006856797</v>
      </c>
      <c r="AB70">
        <v>0.61683354776282151</v>
      </c>
      <c r="AC70">
        <v>0.81195004671846382</v>
      </c>
      <c r="AD70">
        <v>0.61300750802597315</v>
      </c>
      <c r="AE70">
        <v>128.39833270708721</v>
      </c>
      <c r="AF70">
        <v>26.046666685740153</v>
      </c>
      <c r="AG70">
        <v>14.3350000222524</v>
      </c>
      <c r="AH70">
        <v>89.679999999999978</v>
      </c>
      <c r="AI70">
        <v>0.63349999999999995</v>
      </c>
      <c r="AJ70">
        <v>550</v>
      </c>
      <c r="AK70">
        <v>35</v>
      </c>
      <c r="AL70" s="2">
        <v>5</v>
      </c>
      <c r="AM70">
        <v>0.87619047619048818</v>
      </c>
      <c r="AN70">
        <v>1.876273584430276</v>
      </c>
      <c r="AO70">
        <v>42</v>
      </c>
      <c r="AP70" s="5">
        <v>1.155</v>
      </c>
      <c r="AQ70" s="5">
        <f t="shared" si="6"/>
        <v>0.23100000000000001</v>
      </c>
      <c r="AR70" s="5">
        <v>0.09</v>
      </c>
      <c r="AS70">
        <v>12.833333333333334</v>
      </c>
    </row>
    <row r="71" spans="1:45" x14ac:dyDescent="0.3">
      <c r="A71" t="s">
        <v>70</v>
      </c>
      <c r="B71">
        <v>0.48514267567935399</v>
      </c>
      <c r="C71">
        <v>-7.8449522421422863E-2</v>
      </c>
      <c r="D71">
        <v>-3.4963065098561258E-2</v>
      </c>
      <c r="E71">
        <v>1.7210952420608341</v>
      </c>
      <c r="F71">
        <v>0.91416180044835438</v>
      </c>
      <c r="G71">
        <v>0.2</v>
      </c>
      <c r="H71">
        <v>6</v>
      </c>
      <c r="I71">
        <v>4.3499999999999996</v>
      </c>
      <c r="J71">
        <v>0.68459031051559283</v>
      </c>
      <c r="K71">
        <v>113.5</v>
      </c>
      <c r="L71">
        <v>0.65227352773070468</v>
      </c>
      <c r="M71">
        <v>9.1096534005537078E-2</v>
      </c>
      <c r="N71">
        <v>-387.23531341552734</v>
      </c>
      <c r="O71">
        <v>369.4978160523753</v>
      </c>
      <c r="P71">
        <f t="shared" si="4"/>
        <v>5.912144829822414</v>
      </c>
      <c r="Q71">
        <v>73899.563210475055</v>
      </c>
      <c r="R71">
        <f t="shared" si="5"/>
        <v>11.21046219637045</v>
      </c>
      <c r="S71">
        <v>18</v>
      </c>
      <c r="T71">
        <v>1333.4530060000011</v>
      </c>
      <c r="U71">
        <v>0.54143106630602522</v>
      </c>
      <c r="V71">
        <v>0.34153919150498768</v>
      </c>
      <c r="W71">
        <v>-1.3958766995188641</v>
      </c>
      <c r="X71">
        <v>-0.87507317566912901</v>
      </c>
      <c r="Y71">
        <v>-0.66998451116400859</v>
      </c>
      <c r="Z71">
        <v>0.78491529469201804</v>
      </c>
      <c r="AA71">
        <v>14.12847530445632</v>
      </c>
      <c r="AB71">
        <v>0.57327995546142818</v>
      </c>
      <c r="AC71">
        <v>0.77645320444540178</v>
      </c>
      <c r="AD71">
        <v>0.417898358894774</v>
      </c>
      <c r="AE71">
        <v>128.39833270708721</v>
      </c>
      <c r="AF71">
        <v>26.046666685740153</v>
      </c>
      <c r="AG71">
        <v>14.3350000222524</v>
      </c>
      <c r="AH71">
        <v>89.679999999999978</v>
      </c>
      <c r="AI71">
        <v>0.63349999999999995</v>
      </c>
      <c r="AJ71">
        <v>550</v>
      </c>
      <c r="AK71">
        <v>35</v>
      </c>
      <c r="AL71" s="2">
        <v>5</v>
      </c>
      <c r="AM71">
        <v>0.94789915966387994</v>
      </c>
      <c r="AN71">
        <v>2.7014023110180441</v>
      </c>
      <c r="AO71">
        <v>42</v>
      </c>
      <c r="AP71" s="5">
        <v>1.155</v>
      </c>
      <c r="AQ71" s="5">
        <f t="shared" si="6"/>
        <v>0.23100000000000001</v>
      </c>
      <c r="AR71" s="5">
        <v>0.09</v>
      </c>
      <c r="AS71">
        <v>12.833333333333334</v>
      </c>
    </row>
    <row r="72" spans="1:45" x14ac:dyDescent="0.3">
      <c r="A72" t="s">
        <v>71</v>
      </c>
      <c r="B72">
        <v>0.55094786729857814</v>
      </c>
      <c r="C72">
        <v>-0.23687948539432341</v>
      </c>
      <c r="D72">
        <v>8.5919629441068221E-2</v>
      </c>
      <c r="E72">
        <v>1.7210952420608341</v>
      </c>
      <c r="F72">
        <v>0.91416180044835438</v>
      </c>
      <c r="G72">
        <v>0.2</v>
      </c>
      <c r="H72">
        <v>6</v>
      </c>
      <c r="I72">
        <v>4.3499999999999996</v>
      </c>
      <c r="J72">
        <v>0.97686190150255869</v>
      </c>
      <c r="K72">
        <v>113.5</v>
      </c>
      <c r="L72">
        <v>0.65227352773070468</v>
      </c>
      <c r="M72">
        <v>9.1096534005537078E-2</v>
      </c>
      <c r="N72">
        <v>-387.23531341552734</v>
      </c>
      <c r="O72">
        <v>344.1035151162319</v>
      </c>
      <c r="P72">
        <f t="shared" si="4"/>
        <v>5.8409425281428069</v>
      </c>
      <c r="Q72">
        <v>68820.703023246373</v>
      </c>
      <c r="R72">
        <f t="shared" si="5"/>
        <v>11.139259894690843</v>
      </c>
      <c r="S72">
        <v>10</v>
      </c>
      <c r="T72">
        <v>834.21702300000015</v>
      </c>
      <c r="U72">
        <v>0.23190021710299549</v>
      </c>
      <c r="V72">
        <v>0.28510874677848769</v>
      </c>
      <c r="W72">
        <v>-1.119052669933938</v>
      </c>
      <c r="X72">
        <v>-0.41748057215282258</v>
      </c>
      <c r="Y72">
        <v>-0.95501461870952753</v>
      </c>
      <c r="Z72">
        <v>0.79207472325262529</v>
      </c>
      <c r="AA72">
        <v>7.9207472325262529</v>
      </c>
      <c r="AB72">
        <v>0.25766690965768441</v>
      </c>
      <c r="AC72">
        <v>0.77867878648910471</v>
      </c>
      <c r="AD72">
        <v>0.45650780586676498</v>
      </c>
      <c r="AE72">
        <v>128.39833270708721</v>
      </c>
      <c r="AF72">
        <v>26.046666685740153</v>
      </c>
      <c r="AG72">
        <v>14.3350000222524</v>
      </c>
      <c r="AH72">
        <v>89.679999999999978</v>
      </c>
      <c r="AI72">
        <v>0.63349999999999995</v>
      </c>
      <c r="AJ72">
        <v>550</v>
      </c>
      <c r="AK72">
        <v>35</v>
      </c>
      <c r="AL72" s="2">
        <v>5</v>
      </c>
      <c r="AM72">
        <v>0.96969696969695929</v>
      </c>
      <c r="AN72">
        <v>2.2538575896013522</v>
      </c>
      <c r="AO72">
        <v>42</v>
      </c>
      <c r="AP72" s="5">
        <v>1.155</v>
      </c>
      <c r="AQ72" s="5">
        <f t="shared" si="6"/>
        <v>0.23100000000000001</v>
      </c>
      <c r="AR72" s="5">
        <v>0.09</v>
      </c>
      <c r="AS72">
        <v>12.833333333333334</v>
      </c>
    </row>
    <row r="73" spans="1:45" x14ac:dyDescent="0.3">
      <c r="A73" t="s">
        <v>72</v>
      </c>
      <c r="B73">
        <v>0.43848873999627769</v>
      </c>
      <c r="C73">
        <v>2.2346025138687518E-2</v>
      </c>
      <c r="D73">
        <v>-0.15724404304381051</v>
      </c>
      <c r="E73">
        <v>1.7210952420608341</v>
      </c>
      <c r="F73">
        <v>0.91416180044835438</v>
      </c>
      <c r="G73">
        <v>0.2</v>
      </c>
      <c r="H73">
        <v>6</v>
      </c>
      <c r="I73">
        <v>4.3499999999999996</v>
      </c>
      <c r="J73">
        <v>0.5295266408450291</v>
      </c>
      <c r="K73">
        <v>113.5</v>
      </c>
      <c r="L73">
        <v>0.65227352773070468</v>
      </c>
      <c r="M73">
        <v>9.1096534005537078E-2</v>
      </c>
      <c r="N73">
        <v>-387.23531341552734</v>
      </c>
      <c r="O73">
        <v>212.98619069739141</v>
      </c>
      <c r="P73">
        <f t="shared" si="4"/>
        <v>5.3612273312011007</v>
      </c>
      <c r="Q73">
        <v>42597.238139478264</v>
      </c>
      <c r="R73">
        <f t="shared" si="5"/>
        <v>10.659544697749137</v>
      </c>
      <c r="S73">
        <v>13</v>
      </c>
      <c r="T73">
        <v>1141.005592</v>
      </c>
      <c r="U73">
        <v>0.6036634949933487</v>
      </c>
      <c r="V73">
        <v>0.32574532047597021</v>
      </c>
      <c r="W73">
        <v>0.28055793552049518</v>
      </c>
      <c r="X73">
        <v>0.55567311429930821</v>
      </c>
      <c r="Y73">
        <v>-0.82015933323376633</v>
      </c>
      <c r="Z73">
        <v>0.83552802588923158</v>
      </c>
      <c r="AA73">
        <v>10.861864336560011</v>
      </c>
      <c r="AB73">
        <v>0.653968788210191</v>
      </c>
      <c r="AC73">
        <v>0.82486567410327283</v>
      </c>
      <c r="AD73">
        <v>0.44680267412848118</v>
      </c>
      <c r="AE73">
        <v>128.39833270708721</v>
      </c>
      <c r="AF73">
        <v>26.046666685740153</v>
      </c>
      <c r="AG73">
        <v>14.3350000222524</v>
      </c>
      <c r="AH73">
        <v>89.679999999999978</v>
      </c>
      <c r="AI73">
        <v>0.63349999999999995</v>
      </c>
      <c r="AJ73">
        <v>550</v>
      </c>
      <c r="AK73">
        <v>35</v>
      </c>
      <c r="AL73" s="2">
        <v>5</v>
      </c>
      <c r="AM73">
        <v>0.98095238095240855</v>
      </c>
      <c r="AN73">
        <v>2.523210952952891</v>
      </c>
      <c r="AO73">
        <v>42</v>
      </c>
      <c r="AP73" s="5">
        <v>1.155</v>
      </c>
      <c r="AQ73" s="5">
        <f t="shared" si="6"/>
        <v>0.23100000000000001</v>
      </c>
      <c r="AR73" s="5">
        <v>0.09</v>
      </c>
      <c r="AS73">
        <v>12.833333333333334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2025-04-03T17:40:05Z</dcterms:modified>
</cp:coreProperties>
</file>