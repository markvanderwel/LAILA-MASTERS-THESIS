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"/>
    </mc:Choice>
  </mc:AlternateContent>
  <bookViews>
    <workbookView xWindow="0" yWindow="0" windowWidth="19296" windowHeight="3288"/>
  </bookViews>
  <sheets>
    <sheet name="Result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" i="1" l="1"/>
  <c r="O19" i="1"/>
  <c r="N19" i="1"/>
  <c r="M19" i="1"/>
  <c r="P14" i="1"/>
  <c r="O14" i="1"/>
  <c r="N14" i="1"/>
  <c r="M14" i="1"/>
  <c r="P9" i="1"/>
  <c r="O9" i="1"/>
  <c r="N9" i="1"/>
  <c r="M9" i="1"/>
</calcChain>
</file>

<file path=xl/sharedStrings.xml><?xml version="1.0" encoding="utf-8"?>
<sst xmlns="http://schemas.openxmlformats.org/spreadsheetml/2006/main" count="45" uniqueCount="41">
  <si>
    <t>21- Resultados de Tecido Vegetal</t>
  </si>
  <si>
    <t>3- Tec. Vegetal</t>
  </si>
  <si>
    <t>Solicitante:</t>
  </si>
  <si>
    <t>Fabiano B. - Silva Jardim</t>
  </si>
  <si>
    <t>Entrada:</t>
  </si>
  <si>
    <t>Pedido:</t>
  </si>
  <si>
    <t>Projeto:</t>
  </si>
  <si>
    <t>20.22.00.114</t>
  </si>
  <si>
    <t>Saída:</t>
  </si>
  <si>
    <t>19/2025</t>
  </si>
  <si>
    <t>Nº Am.:</t>
  </si>
  <si>
    <t>Nº DE LABORATÓRIO</t>
  </si>
  <si>
    <t>Amostra</t>
  </si>
  <si>
    <t>K</t>
  </si>
  <si>
    <t>C</t>
  </si>
  <si>
    <t>H</t>
  </si>
  <si>
    <t>N</t>
  </si>
  <si>
    <t>( g/Kg )</t>
  </si>
  <si>
    <t>( % )</t>
  </si>
  <si>
    <t>P. Grandiflorum PG11</t>
  </si>
  <si>
    <t>P. Grandiflorum PG21</t>
  </si>
  <si>
    <t>P. Grandiflorum PG31</t>
  </si>
  <si>
    <t>P. Grandiflorum PG41</t>
  </si>
  <si>
    <t>Pseudobombax Grandiflorum PG51</t>
  </si>
  <si>
    <t>M. Polymorphum MP13</t>
  </si>
  <si>
    <t>M. Polymorphum MP21</t>
  </si>
  <si>
    <t>Moquiniastrum Polymorphum MP31</t>
  </si>
  <si>
    <t>Moquiniastrum Polymorphum MP41</t>
  </si>
  <si>
    <t>Moquiniastrum Polymorphum MP55</t>
  </si>
  <si>
    <t>Tapirira Guianensis TG11</t>
  </si>
  <si>
    <t>Tapirira Guianensis TG21</t>
  </si>
  <si>
    <t>Tapirira Guianensis TG31</t>
  </si>
  <si>
    <t>Tapirira Guianensis TG41</t>
  </si>
  <si>
    <t>Tapirira Guianensis TG51</t>
  </si>
  <si>
    <t>OBS: 1- O "K" foi determinado em fotômetro de chama;</t>
  </si>
  <si>
    <t xml:space="preserve">         2- O "C", "H" e "N" foram determinados em equipamento elementar CHN.</t>
  </si>
  <si>
    <t>Analistas:</t>
  </si>
  <si>
    <t>Andréa Campos (Matr.: 295009)</t>
  </si>
  <si>
    <t>Marcelo Andrade (Matr.: 321016)</t>
  </si>
  <si>
    <t>(%)</t>
  </si>
  <si>
    <t>(g/kg)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</si>
</sst>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9" x14ac:knownFonts="1">
    <font>
      <sz val="10"/>
      <color rgb="FF000000"/>
      <name val="Calibri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Arial"/>
      <family val="2"/>
    </font>
    <font>
      <b/>
      <sz val="10"/>
      <color rgb="FF0070C0"/>
      <name val="Times New Roman"/>
      <family val="1"/>
    </font>
    <font>
      <b/>
      <sz val="10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2" borderId="2" xfId="0" applyFont="1" applyFill="1" applyBorder="1"/>
    <xf numFmtId="0" fontId="1" fillId="2" borderId="1" xfId="0" applyFont="1" applyFill="1" applyBorder="1"/>
    <xf numFmtId="0" fontId="2" fillId="0" borderId="1" xfId="0" applyFont="1" applyBorder="1"/>
    <xf numFmtId="0" fontId="1" fillId="0" borderId="3" xfId="0" applyFont="1" applyBorder="1"/>
    <xf numFmtId="0" fontId="0" fillId="0" borderId="0" xfId="0" applyFont="1" applyAlignment="1"/>
    <xf numFmtId="0" fontId="2" fillId="0" borderId="0" xfId="0" applyFont="1"/>
    <xf numFmtId="0" fontId="1" fillId="0" borderId="4" xfId="0" applyFont="1" applyBorder="1"/>
    <xf numFmtId="0" fontId="1" fillId="0" borderId="0" xfId="0" applyFont="1"/>
    <xf numFmtId="0" fontId="2" fillId="0" borderId="4" xfId="0" applyFont="1" applyBorder="1"/>
    <xf numFmtId="0" fontId="1" fillId="0" borderId="5" xfId="0" applyFont="1" applyBorder="1"/>
    <xf numFmtId="0" fontId="3" fillId="0" borderId="0" xfId="0" applyFont="1" applyAlignment="1">
      <alignment horizontal="left"/>
    </xf>
    <xf numFmtId="0" fontId="4" fillId="2" borderId="4" xfId="0" applyFont="1" applyFill="1" applyBorder="1"/>
    <xf numFmtId="0" fontId="1" fillId="2" borderId="0" xfId="0" applyFont="1" applyFill="1"/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/>
    <xf numFmtId="0" fontId="7" fillId="3" borderId="2" xfId="0" applyFont="1" applyFill="1" applyBorder="1"/>
    <xf numFmtId="0" fontId="6" fillId="3" borderId="1" xfId="0" applyFont="1" applyFill="1" applyBorder="1"/>
    <xf numFmtId="14" fontId="8" fillId="3" borderId="2" xfId="0" applyNumberFormat="1" applyFont="1" applyFill="1" applyBorder="1" applyAlignment="1">
      <alignment horizontal="left"/>
    </xf>
    <xf numFmtId="14" fontId="9" fillId="3" borderId="3" xfId="0" applyNumberFormat="1" applyFont="1" applyFill="1" applyBorder="1"/>
    <xf numFmtId="0" fontId="6" fillId="3" borderId="4" xfId="0" applyFont="1" applyFill="1" applyBorder="1" applyAlignment="1">
      <alignment horizontal="left"/>
    </xf>
    <xf numFmtId="0" fontId="10" fillId="3" borderId="0" xfId="0" applyFont="1" applyFill="1"/>
    <xf numFmtId="0" fontId="2" fillId="3" borderId="0" xfId="0" applyFont="1" applyFill="1"/>
    <xf numFmtId="0" fontId="6" fillId="3" borderId="0" xfId="0" applyFont="1" applyFill="1" applyBorder="1" applyAlignment="1">
      <alignment horizontal="left"/>
    </xf>
    <xf numFmtId="0" fontId="6" fillId="3" borderId="0" xfId="0" applyFont="1" applyFill="1" applyAlignment="1"/>
    <xf numFmtId="0" fontId="11" fillId="3" borderId="0" xfId="0" applyFont="1" applyFill="1"/>
    <xf numFmtId="0" fontId="6" fillId="3" borderId="4" xfId="0" applyFont="1" applyFill="1" applyBorder="1"/>
    <xf numFmtId="14" fontId="8" fillId="3" borderId="0" xfId="0" applyNumberFormat="1" applyFont="1" applyFill="1" applyAlignment="1">
      <alignment horizontal="left"/>
    </xf>
    <xf numFmtId="14" fontId="9" fillId="3" borderId="5" xfId="0" applyNumberFormat="1" applyFont="1" applyFill="1" applyBorder="1"/>
    <xf numFmtId="49" fontId="6" fillId="3" borderId="7" xfId="0" applyNumberFormat="1" applyFont="1" applyFill="1" applyBorder="1" applyAlignment="1"/>
    <xf numFmtId="49" fontId="11" fillId="3" borderId="6" xfId="0" applyNumberFormat="1" applyFont="1" applyFill="1" applyBorder="1"/>
    <xf numFmtId="0" fontId="2" fillId="3" borderId="6" xfId="0" applyFont="1" applyFill="1" applyBorder="1"/>
    <xf numFmtId="0" fontId="6" fillId="3" borderId="6" xfId="0" applyFont="1" applyFill="1" applyBorder="1" applyAlignment="1">
      <alignment horizontal="left"/>
    </xf>
    <xf numFmtId="0" fontId="2" fillId="3" borderId="7" xfId="0" applyFont="1" applyFill="1" applyBorder="1"/>
    <xf numFmtId="0" fontId="6" fillId="3" borderId="0" xfId="0" applyFont="1" applyFill="1" applyAlignment="1">
      <alignment horizontal="left"/>
    </xf>
    <xf numFmtId="0" fontId="6" fillId="3" borderId="6" xfId="0" applyFont="1" applyFill="1" applyBorder="1"/>
    <xf numFmtId="0" fontId="6" fillId="3" borderId="8" xfId="0" applyFont="1" applyFill="1" applyBorder="1"/>
    <xf numFmtId="0" fontId="12" fillId="4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164" fontId="14" fillId="4" borderId="21" xfId="0" applyNumberFormat="1" applyFont="1" applyFill="1" applyBorder="1" applyAlignment="1">
      <alignment horizontal="center"/>
    </xf>
    <xf numFmtId="2" fontId="14" fillId="6" borderId="21" xfId="0" applyNumberFormat="1" applyFont="1" applyFill="1" applyBorder="1" applyAlignment="1">
      <alignment horizontal="center"/>
    </xf>
    <xf numFmtId="2" fontId="14" fillId="4" borderId="21" xfId="0" applyNumberFormat="1" applyFont="1" applyFill="1" applyBorder="1" applyAlignment="1">
      <alignment horizontal="center"/>
    </xf>
    <xf numFmtId="164" fontId="14" fillId="4" borderId="24" xfId="0" applyNumberFormat="1" applyFont="1" applyFill="1" applyBorder="1" applyAlignment="1">
      <alignment horizontal="center"/>
    </xf>
    <xf numFmtId="2" fontId="14" fillId="6" borderId="24" xfId="0" applyNumberFormat="1" applyFont="1" applyFill="1" applyBorder="1" applyAlignment="1">
      <alignment horizontal="center"/>
    </xf>
    <xf numFmtId="2" fontId="14" fillId="4" borderId="24" xfId="0" applyNumberFormat="1" applyFont="1" applyFill="1" applyBorder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15" fillId="0" borderId="0" xfId="0" applyFont="1"/>
    <xf numFmtId="0" fontId="4" fillId="2" borderId="0" xfId="0" applyFont="1" applyFill="1" applyBorder="1"/>
    <xf numFmtId="0" fontId="6" fillId="3" borderId="28" xfId="0" applyFont="1" applyFill="1" applyBorder="1" applyAlignment="1">
      <alignment horizontal="left"/>
    </xf>
    <xf numFmtId="0" fontId="13" fillId="0" borderId="22" xfId="0" applyFont="1" applyBorder="1" applyAlignment="1">
      <alignment horizontal="center"/>
    </xf>
    <xf numFmtId="0" fontId="5" fillId="0" borderId="23" xfId="0" applyFont="1" applyBorder="1"/>
    <xf numFmtId="0" fontId="13" fillId="0" borderId="19" xfId="0" applyFont="1" applyBorder="1" applyAlignment="1">
      <alignment horizontal="center"/>
    </xf>
    <xf numFmtId="0" fontId="5" fillId="0" borderId="20" xfId="0" applyFont="1" applyBorder="1"/>
    <xf numFmtId="0" fontId="13" fillId="0" borderId="25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0" xfId="0" applyFont="1" applyAlignment="1"/>
    <xf numFmtId="0" fontId="3" fillId="3" borderId="26" xfId="0" applyFont="1" applyFill="1" applyBorder="1" applyAlignment="1">
      <alignment horizontal="center"/>
    </xf>
    <xf numFmtId="0" fontId="5" fillId="0" borderId="27" xfId="0" applyFont="1" applyBorder="1"/>
    <xf numFmtId="14" fontId="6" fillId="3" borderId="2" xfId="0" applyNumberFormat="1" applyFont="1" applyFill="1" applyBorder="1" applyAlignment="1">
      <alignment horizontal="left"/>
    </xf>
    <xf numFmtId="0" fontId="5" fillId="0" borderId="2" xfId="0" applyFont="1" applyBorder="1"/>
    <xf numFmtId="14" fontId="16" fillId="3" borderId="0" xfId="0" applyNumberFormat="1" applyFont="1" applyFill="1" applyAlignment="1">
      <alignment horizontal="left"/>
    </xf>
    <xf numFmtId="0" fontId="17" fillId="0" borderId="0" xfId="0" applyFont="1" applyAlignment="1"/>
    <xf numFmtId="0" fontId="6" fillId="4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7" xfId="0" applyFont="1" applyBorder="1"/>
    <xf numFmtId="0" fontId="5" fillId="0" borderId="6" xfId="0" applyFont="1" applyBorder="1"/>
    <xf numFmtId="0" fontId="5" fillId="0" borderId="8" xfId="0" applyFont="1" applyBorder="1"/>
    <xf numFmtId="0" fontId="12" fillId="4" borderId="1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0" fillId="0" borderId="0" xfId="0" applyFont="1" applyAlignment="1">
      <alignment horizontal="center"/>
    </xf>
    <xf numFmtId="0" fontId="18" fillId="0" borderId="0" xfId="0" applyFont="1" applyAlignment="1"/>
    <xf numFmtId="0" fontId="6" fillId="5" borderId="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64" fontId="0" fillId="0" borderId="29" xfId="0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57150</xdr:rowOff>
    </xdr:from>
    <xdr:ext cx="1304925" cy="476250"/>
    <xdr:pic>
      <xdr:nvPicPr>
        <xdr:cNvPr id="2" name="image3.pn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57150"/>
          <a:ext cx="13049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466725</xdr:colOff>
      <xdr:row>0</xdr:row>
      <xdr:rowOff>0</xdr:rowOff>
    </xdr:from>
    <xdr:ext cx="2333625" cy="581025"/>
    <xdr:pic>
      <xdr:nvPicPr>
        <xdr:cNvPr id="3" name="image1.png" title="Imagem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67325" y="0"/>
          <a:ext cx="2333625" cy="581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D729"/>
  <sheetViews>
    <sheetView tabSelected="1" topLeftCell="A3" workbookViewId="0">
      <selection activeCell="W22" sqref="W22"/>
    </sheetView>
  </sheetViews>
  <sheetFormatPr defaultColWidth="12.5546875" defaultRowHeight="15.75" customHeight="1" x14ac:dyDescent="0.3"/>
  <cols>
    <col min="1" max="1" width="3.33203125" style="8" customWidth="1"/>
    <col min="2" max="3" width="5" style="8" customWidth="1"/>
    <col min="4" max="4" width="6.6640625" style="8" customWidth="1"/>
    <col min="5" max="6" width="3.88671875" style="8" customWidth="1"/>
    <col min="7" max="7" width="10" style="8" customWidth="1"/>
    <col min="8" max="8" width="24.5546875" style="8" customWidth="1"/>
    <col min="9" max="9" width="9.6640625" style="8" customWidth="1"/>
    <col min="10" max="10" width="8.44140625" style="8" customWidth="1"/>
    <col min="11" max="11" width="7.88671875" style="8" customWidth="1"/>
    <col min="12" max="15" width="6.44140625" style="8" customWidth="1"/>
    <col min="16" max="21" width="5.6640625" style="8" customWidth="1"/>
    <col min="22" max="30" width="8" style="8" customWidth="1"/>
    <col min="31" max="16384" width="12.5546875" style="8"/>
  </cols>
  <sheetData>
    <row r="1" spans="1:30" ht="15.75" customHeight="1" x14ac:dyDescent="0.3">
      <c r="A1" s="1"/>
      <c r="B1" s="2"/>
      <c r="C1" s="3"/>
      <c r="D1" s="3"/>
      <c r="E1" s="3"/>
      <c r="F1" s="4"/>
      <c r="G1" s="5"/>
      <c r="H1" s="4"/>
      <c r="I1" s="4"/>
      <c r="J1" s="4"/>
      <c r="K1" s="6"/>
      <c r="L1" s="2"/>
      <c r="M1" s="2"/>
      <c r="N1" s="2"/>
      <c r="O1" s="7"/>
      <c r="T1" s="2"/>
      <c r="V1" s="9"/>
      <c r="W1" s="9"/>
      <c r="X1" s="9"/>
      <c r="Y1" s="9"/>
      <c r="Z1" s="9"/>
      <c r="AA1" s="9"/>
      <c r="AB1" s="9"/>
      <c r="AC1" s="9"/>
      <c r="AD1" s="9"/>
    </row>
    <row r="2" spans="1:30" ht="15.75" customHeight="1" x14ac:dyDescent="0.3">
      <c r="A2" s="10"/>
      <c r="B2" s="11"/>
      <c r="C2" s="9"/>
      <c r="D2" s="9"/>
      <c r="E2" s="9"/>
      <c r="G2" s="64" t="s">
        <v>0</v>
      </c>
      <c r="H2" s="65"/>
      <c r="I2" s="65"/>
      <c r="J2" s="65"/>
      <c r="K2" s="12"/>
      <c r="L2" s="11"/>
      <c r="M2" s="11"/>
      <c r="N2" s="11"/>
      <c r="O2" s="13"/>
      <c r="T2" s="11"/>
      <c r="V2" s="9"/>
      <c r="W2" s="9"/>
      <c r="X2" s="9"/>
      <c r="Y2" s="9"/>
      <c r="Z2" s="9"/>
      <c r="AA2" s="9"/>
      <c r="AB2" s="9"/>
      <c r="AC2" s="9"/>
      <c r="AD2" s="9"/>
    </row>
    <row r="3" spans="1:30" ht="15.75" customHeight="1" thickBot="1" x14ac:dyDescent="0.35">
      <c r="A3" s="10"/>
      <c r="B3" s="14"/>
      <c r="C3" s="9"/>
      <c r="D3" s="9"/>
      <c r="E3" s="9"/>
      <c r="F3" s="57"/>
      <c r="G3" s="15"/>
      <c r="H3" s="16"/>
      <c r="I3" s="16"/>
      <c r="J3" s="16"/>
      <c r="K3" s="12"/>
      <c r="L3" s="11"/>
      <c r="M3" s="11"/>
      <c r="N3" s="11"/>
      <c r="O3" s="13"/>
      <c r="V3" s="9"/>
      <c r="W3" s="9"/>
      <c r="X3" s="9"/>
      <c r="Y3" s="9"/>
      <c r="Z3" s="9"/>
      <c r="AA3" s="9"/>
      <c r="AB3" s="9"/>
      <c r="AC3" s="9"/>
      <c r="AD3" s="9"/>
    </row>
    <row r="4" spans="1:30" ht="15.75" customHeight="1" thickBot="1" x14ac:dyDescent="0.35">
      <c r="A4" s="66" t="s">
        <v>1</v>
      </c>
      <c r="B4" s="67"/>
      <c r="C4" s="67"/>
      <c r="D4" s="67"/>
      <c r="E4" s="67"/>
      <c r="F4" s="58"/>
      <c r="G4" s="17" t="s">
        <v>2</v>
      </c>
      <c r="H4" s="18" t="s">
        <v>3</v>
      </c>
      <c r="I4" s="19"/>
      <c r="J4" s="19"/>
      <c r="K4" s="20" t="s">
        <v>4</v>
      </c>
      <c r="L4" s="68">
        <v>45810</v>
      </c>
      <c r="M4" s="69"/>
      <c r="N4" s="21"/>
      <c r="O4" s="22"/>
      <c r="V4" s="9"/>
      <c r="W4" s="9"/>
      <c r="X4" s="9"/>
      <c r="Y4" s="9"/>
      <c r="Z4" s="9"/>
      <c r="AA4" s="9"/>
      <c r="AB4" s="9"/>
      <c r="AC4" s="9"/>
      <c r="AD4" s="9"/>
    </row>
    <row r="5" spans="1:30" ht="15.75" customHeight="1" x14ac:dyDescent="0.3">
      <c r="A5" s="23" t="s">
        <v>5</v>
      </c>
      <c r="B5" s="24"/>
      <c r="C5" s="25"/>
      <c r="D5" s="25"/>
      <c r="E5" s="25"/>
      <c r="F5" s="26"/>
      <c r="G5" s="23" t="s">
        <v>6</v>
      </c>
      <c r="H5" s="27" t="s">
        <v>7</v>
      </c>
      <c r="I5" s="28"/>
      <c r="J5" s="28"/>
      <c r="K5" s="29" t="s">
        <v>8</v>
      </c>
      <c r="L5" s="70">
        <v>45881</v>
      </c>
      <c r="M5" s="71"/>
      <c r="N5" s="30"/>
      <c r="O5" s="31"/>
      <c r="V5" s="9"/>
      <c r="W5" s="9"/>
      <c r="X5" s="9"/>
      <c r="Y5" s="9"/>
      <c r="Z5" s="9"/>
      <c r="AA5" s="9"/>
      <c r="AB5" s="9"/>
      <c r="AC5" s="9"/>
      <c r="AD5" s="9"/>
    </row>
    <row r="6" spans="1:30" ht="15.75" customHeight="1" thickBot="1" x14ac:dyDescent="0.35">
      <c r="A6" s="32" t="s">
        <v>9</v>
      </c>
      <c r="B6" s="33"/>
      <c r="C6" s="33"/>
      <c r="D6" s="34"/>
      <c r="E6" s="34"/>
      <c r="F6" s="35"/>
      <c r="G6" s="36"/>
      <c r="H6" s="28"/>
      <c r="I6" s="28"/>
      <c r="J6" s="28"/>
      <c r="K6" s="29" t="s">
        <v>10</v>
      </c>
      <c r="L6" s="37">
        <v>15</v>
      </c>
      <c r="M6" s="38"/>
      <c r="N6" s="38"/>
      <c r="O6" s="39"/>
      <c r="V6" s="9"/>
      <c r="W6" s="9"/>
      <c r="X6" s="9"/>
      <c r="Y6" s="9"/>
      <c r="Z6" s="9"/>
      <c r="AA6" s="9"/>
      <c r="AB6" s="9"/>
      <c r="AC6" s="9"/>
      <c r="AD6" s="9"/>
    </row>
    <row r="7" spans="1:30" ht="14.25" customHeight="1" x14ac:dyDescent="0.3">
      <c r="A7" s="72" t="s">
        <v>11</v>
      </c>
      <c r="B7" s="69"/>
      <c r="C7" s="69"/>
      <c r="D7" s="69"/>
      <c r="E7" s="69"/>
      <c r="F7" s="73"/>
      <c r="G7" s="77" t="s">
        <v>12</v>
      </c>
      <c r="H7" s="73"/>
      <c r="I7" s="40" t="s">
        <v>13</v>
      </c>
      <c r="J7" s="41" t="s">
        <v>14</v>
      </c>
      <c r="K7" s="42" t="s">
        <v>15</v>
      </c>
      <c r="L7" s="43" t="s">
        <v>16</v>
      </c>
      <c r="M7" s="83" t="s">
        <v>13</v>
      </c>
      <c r="N7" s="83" t="s">
        <v>14</v>
      </c>
      <c r="O7" s="83" t="s">
        <v>15</v>
      </c>
      <c r="P7" s="83" t="s">
        <v>16</v>
      </c>
      <c r="V7" s="9"/>
      <c r="W7" s="9"/>
    </row>
    <row r="8" spans="1:30" ht="14.25" customHeight="1" thickBot="1" x14ac:dyDescent="0.35">
      <c r="A8" s="74"/>
      <c r="B8" s="75"/>
      <c r="C8" s="75"/>
      <c r="D8" s="75"/>
      <c r="E8" s="75"/>
      <c r="F8" s="76"/>
      <c r="G8" s="74"/>
      <c r="H8" s="76"/>
      <c r="I8" s="44" t="s">
        <v>17</v>
      </c>
      <c r="J8" s="78" t="s">
        <v>18</v>
      </c>
      <c r="K8" s="79"/>
      <c r="L8" s="80"/>
      <c r="M8" s="82" t="s">
        <v>40</v>
      </c>
      <c r="N8" s="84" t="s">
        <v>39</v>
      </c>
      <c r="O8" s="81"/>
      <c r="P8" s="81"/>
      <c r="V8" s="9"/>
      <c r="W8" s="9"/>
    </row>
    <row r="9" spans="1:30" ht="14.25" customHeight="1" x14ac:dyDescent="0.3">
      <c r="A9" s="45">
        <v>3</v>
      </c>
      <c r="B9" s="46">
        <v>660</v>
      </c>
      <c r="C9" s="46">
        <v>2025</v>
      </c>
      <c r="D9" s="46">
        <v>324809</v>
      </c>
      <c r="E9" s="46">
        <v>1</v>
      </c>
      <c r="F9" s="47">
        <v>15</v>
      </c>
      <c r="G9" s="61" t="s">
        <v>19</v>
      </c>
      <c r="H9" s="62"/>
      <c r="I9" s="48">
        <v>8.8478175383405411</v>
      </c>
      <c r="J9" s="49">
        <v>44</v>
      </c>
      <c r="K9" s="50">
        <v>4.74</v>
      </c>
      <c r="L9" s="49">
        <v>2.84</v>
      </c>
      <c r="M9" s="85">
        <f>AVERAGE(I9:I13)</f>
        <v>8.8652853653927313</v>
      </c>
      <c r="N9" s="86">
        <f>AVERAGE(J9:J13)</f>
        <v>44.177999999999997</v>
      </c>
      <c r="O9" s="86">
        <f>AVERAGE(K9:K13)</f>
        <v>4.2539999999999996</v>
      </c>
      <c r="P9" s="86">
        <f>AVERAGE(L9:L13)</f>
        <v>2.7479999999999998</v>
      </c>
      <c r="V9" s="9"/>
      <c r="W9" s="9"/>
    </row>
    <row r="10" spans="1:30" ht="14.25" customHeight="1" x14ac:dyDescent="0.3">
      <c r="A10" s="45">
        <v>3</v>
      </c>
      <c r="B10" s="46">
        <v>661</v>
      </c>
      <c r="C10" s="46">
        <v>2025</v>
      </c>
      <c r="D10" s="46">
        <v>324809</v>
      </c>
      <c r="E10" s="46">
        <v>2</v>
      </c>
      <c r="F10" s="47">
        <v>15</v>
      </c>
      <c r="G10" s="59" t="s">
        <v>20</v>
      </c>
      <c r="H10" s="60"/>
      <c r="I10" s="51">
        <v>9.200310559006212</v>
      </c>
      <c r="J10" s="52">
        <v>43.7</v>
      </c>
      <c r="K10" s="53">
        <v>3.9</v>
      </c>
      <c r="L10" s="52">
        <v>2.36</v>
      </c>
      <c r="M10" s="87"/>
      <c r="N10" s="88"/>
      <c r="O10" s="88"/>
      <c r="P10" s="88"/>
      <c r="V10" s="9"/>
      <c r="W10" s="9"/>
    </row>
    <row r="11" spans="1:30" ht="14.25" customHeight="1" x14ac:dyDescent="0.3">
      <c r="A11" s="45">
        <v>3</v>
      </c>
      <c r="B11" s="46">
        <v>662</v>
      </c>
      <c r="C11" s="46">
        <v>2025</v>
      </c>
      <c r="D11" s="46">
        <v>324809</v>
      </c>
      <c r="E11" s="46">
        <v>3</v>
      </c>
      <c r="F11" s="47">
        <v>15</v>
      </c>
      <c r="G11" s="63" t="s">
        <v>21</v>
      </c>
      <c r="H11" s="60"/>
      <c r="I11" s="51">
        <v>7.8137332280978686</v>
      </c>
      <c r="J11" s="52">
        <v>44.79</v>
      </c>
      <c r="K11" s="53">
        <v>4.5199999999999996</v>
      </c>
      <c r="L11" s="52">
        <v>2.68</v>
      </c>
      <c r="M11" s="87"/>
      <c r="N11" s="88"/>
      <c r="O11" s="88"/>
      <c r="P11" s="88"/>
      <c r="V11" s="9"/>
      <c r="W11" s="9"/>
    </row>
    <row r="12" spans="1:30" ht="14.25" customHeight="1" x14ac:dyDescent="0.3">
      <c r="A12" s="45">
        <v>3</v>
      </c>
      <c r="B12" s="46">
        <v>663</v>
      </c>
      <c r="C12" s="46">
        <v>2025</v>
      </c>
      <c r="D12" s="46">
        <v>324809</v>
      </c>
      <c r="E12" s="46">
        <v>4</v>
      </c>
      <c r="F12" s="47">
        <v>15</v>
      </c>
      <c r="G12" s="59" t="s">
        <v>22</v>
      </c>
      <c r="H12" s="60"/>
      <c r="I12" s="51">
        <v>9.6620278330019893</v>
      </c>
      <c r="J12" s="52">
        <v>44.01</v>
      </c>
      <c r="K12" s="53">
        <v>4.0999999999999996</v>
      </c>
      <c r="L12" s="52">
        <v>2.52</v>
      </c>
      <c r="M12" s="87"/>
      <c r="N12" s="88"/>
      <c r="O12" s="88"/>
      <c r="P12" s="88"/>
      <c r="Q12" s="9"/>
      <c r="R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4.25" customHeight="1" x14ac:dyDescent="0.3">
      <c r="A13" s="45">
        <v>3</v>
      </c>
      <c r="B13" s="46">
        <v>664</v>
      </c>
      <c r="C13" s="46">
        <v>2025</v>
      </c>
      <c r="D13" s="46">
        <v>324809</v>
      </c>
      <c r="E13" s="46">
        <v>5</v>
      </c>
      <c r="F13" s="47">
        <v>15</v>
      </c>
      <c r="G13" s="59" t="s">
        <v>23</v>
      </c>
      <c r="H13" s="60"/>
      <c r="I13" s="51">
        <v>8.8025376685170507</v>
      </c>
      <c r="J13" s="52">
        <v>44.39</v>
      </c>
      <c r="K13" s="53">
        <v>4.01</v>
      </c>
      <c r="L13" s="52">
        <v>3.34</v>
      </c>
      <c r="M13" s="87"/>
      <c r="N13" s="88"/>
      <c r="O13" s="88"/>
      <c r="P13" s="88"/>
      <c r="Q13" s="9"/>
      <c r="R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4.25" customHeight="1" x14ac:dyDescent="0.3">
      <c r="A14" s="45">
        <v>3</v>
      </c>
      <c r="B14" s="46">
        <v>665</v>
      </c>
      <c r="C14" s="46">
        <v>2025</v>
      </c>
      <c r="D14" s="46">
        <v>324809</v>
      </c>
      <c r="E14" s="46">
        <v>6</v>
      </c>
      <c r="F14" s="47">
        <v>15</v>
      </c>
      <c r="G14" s="59" t="s">
        <v>24</v>
      </c>
      <c r="H14" s="60"/>
      <c r="I14" s="51">
        <v>18.772136953955133</v>
      </c>
      <c r="J14" s="52">
        <v>43.38</v>
      </c>
      <c r="K14" s="53">
        <v>4.74</v>
      </c>
      <c r="L14" s="52">
        <v>2.79</v>
      </c>
      <c r="M14" s="85">
        <f>AVERAGE(I14:I18)</f>
        <v>21.23539753128998</v>
      </c>
      <c r="N14" s="86">
        <f>AVERAGE(J14:J18)</f>
        <v>43.650000000000006</v>
      </c>
      <c r="O14" s="86">
        <f>AVERAGE(K14:K18)</f>
        <v>4.4799999999999995</v>
      </c>
      <c r="P14" s="89">
        <f>AVERAGE(L14:L18)</f>
        <v>3.28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25" customHeight="1" x14ac:dyDescent="0.3">
      <c r="A15" s="45">
        <v>3</v>
      </c>
      <c r="B15" s="46">
        <v>666</v>
      </c>
      <c r="C15" s="46">
        <v>2025</v>
      </c>
      <c r="D15" s="46">
        <v>324809</v>
      </c>
      <c r="E15" s="46">
        <v>7</v>
      </c>
      <c r="F15" s="47">
        <v>15</v>
      </c>
      <c r="G15" s="59" t="s">
        <v>25</v>
      </c>
      <c r="H15" s="60"/>
      <c r="I15" s="51">
        <v>21.612149532710283</v>
      </c>
      <c r="J15" s="52">
        <v>43.7</v>
      </c>
      <c r="K15" s="53">
        <v>4.55</v>
      </c>
      <c r="L15" s="52">
        <v>3.62</v>
      </c>
      <c r="M15" s="87"/>
      <c r="N15" s="88"/>
      <c r="O15" s="88"/>
      <c r="P15" s="90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25" customHeight="1" x14ac:dyDescent="0.3">
      <c r="A16" s="45">
        <v>3</v>
      </c>
      <c r="B16" s="46">
        <v>667</v>
      </c>
      <c r="C16" s="46">
        <v>2025</v>
      </c>
      <c r="D16" s="46">
        <v>324809</v>
      </c>
      <c r="E16" s="46">
        <v>8</v>
      </c>
      <c r="F16" s="47">
        <v>15</v>
      </c>
      <c r="G16" s="59" t="s">
        <v>26</v>
      </c>
      <c r="H16" s="60"/>
      <c r="I16" s="51">
        <v>22.514734774066799</v>
      </c>
      <c r="J16" s="52">
        <v>43.39</v>
      </c>
      <c r="K16" s="53">
        <v>4.38</v>
      </c>
      <c r="L16" s="52">
        <v>3.58</v>
      </c>
      <c r="M16" s="87"/>
      <c r="N16" s="88"/>
      <c r="O16" s="88"/>
      <c r="P16" s="90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4.25" customHeight="1" x14ac:dyDescent="0.3">
      <c r="A17" s="45">
        <v>3</v>
      </c>
      <c r="B17" s="46">
        <v>668</v>
      </c>
      <c r="C17" s="46">
        <v>2025</v>
      </c>
      <c r="D17" s="46">
        <v>324809</v>
      </c>
      <c r="E17" s="46">
        <v>9</v>
      </c>
      <c r="F17" s="47">
        <v>15</v>
      </c>
      <c r="G17" s="59" t="s">
        <v>27</v>
      </c>
      <c r="H17" s="60"/>
      <c r="I17" s="51">
        <v>18.199841395717684</v>
      </c>
      <c r="J17" s="52">
        <v>44.31</v>
      </c>
      <c r="K17" s="53">
        <v>4.28</v>
      </c>
      <c r="L17" s="52">
        <v>3.28</v>
      </c>
      <c r="M17" s="87"/>
      <c r="N17" s="88"/>
      <c r="O17" s="88"/>
      <c r="P17" s="90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4.25" customHeight="1" x14ac:dyDescent="0.3">
      <c r="A18" s="45">
        <v>3</v>
      </c>
      <c r="B18" s="46">
        <v>669</v>
      </c>
      <c r="C18" s="46">
        <v>2025</v>
      </c>
      <c r="D18" s="46">
        <v>324809</v>
      </c>
      <c r="E18" s="46">
        <v>10</v>
      </c>
      <c r="F18" s="47">
        <v>15</v>
      </c>
      <c r="G18" s="59" t="s">
        <v>28</v>
      </c>
      <c r="H18" s="60"/>
      <c r="I18" s="51">
        <v>25.078125</v>
      </c>
      <c r="J18" s="52">
        <v>43.47</v>
      </c>
      <c r="K18" s="53">
        <v>4.45</v>
      </c>
      <c r="L18" s="52">
        <v>3.13</v>
      </c>
      <c r="M18" s="87"/>
      <c r="N18" s="88"/>
      <c r="O18" s="88"/>
      <c r="P18" s="9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4.25" customHeight="1" x14ac:dyDescent="0.3">
      <c r="A19" s="45">
        <v>3</v>
      </c>
      <c r="B19" s="46">
        <v>670</v>
      </c>
      <c r="C19" s="46">
        <v>2025</v>
      </c>
      <c r="D19" s="46">
        <v>324809</v>
      </c>
      <c r="E19" s="46">
        <v>11</v>
      </c>
      <c r="F19" s="47">
        <v>15</v>
      </c>
      <c r="G19" s="59" t="s">
        <v>29</v>
      </c>
      <c r="H19" s="60"/>
      <c r="I19" s="51">
        <v>6.9984447900466566</v>
      </c>
      <c r="J19" s="52">
        <v>45.6</v>
      </c>
      <c r="K19" s="53">
        <v>4.62</v>
      </c>
      <c r="L19" s="52">
        <v>1.82</v>
      </c>
      <c r="M19" s="85">
        <f>AVERAGE(I19:I23)</f>
        <v>5.675499436064122</v>
      </c>
      <c r="N19" s="86">
        <f>AVERAGE(J19:J23)</f>
        <v>46.082000000000001</v>
      </c>
      <c r="O19" s="86">
        <f>AVERAGE(K19:K23)</f>
        <v>4.3499999999999996</v>
      </c>
      <c r="P19" s="89">
        <f>AVERAGE(L19:L23)</f>
        <v>1.6679999999999999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25" customHeight="1" x14ac:dyDescent="0.3">
      <c r="A20" s="45">
        <v>3</v>
      </c>
      <c r="B20" s="46">
        <v>671</v>
      </c>
      <c r="C20" s="46">
        <v>2025</v>
      </c>
      <c r="D20" s="46">
        <v>324809</v>
      </c>
      <c r="E20" s="46">
        <v>12</v>
      </c>
      <c r="F20" s="47">
        <v>15</v>
      </c>
      <c r="G20" s="59" t="s">
        <v>30</v>
      </c>
      <c r="H20" s="60"/>
      <c r="I20" s="51">
        <v>8.4654039427908785</v>
      </c>
      <c r="J20" s="52">
        <v>44.82</v>
      </c>
      <c r="K20" s="53">
        <v>4.08</v>
      </c>
      <c r="L20" s="52">
        <v>1.78</v>
      </c>
      <c r="M20" s="87"/>
      <c r="N20" s="86"/>
      <c r="O20" s="86"/>
      <c r="P20" s="8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25" customHeight="1" x14ac:dyDescent="0.3">
      <c r="A21" s="45">
        <v>3</v>
      </c>
      <c r="B21" s="46">
        <v>672</v>
      </c>
      <c r="C21" s="46">
        <v>2025</v>
      </c>
      <c r="D21" s="46">
        <v>324809</v>
      </c>
      <c r="E21" s="46">
        <v>13</v>
      </c>
      <c r="F21" s="47">
        <v>15</v>
      </c>
      <c r="G21" s="59" t="s">
        <v>31</v>
      </c>
      <c r="H21" s="60"/>
      <c r="I21" s="51">
        <v>4.9606299212598426</v>
      </c>
      <c r="J21" s="52">
        <v>47.33</v>
      </c>
      <c r="K21" s="53">
        <v>4.3600000000000003</v>
      </c>
      <c r="L21" s="52">
        <v>1.47</v>
      </c>
      <c r="M21" s="87"/>
      <c r="N21" s="86"/>
      <c r="O21" s="86"/>
      <c r="P21" s="8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25" customHeight="1" x14ac:dyDescent="0.3">
      <c r="A22" s="45">
        <v>3</v>
      </c>
      <c r="B22" s="46">
        <v>673</v>
      </c>
      <c r="C22" s="46">
        <v>2025</v>
      </c>
      <c r="D22" s="46">
        <v>324809</v>
      </c>
      <c r="E22" s="46">
        <v>14</v>
      </c>
      <c r="F22" s="47">
        <v>15</v>
      </c>
      <c r="G22" s="59" t="s">
        <v>32</v>
      </c>
      <c r="H22" s="60"/>
      <c r="I22" s="51">
        <v>4.1779497098646035</v>
      </c>
      <c r="J22" s="52">
        <v>46.19</v>
      </c>
      <c r="K22" s="53">
        <v>4.08</v>
      </c>
      <c r="L22" s="52">
        <v>1.56</v>
      </c>
      <c r="M22" s="87"/>
      <c r="N22" s="86"/>
      <c r="O22" s="86"/>
      <c r="P22" s="8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25" customHeight="1" x14ac:dyDescent="0.3">
      <c r="A23" s="45">
        <v>3</v>
      </c>
      <c r="B23" s="46">
        <v>674</v>
      </c>
      <c r="C23" s="46">
        <v>2025</v>
      </c>
      <c r="D23" s="46">
        <v>324809</v>
      </c>
      <c r="E23" s="46">
        <v>15</v>
      </c>
      <c r="F23" s="47">
        <v>15</v>
      </c>
      <c r="G23" s="59" t="s">
        <v>33</v>
      </c>
      <c r="H23" s="60"/>
      <c r="I23" s="51">
        <v>3.775068816358631</v>
      </c>
      <c r="J23" s="52">
        <v>46.47</v>
      </c>
      <c r="K23" s="53">
        <v>4.6100000000000003</v>
      </c>
      <c r="L23" s="52">
        <v>1.71</v>
      </c>
      <c r="M23" s="87"/>
      <c r="N23" s="86"/>
      <c r="O23" s="86"/>
      <c r="P23" s="8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25" customHeight="1" x14ac:dyDescent="0.3">
      <c r="A24" s="54" t="s">
        <v>34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25" customHeight="1" x14ac:dyDescent="0.3">
      <c r="A25" s="55" t="s">
        <v>35</v>
      </c>
      <c r="B25" s="9"/>
      <c r="C25" s="9"/>
      <c r="D25" s="9"/>
      <c r="E25" s="9"/>
      <c r="F25" s="1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25" customHeight="1" x14ac:dyDescent="0.3"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25" customHeight="1" x14ac:dyDescent="0.3">
      <c r="A27" s="56" t="s">
        <v>36</v>
      </c>
      <c r="B27" s="56"/>
      <c r="C27" s="56" t="s">
        <v>37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25" customHeight="1" x14ac:dyDescent="0.3">
      <c r="A28" s="9"/>
      <c r="B28" s="9"/>
      <c r="C28" s="56" t="s">
        <v>38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25" customHeight="1" x14ac:dyDescent="0.3"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2.7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2.7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2.7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2.7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2.75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2.75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2.7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2.7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2.7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2.7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2.7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2.7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2.7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2.7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2.7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2.7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2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2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2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2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2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2.7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2.75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2.7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2.7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2.7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2.7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2.75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2.7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2.75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2.7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2.7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2.7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2.7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2.7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2.7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2.7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2.7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2.7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2.7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2.7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2.7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2.7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2.7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2.7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2.7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2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2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2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2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2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2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2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2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2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2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2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2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2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2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2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2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2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2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2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2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2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2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2.7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2.7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2.7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2.7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2.7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2.7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2.7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2.7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2.7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2.7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2.7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2.7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2.7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2.7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2.7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2.7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2.7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2.7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2.7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2.7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2.7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2.7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2.7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2.7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2.7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2.7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2.7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2.7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2.7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2.7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2.7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2.7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2.7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2.7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2.7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2.7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2.7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2.7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2.7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2.7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2.7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2.7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2.7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2.7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2.7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2.7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2.7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2.7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2.7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2.7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2.7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2.7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2.7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2.7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2.7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2.7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2.7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2.7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2.7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2.7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2.7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2.7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2.7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2.7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2.7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2.7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2.7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2.7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2.7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2.7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2.7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2.7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2.7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2.7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2.7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2.7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2.7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2.7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2.7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2.7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2.7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2.7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2.7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2.7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2.7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2.7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2.7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2.7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2.7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2.7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2.7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2.7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2.7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2.7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2.7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2.7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2.7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2.7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2.7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2.7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2.7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2.7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2.7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2.7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2.7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2.7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2.7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2.7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2.7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2.7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2.7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2.7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2.7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2.7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2.7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2.7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2.7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2.7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2.7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2.7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2.7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2.7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2.7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2.7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2.7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2.7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2.7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2.7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2.7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2.7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2.7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2.7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2.7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2.7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2.7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2.7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2.7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2.7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2.7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2.7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2.7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2.7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2.7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2.7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2.7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2.7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2.7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2.7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2.7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2.7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2.7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2.7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2.7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2.7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2.7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2.7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2.7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2.7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2.7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2.7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2.7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2.7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2.7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2.7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2.7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2.7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2.7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2.7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2.7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2.7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2.7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2.7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2.7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2.7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2.7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2.7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2.7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2.7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2.7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2.7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2.7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2.7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2.7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2.7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2.7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2.7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2.7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2.7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2.7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2.7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2.7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2.7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2.7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2.7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2.7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2.7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2.7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2.7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2.7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2.7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2.7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2.7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2.7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2.7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2.7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2.7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2.7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2.7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2.7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2.7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2.7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2.7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2.7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2.7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2.7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2.7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2.7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2.7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2.7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2.7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2.7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2.7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2.7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2.7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2.7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2.7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2.7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2.7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2.7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2.7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2.7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2.7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2.7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2.7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2.7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2.7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2.7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2.7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2.7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2.7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2.7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2.7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2.7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2.7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2.7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2.7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2.7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2.7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2.7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2.7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2.7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2.7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2.7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2.7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2.7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2.7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2.7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2.7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2.7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2.7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2.7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2.7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2.7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2.7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2.7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2.7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2.7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2.7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2.7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2.7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2.7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2.7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2.7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2.7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2.7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2.7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2.7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2.7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2.7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2.7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2.7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2.7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2.7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2.7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2.7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2.7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2.7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2.7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2.7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2.7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2.7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2.7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2.7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2.7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2.7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2.7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2.7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2.7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2.7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2.7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2.7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2.7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2.7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2.7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2.7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2.7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2.7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2.7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2.7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2.7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2.7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2.7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2.7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2.7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2.7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2.7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2.7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2.7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2.7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2.7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2.7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2.7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2.7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2.7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2.7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2.7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2.7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2.7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2.7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2.7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2.7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2.7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2.7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2.7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2.7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2.7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2.7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2.7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2.7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2.7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2.7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2.7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2.7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2.7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2.7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2.7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2.7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2.7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2.7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2.7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2.7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2.7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2.7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2.7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2.7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2.7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2.7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2.7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2.7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2.7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2.7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2.7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2.7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2.7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2.7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2.7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2.7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2.7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2.7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2.7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2.7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2.7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2.7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2.7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2.7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2.7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2.7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2.7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2.7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2.7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2.7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2.7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2.7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2.7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2.7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2.7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2.7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2.7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2.7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2.7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2.7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2.7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2.7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2.7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2.7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2.7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2.7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2.7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2.7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2.7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2.7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2.7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2.7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2.7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2.7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2.7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2.7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2.7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2.7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2.7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2.7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2.7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2.7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2.7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2.7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2.7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2.7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2.7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2.7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2.7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2.7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2.7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2.7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2.7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2.7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2.7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2.7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2.7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2.7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2.7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2.7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2.7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2.7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2.7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2.7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2.7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2.7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2.7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2.7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2.7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2.7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2.7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2.7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2.7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2.7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2.7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2.7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2.7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2.7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2.7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2.7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2.7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2.7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2.7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2.7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2.7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2.7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2.7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2.7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2.7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2.7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2.7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2.7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2.7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2.7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2.7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2.7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2.7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2.7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2.7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2.7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2.7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2.7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2.7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2.7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2.7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2.7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2.7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2.7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2.7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2.7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2.7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2.7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2.7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2.7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2.7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2.7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2.7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2.7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2.7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2.7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2.7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2.7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2.7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2.7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2.7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2.7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2.7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2.7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2.7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2.7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2.7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2.7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2.7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2.7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2.7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2.7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2.7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2.7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2.7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2.7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2.7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2.7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2.7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2.7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2.7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2.7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2.7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2.7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2.7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2.7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2.7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2.7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2.7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2.7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2.7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2.7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2.7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2.7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2.7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2.7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2.7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2.7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2.7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2.7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2.7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2.7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2.7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2.7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2.7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2.7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2.7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2.7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2.7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2.7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2.7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2.7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2.7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2.7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2.7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2.7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2.7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2.7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2.7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2.7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2.7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2.7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2.7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2.7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2.7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2.7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2.7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2.7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2.7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2.7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2.7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2.7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2.7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2.7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2.7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2.7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2.7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2.7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2.7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2.7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2.7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2.7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2.7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2.7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2.7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2.7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2.7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2.7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2.7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2.7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2.7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2.7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2.7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2.7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2.7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2.7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2.7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2.7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2.7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2.7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2.7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2.7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2.7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2.7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2.7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2.7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2.7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2.7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2.7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2.7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2.7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2.7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2.7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2.7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2.7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2.7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2.7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2.7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2.7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2.7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2.7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2.7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2.7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2.7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2.7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2.7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2.7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2.7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2.7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2.7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2.7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2.7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2.7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2.7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2.7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2.7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2.7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</sheetData>
  <mergeCells count="35">
    <mergeCell ref="M19:M23"/>
    <mergeCell ref="N19:N23"/>
    <mergeCell ref="O19:O23"/>
    <mergeCell ref="P19:P23"/>
    <mergeCell ref="N8:P8"/>
    <mergeCell ref="N9:N13"/>
    <mergeCell ref="O9:O13"/>
    <mergeCell ref="P9:P13"/>
    <mergeCell ref="M14:M18"/>
    <mergeCell ref="N14:N18"/>
    <mergeCell ref="O14:O18"/>
    <mergeCell ref="P14:P18"/>
    <mergeCell ref="G14:H14"/>
    <mergeCell ref="G2:J2"/>
    <mergeCell ref="A4:E4"/>
    <mergeCell ref="L4:M4"/>
    <mergeCell ref="L5:M5"/>
    <mergeCell ref="A7:F8"/>
    <mergeCell ref="G7:H8"/>
    <mergeCell ref="J8:L8"/>
    <mergeCell ref="M9:M13"/>
    <mergeCell ref="G9:H9"/>
    <mergeCell ref="G10:H10"/>
    <mergeCell ref="G11:H11"/>
    <mergeCell ref="G12:H12"/>
    <mergeCell ref="G13:H13"/>
    <mergeCell ref="G21:H21"/>
    <mergeCell ref="G22:H22"/>
    <mergeCell ref="G23:H23"/>
    <mergeCell ref="G15:H15"/>
    <mergeCell ref="G16:H16"/>
    <mergeCell ref="G17:H17"/>
    <mergeCell ref="G18:H18"/>
    <mergeCell ref="G19:H19"/>
    <mergeCell ref="G20:H20"/>
  </mergeCells>
  <pageMargins left="0.25" right="0.25" top="0.75" bottom="0.75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m295009</dc:creator>
  <cp:lastModifiedBy>Laíla Arnauth</cp:lastModifiedBy>
  <dcterms:created xsi:type="dcterms:W3CDTF">2025-08-12T14:47:31Z</dcterms:created>
  <dcterms:modified xsi:type="dcterms:W3CDTF">2025-09-26T15:06:00Z</dcterms:modified>
</cp:coreProperties>
</file>