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ila\OneDrive\Documentos\2. Mestrado\2. Análise Estatística\TRABALHO EXCEL\Planilhas_análise_solo_LF\"/>
    </mc:Choice>
  </mc:AlternateContent>
  <bookViews>
    <workbookView xWindow="0" yWindow="0" windowWidth="23040" windowHeight="9780"/>
  </bookViews>
  <sheets>
    <sheet name="Resultados" sheetId="1" r:id="rId1"/>
    <sheet name="Sta. Helena - TM" sheetId="2" r:id="rId2"/>
    <sheet name="Sta. Hel. - Baixada" sheetId="3" r:id="rId3"/>
    <sheet name="St. São Jorge - TM" sheetId="4" r:id="rId4"/>
    <sheet name="Guardian" sheetId="5" r:id="rId5"/>
    <sheet name="MAR P" sheetId="6" r:id="rId6"/>
    <sheet name="MAR E" sheetId="7" r:id="rId7"/>
  </sheets>
  <calcPr calcId="162913"/>
  <extLst>
    <ext uri="GoogleSheetsCustomDataVersion2">
      <go:sheetsCustomData xmlns:go="http://customooxmlschemas.google.com/" r:id="rId11" roundtripDataChecksum="uqGsqLYSfbui19kaaljWItZCJGqz6m/eD6VfzlrO7j8="/>
    </ext>
  </extLst>
</workbook>
</file>

<file path=xl/calcChain.xml><?xml version="1.0" encoding="utf-8"?>
<calcChain xmlns="http://schemas.openxmlformats.org/spreadsheetml/2006/main">
  <c r="W59" i="7" l="1"/>
  <c r="W58" i="7"/>
  <c r="W57" i="7"/>
  <c r="W56" i="7"/>
  <c r="W55" i="7"/>
  <c r="W54" i="7"/>
  <c r="W53" i="7"/>
  <c r="W52" i="7"/>
  <c r="W51" i="7"/>
  <c r="W32" i="7"/>
  <c r="W31" i="7"/>
  <c r="W30" i="7"/>
  <c r="W29" i="7"/>
  <c r="W28" i="7"/>
  <c r="W27" i="7"/>
  <c r="W26" i="7"/>
  <c r="W25" i="7"/>
  <c r="W24" i="7"/>
  <c r="W59" i="6"/>
  <c r="W58" i="6"/>
  <c r="W57" i="6"/>
  <c r="W56" i="6"/>
  <c r="W55" i="6"/>
  <c r="W54" i="6"/>
  <c r="W53" i="6"/>
  <c r="W52" i="6"/>
  <c r="W51" i="6"/>
  <c r="W32" i="6"/>
  <c r="W31" i="6"/>
  <c r="W30" i="6"/>
  <c r="W29" i="6"/>
  <c r="W28" i="6"/>
  <c r="W27" i="6"/>
  <c r="W26" i="6"/>
  <c r="W25" i="6"/>
  <c r="W24" i="6"/>
  <c r="W59" i="5"/>
  <c r="W58" i="5"/>
  <c r="W57" i="5"/>
  <c r="W56" i="5"/>
  <c r="W55" i="5"/>
  <c r="W54" i="5"/>
  <c r="W53" i="5"/>
  <c r="W52" i="5"/>
  <c r="W51" i="5"/>
  <c r="W32" i="5"/>
  <c r="W31" i="5"/>
  <c r="W30" i="5"/>
  <c r="W29" i="5"/>
  <c r="W28" i="5"/>
  <c r="W27" i="5"/>
  <c r="W26" i="5"/>
  <c r="W25" i="5"/>
  <c r="W24" i="5"/>
  <c r="W59" i="4"/>
  <c r="W58" i="4"/>
  <c r="W57" i="4"/>
  <c r="W56" i="4"/>
  <c r="W55" i="4"/>
  <c r="W54" i="4"/>
  <c r="W53" i="4"/>
  <c r="W52" i="4"/>
  <c r="W51" i="4"/>
  <c r="W32" i="4"/>
  <c r="W31" i="4"/>
  <c r="W30" i="4"/>
  <c r="W29" i="4"/>
  <c r="W28" i="4"/>
  <c r="W27" i="4"/>
  <c r="W26" i="4"/>
  <c r="W25" i="4"/>
  <c r="W24" i="4"/>
  <c r="W59" i="3"/>
  <c r="W58" i="3"/>
  <c r="W57" i="3"/>
  <c r="W56" i="3"/>
  <c r="W55" i="3"/>
  <c r="W54" i="3"/>
  <c r="W53" i="3"/>
  <c r="W52" i="3"/>
  <c r="W51" i="3"/>
  <c r="W32" i="3"/>
  <c r="W31" i="3"/>
  <c r="W30" i="3"/>
  <c r="W29" i="3"/>
  <c r="W28" i="3"/>
  <c r="W27" i="3"/>
  <c r="W26" i="3"/>
  <c r="W25" i="3"/>
  <c r="W24" i="3"/>
  <c r="W59" i="2"/>
  <c r="W58" i="2"/>
  <c r="W57" i="2"/>
  <c r="W56" i="2"/>
  <c r="W55" i="2"/>
  <c r="W54" i="2"/>
  <c r="W53" i="2"/>
  <c r="W52" i="2"/>
  <c r="W51" i="2"/>
  <c r="W32" i="2"/>
  <c r="W31" i="2"/>
  <c r="W30" i="2"/>
  <c r="W29" i="2"/>
  <c r="W28" i="2"/>
  <c r="W27" i="2"/>
  <c r="W26" i="2"/>
  <c r="W25" i="2"/>
  <c r="W24" i="2"/>
  <c r="AG11" i="1"/>
  <c r="AG10" i="1"/>
  <c r="AG9" i="1"/>
  <c r="AG8" i="1"/>
  <c r="AG7" i="1"/>
  <c r="AG6" i="1"/>
</calcChain>
</file>

<file path=xl/sharedStrings.xml><?xml version="1.0" encoding="utf-8"?>
<sst xmlns="http://schemas.openxmlformats.org/spreadsheetml/2006/main" count="3977" uniqueCount="435">
  <si>
    <t xml:space="preserve">Nome do Cliente: </t>
  </si>
  <si>
    <t>G. Donagemma - Proj. Filtros</t>
  </si>
  <si>
    <t>Nº Atividade:</t>
  </si>
  <si>
    <t>26.16.05.003.00.04.002</t>
  </si>
  <si>
    <t xml:space="preserve">Local: </t>
  </si>
  <si>
    <t>Cachoeiras de Macacu / RJ</t>
  </si>
  <si>
    <t>Pedido:</t>
  </si>
  <si>
    <t>013/2022</t>
  </si>
  <si>
    <t xml:space="preserve">Data de entrada: </t>
  </si>
  <si>
    <t xml:space="preserve">Data de saída: </t>
  </si>
  <si>
    <t>Resultados das Análises Físico-Químicas do Solo</t>
  </si>
  <si>
    <t>Granulometria - Terra Fina (g/Kg)</t>
  </si>
  <si>
    <t>Relação</t>
  </si>
  <si>
    <t>Complexo Sortivo</t>
  </si>
  <si>
    <r>
      <rPr>
        <b/>
        <sz val="10"/>
        <color theme="1"/>
        <rFont val="Calibri"/>
        <family val="2"/>
      </rPr>
      <t>100.Al</t>
    </r>
    <r>
      <rPr>
        <b/>
        <u/>
        <vertAlign val="superscript"/>
        <sz val="10"/>
        <color theme="1"/>
        <rFont val="Calibri"/>
        <family val="2"/>
      </rPr>
      <t>3+</t>
    </r>
  </si>
  <si>
    <t>Via Úmida</t>
  </si>
  <si>
    <t>Via Seca</t>
  </si>
  <si>
    <t>Classe de</t>
  </si>
  <si>
    <t>Nº no Laboratório</t>
  </si>
  <si>
    <t>Perfil</t>
  </si>
  <si>
    <t>Horiz.</t>
  </si>
  <si>
    <t>Profun.</t>
  </si>
  <si>
    <t>Areia G.</t>
  </si>
  <si>
    <t>Areia F.</t>
  </si>
  <si>
    <t>Silte</t>
  </si>
  <si>
    <t>Argila</t>
  </si>
  <si>
    <t>Silte/Arg.</t>
  </si>
  <si>
    <t>pH H2O</t>
  </si>
  <si>
    <r>
      <rPr>
        <b/>
        <sz val="10"/>
        <color theme="1"/>
        <rFont val="Calibri"/>
        <family val="2"/>
      </rPr>
      <t>Ca</t>
    </r>
    <r>
      <rPr>
        <b/>
        <vertAlign val="superscript"/>
        <sz val="10"/>
        <color theme="1"/>
        <rFont val="Calibri"/>
        <family val="2"/>
      </rPr>
      <t>2+</t>
    </r>
  </si>
  <si>
    <r>
      <rPr>
        <b/>
        <sz val="10"/>
        <color theme="1"/>
        <rFont val="Calibri"/>
        <family val="2"/>
      </rPr>
      <t>Mg</t>
    </r>
    <r>
      <rPr>
        <b/>
        <vertAlign val="superscript"/>
        <sz val="10"/>
        <color theme="1"/>
        <rFont val="Calibri"/>
        <family val="2"/>
      </rPr>
      <t>2+</t>
    </r>
  </si>
  <si>
    <r>
      <rPr>
        <b/>
        <sz val="10"/>
        <color theme="1"/>
        <rFont val="Calibri"/>
        <family val="2"/>
      </rPr>
      <t>K</t>
    </r>
    <r>
      <rPr>
        <b/>
        <vertAlign val="superscript"/>
        <sz val="10"/>
        <color theme="1"/>
        <rFont val="Calibri"/>
        <family val="2"/>
      </rPr>
      <t>+</t>
    </r>
  </si>
  <si>
    <r>
      <rPr>
        <b/>
        <sz val="10"/>
        <color theme="1"/>
        <rFont val="Calibri"/>
        <family val="2"/>
      </rPr>
      <t>Na</t>
    </r>
    <r>
      <rPr>
        <b/>
        <vertAlign val="superscript"/>
        <sz val="10"/>
        <color theme="1"/>
        <rFont val="Calibri"/>
        <family val="2"/>
      </rPr>
      <t>+</t>
    </r>
  </si>
  <si>
    <t>Valor S</t>
  </si>
  <si>
    <r>
      <rPr>
        <b/>
        <sz val="10"/>
        <color theme="1"/>
        <rFont val="Calibri"/>
        <family val="2"/>
      </rPr>
      <t>Al</t>
    </r>
    <r>
      <rPr>
        <b/>
        <vertAlign val="superscript"/>
        <sz val="10"/>
        <color theme="1"/>
        <rFont val="Calibri"/>
        <family val="2"/>
      </rPr>
      <t>3+</t>
    </r>
  </si>
  <si>
    <r>
      <rPr>
        <b/>
        <sz val="10"/>
        <color theme="1"/>
        <rFont val="Calibri"/>
        <family val="2"/>
      </rPr>
      <t>H</t>
    </r>
    <r>
      <rPr>
        <b/>
        <vertAlign val="superscript"/>
        <sz val="10"/>
        <color theme="1"/>
        <rFont val="Calibri"/>
        <family val="2"/>
      </rPr>
      <t>+</t>
    </r>
  </si>
  <si>
    <t>Valor T</t>
  </si>
  <si>
    <t>Valor V</t>
  </si>
  <si>
    <r>
      <rPr>
        <b/>
        <sz val="10"/>
        <color theme="1"/>
        <rFont val="Calibri"/>
        <family val="2"/>
      </rPr>
      <t>S + Al</t>
    </r>
    <r>
      <rPr>
        <b/>
        <vertAlign val="superscript"/>
        <sz val="10"/>
        <color theme="1"/>
        <rFont val="Calibri"/>
        <family val="2"/>
      </rPr>
      <t>3+</t>
    </r>
  </si>
  <si>
    <t>P Assim.</t>
  </si>
  <si>
    <t>C. Org.</t>
  </si>
  <si>
    <t>N</t>
  </si>
  <si>
    <t>C/N</t>
  </si>
  <si>
    <t>C. Total</t>
  </si>
  <si>
    <t>Textura</t>
  </si>
  <si>
    <t>Classificação</t>
  </si>
  <si>
    <t>Inicial</t>
  </si>
  <si>
    <t>Final</t>
  </si>
  <si>
    <t>2-0,2 mm</t>
  </si>
  <si>
    <t>0,2-0,05 mm</t>
  </si>
  <si>
    <t>0,05-0,002 mm</t>
  </si>
  <si>
    <t>&lt; 0,002 mm</t>
  </si>
  <si>
    <t>(1:2,5)</t>
  </si>
  <si>
    <t>cmolc/Kg</t>
  </si>
  <si>
    <t>(%)</t>
  </si>
  <si>
    <t>%</t>
  </si>
  <si>
    <t>mg/Kg</t>
  </si>
  <si>
    <t>g/Kg</t>
  </si>
  <si>
    <t>0317</t>
  </si>
  <si>
    <t>318749</t>
  </si>
  <si>
    <t>Faz. Sta. Helena - TM</t>
  </si>
  <si>
    <t>TM</t>
  </si>
  <si>
    <t>muito argilosa</t>
  </si>
  <si>
    <t>alumínico</t>
  </si>
  <si>
    <t>0318</t>
  </si>
  <si>
    <t>"</t>
  </si>
  <si>
    <t>0319</t>
  </si>
  <si>
    <t>Faz. Sta. Helena - Baixada</t>
  </si>
  <si>
    <t>Baixada</t>
  </si>
  <si>
    <t>argila</t>
  </si>
  <si>
    <t>distrófico</t>
  </si>
  <si>
    <t>0320</t>
  </si>
  <si>
    <t>0321</t>
  </si>
  <si>
    <t>Sítio São Jorge - TM</t>
  </si>
  <si>
    <t>álico</t>
  </si>
  <si>
    <t>0322</t>
  </si>
  <si>
    <t>0323</t>
  </si>
  <si>
    <t>Guardian</t>
  </si>
  <si>
    <t>1</t>
  </si>
  <si>
    <t>argilo-arenosa</t>
  </si>
  <si>
    <t>eutrófico</t>
  </si>
  <si>
    <t>0324</t>
  </si>
  <si>
    <t>2</t>
  </si>
  <si>
    <t>0325</t>
  </si>
  <si>
    <t>MAR P</t>
  </si>
  <si>
    <t>franco-argilo-arenosa</t>
  </si>
  <si>
    <t>0326</t>
  </si>
  <si>
    <t>0327</t>
  </si>
  <si>
    <t>MAR E</t>
  </si>
  <si>
    <t>0328</t>
  </si>
  <si>
    <t>Análises Físicas e Químicas</t>
  </si>
  <si>
    <t>Perfil: Faz. Sta. Helena - TM</t>
  </si>
  <si>
    <t>Amostras de Laboratório: 22.0317-0318</t>
  </si>
  <si>
    <t xml:space="preserve">Solo: </t>
  </si>
  <si>
    <t>Horizonte</t>
  </si>
  <si>
    <r>
      <rPr>
        <sz val="8"/>
        <color theme="1"/>
        <rFont val="Arial"/>
        <family val="2"/>
      </rPr>
      <t xml:space="preserve">Frações da amostra total </t>
    </r>
    <r>
      <rPr>
        <sz val="7"/>
        <color theme="1"/>
        <rFont val="Arial"/>
        <family val="2"/>
      </rPr>
      <t>g/kg</t>
    </r>
  </si>
  <si>
    <r>
      <rPr>
        <sz val="8"/>
        <color theme="1"/>
        <rFont val="Arial"/>
        <family val="2"/>
      </rPr>
      <t xml:space="preserve">Composição granulométrica da      terra fina                                        </t>
    </r>
    <r>
      <rPr>
        <sz val="7"/>
        <color theme="1"/>
        <rFont val="Arial"/>
        <family val="2"/>
      </rPr>
      <t>g/kg</t>
    </r>
  </si>
  <si>
    <r>
      <rPr>
        <sz val="8"/>
        <color theme="1"/>
        <rFont val="Arial"/>
        <family val="2"/>
      </rPr>
      <t xml:space="preserve">Argila dispersa em água </t>
    </r>
    <r>
      <rPr>
        <sz val="7"/>
        <color theme="1"/>
        <rFont val="Arial"/>
        <family val="2"/>
      </rPr>
      <t>g/kg</t>
    </r>
  </si>
  <si>
    <r>
      <rPr>
        <sz val="8"/>
        <color theme="1"/>
        <rFont val="Arial"/>
        <family val="2"/>
      </rPr>
      <t xml:space="preserve">Grau  de   flocu-lação   </t>
    </r>
    <r>
      <rPr>
        <sz val="7"/>
        <color theme="1"/>
        <rFont val="Arial"/>
        <family val="2"/>
      </rPr>
      <t>%</t>
    </r>
  </si>
  <si>
    <t>Relação Silte/  Argila</t>
  </si>
  <si>
    <r>
      <rPr>
        <sz val="8"/>
        <color theme="1"/>
        <rFont val="Arial"/>
        <family val="2"/>
      </rPr>
      <t xml:space="preserve">Densidade             </t>
    </r>
    <r>
      <rPr>
        <sz val="7"/>
        <color theme="1"/>
        <rFont val="Arial"/>
        <family val="2"/>
      </rPr>
      <t>g/cm</t>
    </r>
    <r>
      <rPr>
        <vertAlign val="superscript"/>
        <sz val="7"/>
        <color theme="1"/>
        <rFont val="Arial"/>
        <family val="2"/>
      </rPr>
      <t>3</t>
    </r>
  </si>
  <si>
    <r>
      <rPr>
        <sz val="8"/>
        <color theme="1"/>
        <rFont val="Arial"/>
        <family val="2"/>
      </rPr>
      <t>Porosidade</t>
    </r>
    <r>
      <rPr>
        <sz val="7"/>
        <color theme="1"/>
        <rFont val="Arial"/>
        <family val="2"/>
      </rPr>
      <t xml:space="preserve"> cm</t>
    </r>
    <r>
      <rPr>
        <vertAlign val="superscript"/>
        <sz val="7"/>
        <color theme="1"/>
        <rFont val="Arial"/>
        <family val="2"/>
      </rPr>
      <t>3</t>
    </r>
    <r>
      <rPr>
        <sz val="7"/>
        <color theme="1"/>
        <rFont val="Arial"/>
        <family val="2"/>
      </rPr>
      <t>/100cm</t>
    </r>
    <r>
      <rPr>
        <vertAlign val="superscript"/>
        <sz val="7"/>
        <color theme="1"/>
        <rFont val="Arial"/>
        <family val="2"/>
      </rPr>
      <t>3</t>
    </r>
  </si>
  <si>
    <t>Símbolo</t>
  </si>
  <si>
    <r>
      <rPr>
        <sz val="8"/>
        <color theme="1"/>
        <rFont val="Arial"/>
        <family val="2"/>
      </rPr>
      <t xml:space="preserve">Profun-didade     </t>
    </r>
    <r>
      <rPr>
        <sz val="7"/>
        <color theme="1"/>
        <rFont val="Arial"/>
        <family val="2"/>
      </rPr>
      <t>cm</t>
    </r>
  </si>
  <si>
    <r>
      <rPr>
        <sz val="8"/>
        <color theme="1"/>
        <rFont val="Arial"/>
        <family val="2"/>
      </rPr>
      <t xml:space="preserve">Calhaus </t>
    </r>
    <r>
      <rPr>
        <sz val="7"/>
        <color theme="1"/>
        <rFont val="Arial"/>
        <family val="2"/>
      </rPr>
      <t>&gt; 20     mm</t>
    </r>
  </si>
  <si>
    <r>
      <rPr>
        <sz val="8"/>
        <color theme="1"/>
        <rFont val="Arial"/>
        <family val="2"/>
      </rPr>
      <t xml:space="preserve">Cas-calho </t>
    </r>
    <r>
      <rPr>
        <sz val="7"/>
        <color theme="1"/>
        <rFont val="Arial"/>
        <family val="2"/>
      </rPr>
      <t>20-2 mm</t>
    </r>
  </si>
  <si>
    <r>
      <rPr>
        <sz val="8"/>
        <color theme="1"/>
        <rFont val="Arial"/>
        <family val="2"/>
      </rPr>
      <t xml:space="preserve">Terra fina     </t>
    </r>
    <r>
      <rPr>
        <sz val="7"/>
        <color theme="1"/>
        <rFont val="Arial"/>
        <family val="2"/>
      </rPr>
      <t>&lt; 2    mm</t>
    </r>
  </si>
  <si>
    <r>
      <rPr>
        <sz val="8"/>
        <color theme="1"/>
        <rFont val="Arial"/>
        <family val="2"/>
      </rPr>
      <t xml:space="preserve">Areia grossa </t>
    </r>
    <r>
      <rPr>
        <sz val="7"/>
        <color theme="1"/>
        <rFont val="Arial"/>
        <family val="2"/>
      </rPr>
      <t>2-0,20 mm</t>
    </r>
  </si>
  <si>
    <r>
      <rPr>
        <sz val="8"/>
        <color theme="1"/>
        <rFont val="Arial"/>
        <family val="2"/>
      </rPr>
      <t xml:space="preserve">Areia fina      </t>
    </r>
    <r>
      <rPr>
        <sz val="7"/>
        <color theme="1"/>
        <rFont val="Arial"/>
        <family val="2"/>
      </rPr>
      <t>0,20-0,05 mm</t>
    </r>
  </si>
  <si>
    <r>
      <rPr>
        <sz val="8"/>
        <color theme="1"/>
        <rFont val="Arial"/>
        <family val="2"/>
      </rPr>
      <t xml:space="preserve">Silte  </t>
    </r>
    <r>
      <rPr>
        <sz val="7"/>
        <color theme="1"/>
        <rFont val="Arial"/>
        <family val="2"/>
      </rPr>
      <t>0,05-0,002    mm</t>
    </r>
  </si>
  <si>
    <r>
      <rPr>
        <sz val="8"/>
        <color theme="1"/>
        <rFont val="Arial"/>
        <family val="2"/>
      </rPr>
      <t xml:space="preserve">Argila   </t>
    </r>
    <r>
      <rPr>
        <sz val="7"/>
        <color theme="1"/>
        <rFont val="Arial"/>
        <family val="2"/>
      </rPr>
      <t>&lt; 0,002 mm</t>
    </r>
  </si>
  <si>
    <t>Solo</t>
  </si>
  <si>
    <t>Partículas</t>
  </si>
  <si>
    <t>ocultar</t>
  </si>
  <si>
    <t>0-20</t>
  </si>
  <si>
    <t/>
  </si>
  <si>
    <t>20-40</t>
  </si>
  <si>
    <r>
      <rPr>
        <sz val="8"/>
        <color theme="1"/>
        <rFont val="Arial"/>
        <family val="2"/>
      </rPr>
      <t xml:space="preserve">pH </t>
    </r>
    <r>
      <rPr>
        <sz val="7"/>
        <color theme="1"/>
        <rFont val="Arial"/>
        <family val="2"/>
      </rPr>
      <t>(1:2,5)</t>
    </r>
  </si>
  <si>
    <r>
      <rPr>
        <sz val="8"/>
        <color theme="1"/>
        <rFont val="Arial"/>
        <family val="2"/>
      </rPr>
      <t xml:space="preserve">Complexo Sortivo                                                                                     </t>
    </r>
    <r>
      <rPr>
        <sz val="7"/>
        <color theme="1"/>
        <rFont val="Arial"/>
        <family val="2"/>
      </rPr>
      <t>cmol</t>
    </r>
    <r>
      <rPr>
        <vertAlign val="subscript"/>
        <sz val="8"/>
        <color theme="1"/>
        <rFont val="Arial"/>
        <family val="2"/>
      </rPr>
      <t>c</t>
    </r>
    <r>
      <rPr>
        <sz val="7"/>
        <color theme="1"/>
        <rFont val="Arial"/>
        <family val="2"/>
      </rPr>
      <t>/kg</t>
    </r>
  </si>
  <si>
    <r>
      <rPr>
        <sz val="8"/>
        <color theme="1"/>
        <rFont val="Arial"/>
        <family val="2"/>
      </rPr>
      <t xml:space="preserve">Valor V              </t>
    </r>
    <r>
      <rPr>
        <sz val="7"/>
        <color theme="1"/>
        <rFont val="Arial"/>
        <family val="2"/>
      </rPr>
      <t>(sat. por bases)     %</t>
    </r>
  </si>
  <si>
    <r>
      <rPr>
        <u/>
        <sz val="8"/>
        <color theme="1"/>
        <rFont val="Arial"/>
        <family val="2"/>
      </rPr>
      <t>100.Al</t>
    </r>
    <r>
      <rPr>
        <u/>
        <vertAlign val="superscript"/>
        <sz val="9"/>
        <color theme="1"/>
        <rFont val="Arial"/>
        <family val="2"/>
      </rPr>
      <t>3</t>
    </r>
    <r>
      <rPr>
        <u/>
        <vertAlign val="superscript"/>
        <sz val="9"/>
        <color theme="1"/>
        <rFont val="Arial"/>
        <family val="2"/>
      </rPr>
      <t>+</t>
    </r>
    <r>
      <rPr>
        <u/>
        <sz val="8"/>
        <color theme="1"/>
        <rFont val="Arial"/>
        <family val="2"/>
      </rPr>
      <t xml:space="preserve">                   S + Al</t>
    </r>
    <r>
      <rPr>
        <u/>
        <vertAlign val="superscript"/>
        <sz val="9"/>
        <color theme="1"/>
        <rFont val="Arial"/>
        <family val="2"/>
      </rPr>
      <t>3+</t>
    </r>
    <r>
      <rPr>
        <u/>
        <sz val="8"/>
        <color theme="1"/>
        <rFont val="Arial"/>
        <family val="2"/>
      </rPr>
      <t xml:space="preserve">                    </t>
    </r>
    <r>
      <rPr>
        <u/>
        <sz val="7"/>
        <color theme="1"/>
        <rFont val="Arial"/>
        <family val="2"/>
      </rPr>
      <t>%</t>
    </r>
  </si>
  <si>
    <r>
      <rPr>
        <sz val="8"/>
        <color theme="1"/>
        <rFont val="Arial"/>
        <family val="2"/>
      </rPr>
      <t xml:space="preserve">P   assimilável </t>
    </r>
    <r>
      <rPr>
        <sz val="7"/>
        <color theme="1"/>
        <rFont val="Arial"/>
        <family val="2"/>
      </rPr>
      <t>mg/kg</t>
    </r>
  </si>
  <si>
    <t>Água</t>
  </si>
  <si>
    <r>
      <rPr>
        <sz val="8"/>
        <color theme="1"/>
        <rFont val="Arial"/>
        <family val="2"/>
      </rPr>
      <t xml:space="preserve">KCl </t>
    </r>
    <r>
      <rPr>
        <sz val="7"/>
        <color theme="1"/>
        <rFont val="Arial"/>
        <family val="2"/>
      </rPr>
      <t>1N</t>
    </r>
  </si>
  <si>
    <r>
      <rPr>
        <sz val="8"/>
        <color theme="1"/>
        <rFont val="Arial"/>
        <family val="2"/>
      </rPr>
      <t>Ca</t>
    </r>
    <r>
      <rPr>
        <vertAlign val="superscript"/>
        <sz val="9"/>
        <color theme="1"/>
        <rFont val="Arial"/>
        <family val="2"/>
      </rPr>
      <t>2+</t>
    </r>
  </si>
  <si>
    <r>
      <rPr>
        <sz val="8"/>
        <color theme="1"/>
        <rFont val="Arial"/>
        <family val="2"/>
      </rPr>
      <t>Mg</t>
    </r>
    <r>
      <rPr>
        <vertAlign val="superscript"/>
        <sz val="9"/>
        <color theme="1"/>
        <rFont val="Arial"/>
        <family val="2"/>
      </rPr>
      <t>2+</t>
    </r>
  </si>
  <si>
    <r>
      <rPr>
        <sz val="8"/>
        <color theme="1"/>
        <rFont val="Arial"/>
        <family val="2"/>
      </rPr>
      <t>K</t>
    </r>
    <r>
      <rPr>
        <vertAlign val="superscript"/>
        <sz val="9"/>
        <color theme="1"/>
        <rFont val="Arial"/>
        <family val="2"/>
      </rPr>
      <t>+</t>
    </r>
  </si>
  <si>
    <r>
      <rPr>
        <sz val="8"/>
        <color theme="1"/>
        <rFont val="Arial"/>
        <family val="2"/>
      </rPr>
      <t>Na</t>
    </r>
    <r>
      <rPr>
        <vertAlign val="superscript"/>
        <sz val="9"/>
        <color theme="1"/>
        <rFont val="Arial"/>
        <family val="2"/>
      </rPr>
      <t>+</t>
    </r>
  </si>
  <si>
    <r>
      <rPr>
        <sz val="8"/>
        <color theme="1"/>
        <rFont val="Arial"/>
        <family val="2"/>
      </rPr>
      <t>Valor S</t>
    </r>
    <r>
      <rPr>
        <sz val="7"/>
        <color theme="1"/>
        <rFont val="Arial"/>
        <family val="2"/>
      </rPr>
      <t xml:space="preserve"> (soma)</t>
    </r>
  </si>
  <si>
    <r>
      <rPr>
        <sz val="8"/>
        <color theme="1"/>
        <rFont val="Arial"/>
        <family val="2"/>
      </rPr>
      <t>Al</t>
    </r>
    <r>
      <rPr>
        <vertAlign val="superscript"/>
        <sz val="9"/>
        <color theme="1"/>
        <rFont val="Arial"/>
        <family val="2"/>
      </rPr>
      <t>3+</t>
    </r>
  </si>
  <si>
    <r>
      <rPr>
        <sz val="8"/>
        <color theme="1"/>
        <rFont val="Arial"/>
        <family val="2"/>
      </rPr>
      <t>H</t>
    </r>
    <r>
      <rPr>
        <vertAlign val="superscript"/>
        <sz val="9"/>
        <color theme="1"/>
        <rFont val="Arial"/>
        <family val="2"/>
      </rPr>
      <t>+</t>
    </r>
  </si>
  <si>
    <t>Valor      T</t>
  </si>
  <si>
    <r>
      <rPr>
        <sz val="8"/>
        <color theme="1"/>
        <rFont val="Arial"/>
        <family val="2"/>
      </rPr>
      <t xml:space="preserve">C </t>
    </r>
    <r>
      <rPr>
        <sz val="7"/>
        <color theme="1"/>
        <rFont val="Arial"/>
        <family val="2"/>
      </rPr>
      <t>(orgânico) g/kg</t>
    </r>
  </si>
  <si>
    <r>
      <rPr>
        <sz val="8"/>
        <color theme="1"/>
        <rFont val="Arial"/>
        <family val="2"/>
      </rPr>
      <t xml:space="preserve">N                  </t>
    </r>
    <r>
      <rPr>
        <sz val="7"/>
        <color theme="1"/>
        <rFont val="Arial"/>
        <family val="2"/>
      </rPr>
      <t>g/kg</t>
    </r>
  </si>
  <si>
    <r>
      <rPr>
        <sz val="8"/>
        <color theme="1"/>
        <rFont val="Arial"/>
        <family val="2"/>
      </rPr>
      <t xml:space="preserve">Ataque sulfúrico                                                                </t>
    </r>
    <r>
      <rPr>
        <sz val="7"/>
        <color theme="1"/>
        <rFont val="Arial"/>
        <family val="2"/>
      </rPr>
      <t xml:space="preserve"> g/kg</t>
    </r>
  </si>
  <si>
    <t>Relações Moleculares</t>
  </si>
  <si>
    <r>
      <rPr>
        <sz val="8"/>
        <color theme="1"/>
        <rFont val="Arial"/>
        <family val="2"/>
      </rPr>
      <t>Fe</t>
    </r>
    <r>
      <rPr>
        <vertAlign val="sub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>O</t>
    </r>
    <r>
      <rPr>
        <vertAlign val="subscript"/>
        <sz val="8"/>
        <color theme="1"/>
        <rFont val="Arial"/>
        <family val="2"/>
      </rPr>
      <t>3</t>
    </r>
    <r>
      <rPr>
        <sz val="8"/>
        <color theme="1"/>
        <rFont val="Arial"/>
        <family val="2"/>
      </rPr>
      <t xml:space="preserve"> livre </t>
    </r>
    <r>
      <rPr>
        <vertAlign val="subscript"/>
        <sz val="8"/>
        <color theme="1"/>
        <rFont val="Arial"/>
        <family val="2"/>
      </rPr>
      <t xml:space="preserve">                                                                       </t>
    </r>
    <r>
      <rPr>
        <sz val="7"/>
        <color theme="1"/>
        <rFont val="Arial"/>
        <family val="2"/>
      </rPr>
      <t xml:space="preserve">                 g/kg</t>
    </r>
  </si>
  <si>
    <r>
      <rPr>
        <sz val="8"/>
        <color theme="1"/>
        <rFont val="Arial"/>
        <family val="2"/>
      </rPr>
      <t>Equivalente          de       CaCO</t>
    </r>
    <r>
      <rPr>
        <vertAlign val="subscript"/>
        <sz val="8"/>
        <color theme="1"/>
        <rFont val="Arial"/>
        <family val="2"/>
      </rPr>
      <t xml:space="preserve">3   </t>
    </r>
    <r>
      <rPr>
        <sz val="7"/>
        <color theme="1"/>
        <rFont val="Arial"/>
        <family val="2"/>
      </rPr>
      <t xml:space="preserve">     g/kg</t>
    </r>
  </si>
  <si>
    <r>
      <rPr>
        <sz val="8"/>
        <color theme="1"/>
        <rFont val="Arial"/>
        <family val="2"/>
      </rPr>
      <t>SiO</t>
    </r>
    <r>
      <rPr>
        <vertAlign val="subscript"/>
        <sz val="8"/>
        <color theme="1"/>
        <rFont val="Arial"/>
        <family val="2"/>
      </rPr>
      <t>2</t>
    </r>
  </si>
  <si>
    <r>
      <rPr>
        <sz val="8"/>
        <color theme="1"/>
        <rFont val="Arial"/>
        <family val="2"/>
      </rPr>
      <t>Al</t>
    </r>
    <r>
      <rPr>
        <vertAlign val="sub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>O</t>
    </r>
    <r>
      <rPr>
        <vertAlign val="subscript"/>
        <sz val="8"/>
        <color theme="1"/>
        <rFont val="Arial"/>
        <family val="2"/>
      </rPr>
      <t>3</t>
    </r>
  </si>
  <si>
    <r>
      <rPr>
        <sz val="8"/>
        <color theme="1"/>
        <rFont val="Arial"/>
        <family val="2"/>
      </rPr>
      <t>Fe</t>
    </r>
    <r>
      <rPr>
        <vertAlign val="sub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>O</t>
    </r>
    <r>
      <rPr>
        <vertAlign val="subscript"/>
        <sz val="8"/>
        <color theme="1"/>
        <rFont val="Arial"/>
        <family val="2"/>
      </rPr>
      <t>3</t>
    </r>
  </si>
  <si>
    <r>
      <rPr>
        <sz val="8"/>
        <color theme="1"/>
        <rFont val="Arial"/>
        <family val="2"/>
      </rPr>
      <t>TiO</t>
    </r>
    <r>
      <rPr>
        <vertAlign val="subscript"/>
        <sz val="8"/>
        <color theme="1"/>
        <rFont val="Arial"/>
        <family val="2"/>
      </rPr>
      <t>2</t>
    </r>
  </si>
  <si>
    <r>
      <rPr>
        <sz val="8"/>
        <color theme="1"/>
        <rFont val="Arial"/>
        <family val="2"/>
      </rPr>
      <t>P</t>
    </r>
    <r>
      <rPr>
        <vertAlign val="sub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>O</t>
    </r>
    <r>
      <rPr>
        <vertAlign val="subscript"/>
        <sz val="8"/>
        <color theme="1"/>
        <rFont val="Arial"/>
        <family val="2"/>
      </rPr>
      <t>5</t>
    </r>
  </si>
  <si>
    <t>MnO</t>
  </si>
  <si>
    <r>
      <rPr>
        <sz val="8"/>
        <color theme="1"/>
        <rFont val="Arial"/>
        <family val="2"/>
      </rPr>
      <t>SiO</t>
    </r>
    <r>
      <rPr>
        <vertAlign val="sub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>/    Al</t>
    </r>
    <r>
      <rPr>
        <vertAlign val="sub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>O</t>
    </r>
    <r>
      <rPr>
        <vertAlign val="subscript"/>
        <sz val="8"/>
        <color theme="1"/>
        <rFont val="Arial"/>
        <family val="2"/>
      </rPr>
      <t>3</t>
    </r>
    <r>
      <rPr>
        <vertAlign val="subscript"/>
        <sz val="7"/>
        <color theme="1"/>
        <rFont val="Arial"/>
        <family val="2"/>
      </rPr>
      <t xml:space="preserve"> </t>
    </r>
    <r>
      <rPr>
        <sz val="7"/>
        <color theme="1"/>
        <rFont val="Arial"/>
        <family val="2"/>
      </rPr>
      <t>(Ki)</t>
    </r>
  </si>
  <si>
    <r>
      <rPr>
        <sz val="8"/>
        <color theme="1"/>
        <rFont val="Arial"/>
        <family val="2"/>
      </rPr>
      <t>SiO</t>
    </r>
    <r>
      <rPr>
        <vertAlign val="sub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>/  R</t>
    </r>
    <r>
      <rPr>
        <vertAlign val="sub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>O</t>
    </r>
    <r>
      <rPr>
        <vertAlign val="subscript"/>
        <sz val="8"/>
        <color theme="1"/>
        <rFont val="Arial"/>
        <family val="2"/>
      </rPr>
      <t>3</t>
    </r>
    <r>
      <rPr>
        <sz val="8"/>
        <color theme="1"/>
        <rFont val="Arial"/>
        <family val="2"/>
      </rPr>
      <t xml:space="preserve">   </t>
    </r>
    <r>
      <rPr>
        <sz val="7"/>
        <color theme="1"/>
        <rFont val="Arial"/>
        <family val="2"/>
      </rPr>
      <t>(Kr)</t>
    </r>
  </si>
  <si>
    <r>
      <rPr>
        <sz val="8"/>
        <color theme="1"/>
        <rFont val="Arial"/>
        <family val="2"/>
      </rPr>
      <t>Al</t>
    </r>
    <r>
      <rPr>
        <vertAlign val="sub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>O</t>
    </r>
    <r>
      <rPr>
        <vertAlign val="subscript"/>
        <sz val="8"/>
        <color theme="1"/>
        <rFont val="Arial"/>
        <family val="2"/>
      </rPr>
      <t>3</t>
    </r>
    <r>
      <rPr>
        <sz val="8"/>
        <color theme="1"/>
        <rFont val="Arial"/>
        <family val="2"/>
      </rPr>
      <t>/ Fe</t>
    </r>
    <r>
      <rPr>
        <vertAlign val="sub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>O</t>
    </r>
    <r>
      <rPr>
        <vertAlign val="subscript"/>
        <sz val="8"/>
        <color theme="1"/>
        <rFont val="Arial"/>
        <family val="2"/>
      </rPr>
      <t>3</t>
    </r>
  </si>
  <si>
    <r>
      <rPr>
        <u/>
        <sz val="8"/>
        <color theme="1"/>
        <rFont val="Arial"/>
        <family val="2"/>
      </rPr>
      <t>100.Na</t>
    </r>
    <r>
      <rPr>
        <u/>
        <vertAlign val="superscript"/>
        <sz val="8"/>
        <color theme="1"/>
        <rFont val="Arial"/>
        <family val="2"/>
      </rPr>
      <t>+</t>
    </r>
    <r>
      <rPr>
        <u/>
        <sz val="8"/>
        <color theme="1"/>
        <rFont val="Arial"/>
        <family val="2"/>
      </rPr>
      <t xml:space="preserve">      T                </t>
    </r>
    <r>
      <rPr>
        <u/>
        <sz val="7"/>
        <color theme="1"/>
        <rFont val="Arial"/>
        <family val="2"/>
      </rPr>
      <t>%</t>
    </r>
  </si>
  <si>
    <t>Pasta saturada</t>
  </si>
  <si>
    <r>
      <rPr>
        <sz val="8"/>
        <color theme="1"/>
        <rFont val="Arial"/>
        <family val="2"/>
      </rPr>
      <t xml:space="preserve">Sais solúveis                                                                                   </t>
    </r>
    <r>
      <rPr>
        <sz val="7"/>
        <color theme="1"/>
        <rFont val="Arial"/>
        <family val="2"/>
      </rPr>
      <t>cmol</t>
    </r>
    <r>
      <rPr>
        <vertAlign val="subscript"/>
        <sz val="8"/>
        <color theme="1"/>
        <rFont val="Arial"/>
        <family val="2"/>
      </rPr>
      <t>c</t>
    </r>
    <r>
      <rPr>
        <sz val="7"/>
        <color theme="1"/>
        <rFont val="Arial"/>
        <family val="2"/>
      </rPr>
      <t>/kg</t>
    </r>
  </si>
  <si>
    <r>
      <rPr>
        <sz val="8"/>
        <color theme="1"/>
        <rFont val="Arial"/>
        <family val="2"/>
      </rPr>
      <t xml:space="preserve">Constantes hídricas                                </t>
    </r>
    <r>
      <rPr>
        <sz val="7"/>
        <color theme="1"/>
        <rFont val="Arial"/>
        <family val="2"/>
      </rPr>
      <t>g/100g</t>
    </r>
  </si>
  <si>
    <r>
      <rPr>
        <sz val="8"/>
        <color theme="1"/>
        <rFont val="Arial"/>
        <family val="2"/>
      </rPr>
      <t xml:space="preserve">C.E. do extrato </t>
    </r>
    <r>
      <rPr>
        <sz val="7"/>
        <color theme="1"/>
        <rFont val="Arial"/>
        <family val="2"/>
      </rPr>
      <t>mS/cm 25</t>
    </r>
    <r>
      <rPr>
        <vertAlign val="superscript"/>
        <sz val="7"/>
        <color theme="1"/>
        <rFont val="Arial"/>
        <family val="2"/>
      </rPr>
      <t>o</t>
    </r>
    <r>
      <rPr>
        <sz val="7"/>
        <color theme="1"/>
        <rFont val="Arial"/>
        <family val="2"/>
      </rPr>
      <t>C</t>
    </r>
  </si>
  <si>
    <r>
      <rPr>
        <sz val="8"/>
        <color theme="1"/>
        <rFont val="Arial"/>
        <family val="2"/>
      </rPr>
      <t xml:space="preserve">Água </t>
    </r>
    <r>
      <rPr>
        <sz val="7"/>
        <color theme="1"/>
        <rFont val="Arial"/>
        <family val="2"/>
      </rPr>
      <t xml:space="preserve"> %</t>
    </r>
  </si>
  <si>
    <r>
      <rPr>
        <sz val="8"/>
        <color theme="1"/>
        <rFont val="Arial"/>
        <family val="2"/>
      </rPr>
      <t>Ca</t>
    </r>
    <r>
      <rPr>
        <vertAlign val="superscript"/>
        <sz val="9"/>
        <color theme="1"/>
        <rFont val="Arial"/>
        <family val="2"/>
      </rPr>
      <t>2+</t>
    </r>
  </si>
  <si>
    <r>
      <rPr>
        <sz val="8"/>
        <color theme="1"/>
        <rFont val="Arial"/>
        <family val="2"/>
      </rPr>
      <t>Mg</t>
    </r>
    <r>
      <rPr>
        <vertAlign val="superscript"/>
        <sz val="9"/>
        <color theme="1"/>
        <rFont val="Arial"/>
        <family val="2"/>
      </rPr>
      <t>2+</t>
    </r>
  </si>
  <si>
    <r>
      <rPr>
        <sz val="8"/>
        <color theme="1"/>
        <rFont val="Arial"/>
        <family val="2"/>
      </rPr>
      <t>K</t>
    </r>
    <r>
      <rPr>
        <vertAlign val="superscript"/>
        <sz val="9"/>
        <color theme="1"/>
        <rFont val="Arial"/>
        <family val="2"/>
      </rPr>
      <t>+</t>
    </r>
  </si>
  <si>
    <r>
      <rPr>
        <sz val="8"/>
        <color theme="1"/>
        <rFont val="Arial"/>
        <family val="2"/>
      </rPr>
      <t>Na</t>
    </r>
    <r>
      <rPr>
        <vertAlign val="superscript"/>
        <sz val="9"/>
        <color theme="1"/>
        <rFont val="Arial"/>
        <family val="2"/>
      </rPr>
      <t>+</t>
    </r>
  </si>
  <si>
    <r>
      <rPr>
        <sz val="8"/>
        <color theme="1"/>
        <rFont val="Arial"/>
        <family val="2"/>
      </rPr>
      <t>HCO</t>
    </r>
    <r>
      <rPr>
        <vertAlign val="subscript"/>
        <sz val="9"/>
        <color theme="1"/>
        <rFont val="Arial"/>
        <family val="2"/>
      </rPr>
      <t>3</t>
    </r>
    <r>
      <rPr>
        <vertAlign val="superscript"/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 xml:space="preserve"> </t>
    </r>
    <r>
      <rPr>
        <sz val="8"/>
        <color theme="1"/>
        <rFont val="Arial"/>
        <family val="2"/>
      </rPr>
      <t>CO</t>
    </r>
    <r>
      <rPr>
        <vertAlign val="subscript"/>
        <sz val="9"/>
        <color theme="1"/>
        <rFont val="Arial"/>
        <family val="2"/>
      </rPr>
      <t>3</t>
    </r>
    <r>
      <rPr>
        <vertAlign val="superscript"/>
        <sz val="9"/>
        <color theme="1"/>
        <rFont val="Arial"/>
        <family val="2"/>
      </rPr>
      <t>2</t>
    </r>
    <r>
      <rPr>
        <vertAlign val="superscript"/>
        <sz val="10"/>
        <color theme="1"/>
        <rFont val="Arial"/>
        <family val="2"/>
      </rPr>
      <t>-</t>
    </r>
  </si>
  <si>
    <r>
      <rPr>
        <sz val="8"/>
        <color theme="1"/>
        <rFont val="Arial"/>
        <family val="2"/>
      </rPr>
      <t>Cl</t>
    </r>
    <r>
      <rPr>
        <vertAlign val="superscript"/>
        <sz val="9"/>
        <color theme="1"/>
        <rFont val="Arial"/>
        <family val="2"/>
      </rPr>
      <t>-</t>
    </r>
  </si>
  <si>
    <r>
      <rPr>
        <sz val="8"/>
        <color theme="1"/>
        <rFont val="Arial"/>
        <family val="2"/>
      </rPr>
      <t>SO</t>
    </r>
    <r>
      <rPr>
        <vertAlign val="subscript"/>
        <sz val="8"/>
        <color theme="1"/>
        <rFont val="Arial"/>
        <family val="2"/>
      </rPr>
      <t>4</t>
    </r>
    <r>
      <rPr>
        <vertAlign val="superscript"/>
        <sz val="9"/>
        <color theme="1"/>
        <rFont val="Arial"/>
        <family val="2"/>
      </rPr>
      <t>2-</t>
    </r>
  </si>
  <si>
    <t>Umidade</t>
  </si>
  <si>
    <t>Água disponível máxima</t>
  </si>
  <si>
    <t>0,033 MPa</t>
  </si>
  <si>
    <t>1,5 MPa</t>
  </si>
  <si>
    <t>&lt;1</t>
  </si>
  <si>
    <t xml:space="preserve">Relação textural: </t>
  </si>
  <si>
    <t>Perfil: Faz. Sta. Helena - Baixada</t>
  </si>
  <si>
    <t>Amostras de Laboratório: 22.0319-0320</t>
  </si>
  <si>
    <r>
      <rPr>
        <sz val="8"/>
        <color theme="1"/>
        <rFont val="Arial"/>
        <family val="2"/>
      </rPr>
      <t xml:space="preserve">Frações da amostra total </t>
    </r>
    <r>
      <rPr>
        <sz val="7"/>
        <color theme="1"/>
        <rFont val="Arial"/>
        <family val="2"/>
      </rPr>
      <t>g/kg</t>
    </r>
  </si>
  <si>
    <r>
      <rPr>
        <sz val="8"/>
        <color theme="1"/>
        <rFont val="Arial"/>
        <family val="2"/>
      </rPr>
      <t xml:space="preserve">Composição granulométrica da      terra fina                                        </t>
    </r>
    <r>
      <rPr>
        <sz val="7"/>
        <color theme="1"/>
        <rFont val="Arial"/>
        <family val="2"/>
      </rPr>
      <t>g/kg</t>
    </r>
  </si>
  <si>
    <r>
      <rPr>
        <sz val="8"/>
        <color theme="1"/>
        <rFont val="Arial"/>
        <family val="2"/>
      </rPr>
      <t xml:space="preserve">Argila dispersa em água </t>
    </r>
    <r>
      <rPr>
        <sz val="7"/>
        <color theme="1"/>
        <rFont val="Arial"/>
        <family val="2"/>
      </rPr>
      <t>g/kg</t>
    </r>
  </si>
  <si>
    <r>
      <rPr>
        <sz val="8"/>
        <color theme="1"/>
        <rFont val="Arial"/>
        <family val="2"/>
      </rPr>
      <t xml:space="preserve">Grau  de   flocu-lação   </t>
    </r>
    <r>
      <rPr>
        <sz val="7"/>
        <color theme="1"/>
        <rFont val="Arial"/>
        <family val="2"/>
      </rPr>
      <t>%</t>
    </r>
  </si>
  <si>
    <r>
      <rPr>
        <sz val="8"/>
        <color theme="1"/>
        <rFont val="Arial"/>
        <family val="2"/>
      </rPr>
      <t xml:space="preserve">Densidade             </t>
    </r>
    <r>
      <rPr>
        <sz val="7"/>
        <color theme="1"/>
        <rFont val="Arial"/>
        <family val="2"/>
      </rPr>
      <t>g/cm</t>
    </r>
    <r>
      <rPr>
        <vertAlign val="superscript"/>
        <sz val="7"/>
        <color theme="1"/>
        <rFont val="Arial"/>
        <family val="2"/>
      </rPr>
      <t>3</t>
    </r>
  </si>
  <si>
    <r>
      <rPr>
        <sz val="8"/>
        <color theme="1"/>
        <rFont val="Arial"/>
        <family val="2"/>
      </rPr>
      <t>Porosidade</t>
    </r>
    <r>
      <rPr>
        <sz val="7"/>
        <color theme="1"/>
        <rFont val="Arial"/>
        <family val="2"/>
      </rPr>
      <t xml:space="preserve"> cm</t>
    </r>
    <r>
      <rPr>
        <vertAlign val="superscript"/>
        <sz val="7"/>
        <color theme="1"/>
        <rFont val="Arial"/>
        <family val="2"/>
      </rPr>
      <t>3</t>
    </r>
    <r>
      <rPr>
        <sz val="7"/>
        <color theme="1"/>
        <rFont val="Arial"/>
        <family val="2"/>
      </rPr>
      <t>/100cm</t>
    </r>
    <r>
      <rPr>
        <vertAlign val="superscript"/>
        <sz val="7"/>
        <color theme="1"/>
        <rFont val="Arial"/>
        <family val="2"/>
      </rPr>
      <t>3</t>
    </r>
  </si>
  <si>
    <r>
      <rPr>
        <sz val="8"/>
        <color theme="1"/>
        <rFont val="Arial"/>
        <family val="2"/>
      </rPr>
      <t xml:space="preserve">Profun-didade     </t>
    </r>
    <r>
      <rPr>
        <sz val="7"/>
        <color theme="1"/>
        <rFont val="Arial"/>
        <family val="2"/>
      </rPr>
      <t>cm</t>
    </r>
  </si>
  <si>
    <r>
      <rPr>
        <sz val="8"/>
        <color theme="1"/>
        <rFont val="Arial"/>
        <family val="2"/>
      </rPr>
      <t xml:space="preserve">Calhaus </t>
    </r>
    <r>
      <rPr>
        <sz val="7"/>
        <color theme="1"/>
        <rFont val="Arial"/>
        <family val="2"/>
      </rPr>
      <t>&gt; 20     mm</t>
    </r>
  </si>
  <si>
    <r>
      <rPr>
        <sz val="8"/>
        <color theme="1"/>
        <rFont val="Arial"/>
        <family val="2"/>
      </rPr>
      <t xml:space="preserve">Cas-calho </t>
    </r>
    <r>
      <rPr>
        <sz val="7"/>
        <color theme="1"/>
        <rFont val="Arial"/>
        <family val="2"/>
      </rPr>
      <t>20-2 mm</t>
    </r>
  </si>
  <si>
    <r>
      <rPr>
        <sz val="8"/>
        <color theme="1"/>
        <rFont val="Arial"/>
        <family val="2"/>
      </rPr>
      <t xml:space="preserve">Terra fina     </t>
    </r>
    <r>
      <rPr>
        <sz val="7"/>
        <color theme="1"/>
        <rFont val="Arial"/>
        <family val="2"/>
      </rPr>
      <t>&lt; 2    mm</t>
    </r>
  </si>
  <si>
    <r>
      <rPr>
        <sz val="8"/>
        <color theme="1"/>
        <rFont val="Arial"/>
        <family val="2"/>
      </rPr>
      <t xml:space="preserve">Areia grossa </t>
    </r>
    <r>
      <rPr>
        <sz val="7"/>
        <color theme="1"/>
        <rFont val="Arial"/>
        <family val="2"/>
      </rPr>
      <t>2-0,20 mm</t>
    </r>
  </si>
  <si>
    <r>
      <rPr>
        <sz val="8"/>
        <color theme="1"/>
        <rFont val="Arial"/>
        <family val="2"/>
      </rPr>
      <t xml:space="preserve">Areia fina      </t>
    </r>
    <r>
      <rPr>
        <sz val="7"/>
        <color theme="1"/>
        <rFont val="Arial"/>
        <family val="2"/>
      </rPr>
      <t>0,20-0,05 mm</t>
    </r>
  </si>
  <si>
    <r>
      <rPr>
        <sz val="8"/>
        <color theme="1"/>
        <rFont val="Arial"/>
        <family val="2"/>
      </rPr>
      <t xml:space="preserve">Silte  </t>
    </r>
    <r>
      <rPr>
        <sz val="7"/>
        <color theme="1"/>
        <rFont val="Arial"/>
        <family val="2"/>
      </rPr>
      <t>0,05-0,002    mm</t>
    </r>
  </si>
  <si>
    <r>
      <rPr>
        <sz val="8"/>
        <color theme="1"/>
        <rFont val="Arial"/>
        <family val="2"/>
      </rPr>
      <t xml:space="preserve">Argila   </t>
    </r>
    <r>
      <rPr>
        <sz val="7"/>
        <color theme="1"/>
        <rFont val="Arial"/>
        <family val="2"/>
      </rPr>
      <t>&lt; 0,002 mm</t>
    </r>
  </si>
  <si>
    <r>
      <rPr>
        <sz val="8"/>
        <color theme="1"/>
        <rFont val="Arial"/>
        <family val="2"/>
      </rPr>
      <t xml:space="preserve">pH </t>
    </r>
    <r>
      <rPr>
        <sz val="7"/>
        <color theme="1"/>
        <rFont val="Arial"/>
        <family val="2"/>
      </rPr>
      <t>(1:2,5)</t>
    </r>
  </si>
  <si>
    <r>
      <rPr>
        <sz val="8"/>
        <color theme="1"/>
        <rFont val="Arial"/>
        <family val="2"/>
      </rPr>
      <t xml:space="preserve">Complexo Sortivo                                                                                     </t>
    </r>
    <r>
      <rPr>
        <sz val="7"/>
        <color theme="1"/>
        <rFont val="Arial"/>
        <family val="2"/>
      </rPr>
      <t>cmol</t>
    </r>
    <r>
      <rPr>
        <vertAlign val="subscript"/>
        <sz val="8"/>
        <color theme="1"/>
        <rFont val="Arial"/>
        <family val="2"/>
      </rPr>
      <t>c</t>
    </r>
    <r>
      <rPr>
        <sz val="7"/>
        <color theme="1"/>
        <rFont val="Arial"/>
        <family val="2"/>
      </rPr>
      <t>/kg</t>
    </r>
  </si>
  <si>
    <r>
      <rPr>
        <sz val="8"/>
        <color theme="1"/>
        <rFont val="Arial"/>
        <family val="2"/>
      </rPr>
      <t xml:space="preserve">Valor V              </t>
    </r>
    <r>
      <rPr>
        <sz val="7"/>
        <color theme="1"/>
        <rFont val="Arial"/>
        <family val="2"/>
      </rPr>
      <t>(sat. por bases)     %</t>
    </r>
  </si>
  <si>
    <r>
      <rPr>
        <u/>
        <sz val="8"/>
        <color theme="1"/>
        <rFont val="Arial"/>
        <family val="2"/>
      </rPr>
      <t>100.Al</t>
    </r>
    <r>
      <rPr>
        <u/>
        <vertAlign val="superscript"/>
        <sz val="9"/>
        <color theme="1"/>
        <rFont val="Arial"/>
        <family val="2"/>
      </rPr>
      <t>3</t>
    </r>
    <r>
      <rPr>
        <u/>
        <vertAlign val="superscript"/>
        <sz val="9"/>
        <color theme="1"/>
        <rFont val="Arial"/>
        <family val="2"/>
      </rPr>
      <t>+</t>
    </r>
    <r>
      <rPr>
        <u/>
        <sz val="8"/>
        <color theme="1"/>
        <rFont val="Arial"/>
        <family val="2"/>
      </rPr>
      <t xml:space="preserve">                   S + Al</t>
    </r>
    <r>
      <rPr>
        <u/>
        <vertAlign val="superscript"/>
        <sz val="9"/>
        <color theme="1"/>
        <rFont val="Arial"/>
        <family val="2"/>
      </rPr>
      <t>3+</t>
    </r>
    <r>
      <rPr>
        <u/>
        <sz val="8"/>
        <color theme="1"/>
        <rFont val="Arial"/>
        <family val="2"/>
      </rPr>
      <t xml:space="preserve">                    </t>
    </r>
    <r>
      <rPr>
        <u/>
        <sz val="7"/>
        <color theme="1"/>
        <rFont val="Arial"/>
        <family val="2"/>
      </rPr>
      <t>%</t>
    </r>
  </si>
  <si>
    <r>
      <rPr>
        <sz val="8"/>
        <color theme="1"/>
        <rFont val="Arial"/>
        <family val="2"/>
      </rPr>
      <t xml:space="preserve">P   assimilável </t>
    </r>
    <r>
      <rPr>
        <sz val="7"/>
        <color theme="1"/>
        <rFont val="Arial"/>
        <family val="2"/>
      </rPr>
      <t>mg/kg</t>
    </r>
  </si>
  <si>
    <r>
      <rPr>
        <sz val="8"/>
        <color theme="1"/>
        <rFont val="Arial"/>
        <family val="2"/>
      </rPr>
      <t xml:space="preserve">KCl </t>
    </r>
    <r>
      <rPr>
        <sz val="7"/>
        <color theme="1"/>
        <rFont val="Arial"/>
        <family val="2"/>
      </rPr>
      <t>1N</t>
    </r>
  </si>
  <si>
    <r>
      <rPr>
        <sz val="8"/>
        <color theme="1"/>
        <rFont val="Arial"/>
        <family val="2"/>
      </rPr>
      <t>Ca</t>
    </r>
    <r>
      <rPr>
        <vertAlign val="superscript"/>
        <sz val="9"/>
        <color theme="1"/>
        <rFont val="Arial"/>
        <family val="2"/>
      </rPr>
      <t>2+</t>
    </r>
  </si>
  <si>
    <r>
      <rPr>
        <sz val="8"/>
        <color theme="1"/>
        <rFont val="Arial"/>
        <family val="2"/>
      </rPr>
      <t>Mg</t>
    </r>
    <r>
      <rPr>
        <vertAlign val="superscript"/>
        <sz val="9"/>
        <color theme="1"/>
        <rFont val="Arial"/>
        <family val="2"/>
      </rPr>
      <t>2+</t>
    </r>
  </si>
  <si>
    <r>
      <rPr>
        <sz val="8"/>
        <color theme="1"/>
        <rFont val="Arial"/>
        <family val="2"/>
      </rPr>
      <t>K</t>
    </r>
    <r>
      <rPr>
        <vertAlign val="superscript"/>
        <sz val="9"/>
        <color theme="1"/>
        <rFont val="Arial"/>
        <family val="2"/>
      </rPr>
      <t>+</t>
    </r>
  </si>
  <si>
    <r>
      <rPr>
        <sz val="8"/>
        <color theme="1"/>
        <rFont val="Arial"/>
        <family val="2"/>
      </rPr>
      <t>Na</t>
    </r>
    <r>
      <rPr>
        <vertAlign val="superscript"/>
        <sz val="9"/>
        <color theme="1"/>
        <rFont val="Arial"/>
        <family val="2"/>
      </rPr>
      <t>+</t>
    </r>
  </si>
  <si>
    <r>
      <rPr>
        <sz val="8"/>
        <color theme="1"/>
        <rFont val="Arial"/>
        <family val="2"/>
      </rPr>
      <t>Valor S</t>
    </r>
    <r>
      <rPr>
        <sz val="7"/>
        <color theme="1"/>
        <rFont val="Arial"/>
        <family val="2"/>
      </rPr>
      <t xml:space="preserve"> (soma)</t>
    </r>
  </si>
  <si>
    <r>
      <rPr>
        <sz val="8"/>
        <color theme="1"/>
        <rFont val="Arial"/>
        <family val="2"/>
      </rPr>
      <t>Al</t>
    </r>
    <r>
      <rPr>
        <vertAlign val="superscript"/>
        <sz val="9"/>
        <color theme="1"/>
        <rFont val="Arial"/>
        <family val="2"/>
      </rPr>
      <t>3+</t>
    </r>
  </si>
  <si>
    <r>
      <rPr>
        <sz val="8"/>
        <color theme="1"/>
        <rFont val="Arial"/>
        <family val="2"/>
      </rPr>
      <t>H</t>
    </r>
    <r>
      <rPr>
        <vertAlign val="superscript"/>
        <sz val="9"/>
        <color theme="1"/>
        <rFont val="Arial"/>
        <family val="2"/>
      </rPr>
      <t>+</t>
    </r>
  </si>
  <si>
    <r>
      <rPr>
        <sz val="8"/>
        <color theme="1"/>
        <rFont val="Arial"/>
        <family val="2"/>
      </rPr>
      <t xml:space="preserve">C </t>
    </r>
    <r>
      <rPr>
        <sz val="7"/>
        <color theme="1"/>
        <rFont val="Arial"/>
        <family val="2"/>
      </rPr>
      <t>(orgânico) g/kg</t>
    </r>
  </si>
  <si>
    <r>
      <rPr>
        <sz val="8"/>
        <color theme="1"/>
        <rFont val="Arial"/>
        <family val="2"/>
      </rPr>
      <t xml:space="preserve">N                  </t>
    </r>
    <r>
      <rPr>
        <sz val="7"/>
        <color theme="1"/>
        <rFont val="Arial"/>
        <family val="2"/>
      </rPr>
      <t>g/kg</t>
    </r>
  </si>
  <si>
    <r>
      <rPr>
        <sz val="8"/>
        <color theme="1"/>
        <rFont val="Arial"/>
        <family val="2"/>
      </rPr>
      <t xml:space="preserve">Ataque sulfúrico                                                                </t>
    </r>
    <r>
      <rPr>
        <sz val="7"/>
        <color theme="1"/>
        <rFont val="Arial"/>
        <family val="2"/>
      </rPr>
      <t xml:space="preserve"> g/kg</t>
    </r>
  </si>
  <si>
    <r>
      <rPr>
        <sz val="8"/>
        <color theme="1"/>
        <rFont val="Arial"/>
        <family val="2"/>
      </rPr>
      <t>Fe</t>
    </r>
    <r>
      <rPr>
        <vertAlign val="sub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>O</t>
    </r>
    <r>
      <rPr>
        <vertAlign val="subscript"/>
        <sz val="8"/>
        <color theme="1"/>
        <rFont val="Arial"/>
        <family val="2"/>
      </rPr>
      <t>3</t>
    </r>
    <r>
      <rPr>
        <sz val="8"/>
        <color theme="1"/>
        <rFont val="Arial"/>
        <family val="2"/>
      </rPr>
      <t xml:space="preserve"> livre </t>
    </r>
    <r>
      <rPr>
        <vertAlign val="subscript"/>
        <sz val="8"/>
        <color theme="1"/>
        <rFont val="Arial"/>
        <family val="2"/>
      </rPr>
      <t xml:space="preserve">                                                                       </t>
    </r>
    <r>
      <rPr>
        <sz val="7"/>
        <color theme="1"/>
        <rFont val="Arial"/>
        <family val="2"/>
      </rPr>
      <t xml:space="preserve">                 g/kg</t>
    </r>
  </si>
  <si>
    <r>
      <rPr>
        <sz val="8"/>
        <color theme="1"/>
        <rFont val="Arial"/>
        <family val="2"/>
      </rPr>
      <t>Equivalente          de       CaCO</t>
    </r>
    <r>
      <rPr>
        <vertAlign val="subscript"/>
        <sz val="8"/>
        <color theme="1"/>
        <rFont val="Arial"/>
        <family val="2"/>
      </rPr>
      <t xml:space="preserve">3   </t>
    </r>
    <r>
      <rPr>
        <sz val="7"/>
        <color theme="1"/>
        <rFont val="Arial"/>
        <family val="2"/>
      </rPr>
      <t xml:space="preserve">     g/kg</t>
    </r>
  </si>
  <si>
    <r>
      <rPr>
        <sz val="8"/>
        <color theme="1"/>
        <rFont val="Arial"/>
        <family val="2"/>
      </rPr>
      <t>SiO</t>
    </r>
    <r>
      <rPr>
        <vertAlign val="subscript"/>
        <sz val="8"/>
        <color theme="1"/>
        <rFont val="Arial"/>
        <family val="2"/>
      </rPr>
      <t>2</t>
    </r>
  </si>
  <si>
    <r>
      <rPr>
        <sz val="8"/>
        <color theme="1"/>
        <rFont val="Arial"/>
        <family val="2"/>
      </rPr>
      <t>Al</t>
    </r>
    <r>
      <rPr>
        <vertAlign val="sub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>O</t>
    </r>
    <r>
      <rPr>
        <vertAlign val="subscript"/>
        <sz val="8"/>
        <color theme="1"/>
        <rFont val="Arial"/>
        <family val="2"/>
      </rPr>
      <t>3</t>
    </r>
  </si>
  <si>
    <r>
      <rPr>
        <sz val="8"/>
        <color theme="1"/>
        <rFont val="Arial"/>
        <family val="2"/>
      </rPr>
      <t>Fe</t>
    </r>
    <r>
      <rPr>
        <vertAlign val="sub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>O</t>
    </r>
    <r>
      <rPr>
        <vertAlign val="subscript"/>
        <sz val="8"/>
        <color theme="1"/>
        <rFont val="Arial"/>
        <family val="2"/>
      </rPr>
      <t>3</t>
    </r>
  </si>
  <si>
    <r>
      <rPr>
        <sz val="8"/>
        <color theme="1"/>
        <rFont val="Arial"/>
        <family val="2"/>
      </rPr>
      <t>TiO</t>
    </r>
    <r>
      <rPr>
        <vertAlign val="subscript"/>
        <sz val="8"/>
        <color theme="1"/>
        <rFont val="Arial"/>
        <family val="2"/>
      </rPr>
      <t>2</t>
    </r>
  </si>
  <si>
    <r>
      <rPr>
        <sz val="8"/>
        <color theme="1"/>
        <rFont val="Arial"/>
        <family val="2"/>
      </rPr>
      <t>P</t>
    </r>
    <r>
      <rPr>
        <vertAlign val="sub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>O</t>
    </r>
    <r>
      <rPr>
        <vertAlign val="subscript"/>
        <sz val="8"/>
        <color theme="1"/>
        <rFont val="Arial"/>
        <family val="2"/>
      </rPr>
      <t>5</t>
    </r>
  </si>
  <si>
    <r>
      <rPr>
        <sz val="8"/>
        <color theme="1"/>
        <rFont val="Arial"/>
        <family val="2"/>
      </rPr>
      <t>SiO</t>
    </r>
    <r>
      <rPr>
        <vertAlign val="sub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>/    Al</t>
    </r>
    <r>
      <rPr>
        <vertAlign val="sub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>O</t>
    </r>
    <r>
      <rPr>
        <vertAlign val="subscript"/>
        <sz val="8"/>
        <color theme="1"/>
        <rFont val="Arial"/>
        <family val="2"/>
      </rPr>
      <t>3</t>
    </r>
    <r>
      <rPr>
        <vertAlign val="subscript"/>
        <sz val="7"/>
        <color theme="1"/>
        <rFont val="Arial"/>
        <family val="2"/>
      </rPr>
      <t xml:space="preserve"> </t>
    </r>
    <r>
      <rPr>
        <sz val="7"/>
        <color theme="1"/>
        <rFont val="Arial"/>
        <family val="2"/>
      </rPr>
      <t>(Ki)</t>
    </r>
  </si>
  <si>
    <r>
      <rPr>
        <sz val="8"/>
        <color theme="1"/>
        <rFont val="Arial"/>
        <family val="2"/>
      </rPr>
      <t>SiO</t>
    </r>
    <r>
      <rPr>
        <vertAlign val="sub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>/  R</t>
    </r>
    <r>
      <rPr>
        <vertAlign val="sub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>O</t>
    </r>
    <r>
      <rPr>
        <vertAlign val="subscript"/>
        <sz val="8"/>
        <color theme="1"/>
        <rFont val="Arial"/>
        <family val="2"/>
      </rPr>
      <t>3</t>
    </r>
    <r>
      <rPr>
        <sz val="8"/>
        <color theme="1"/>
        <rFont val="Arial"/>
        <family val="2"/>
      </rPr>
      <t xml:space="preserve">   </t>
    </r>
    <r>
      <rPr>
        <sz val="7"/>
        <color theme="1"/>
        <rFont val="Arial"/>
        <family val="2"/>
      </rPr>
      <t>(Kr)</t>
    </r>
  </si>
  <si>
    <r>
      <rPr>
        <sz val="8"/>
        <color theme="1"/>
        <rFont val="Arial"/>
        <family val="2"/>
      </rPr>
      <t>Al</t>
    </r>
    <r>
      <rPr>
        <vertAlign val="sub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>O</t>
    </r>
    <r>
      <rPr>
        <vertAlign val="subscript"/>
        <sz val="8"/>
        <color theme="1"/>
        <rFont val="Arial"/>
        <family val="2"/>
      </rPr>
      <t>3</t>
    </r>
    <r>
      <rPr>
        <sz val="8"/>
        <color theme="1"/>
        <rFont val="Arial"/>
        <family val="2"/>
      </rPr>
      <t>/ Fe</t>
    </r>
    <r>
      <rPr>
        <vertAlign val="sub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>O</t>
    </r>
    <r>
      <rPr>
        <vertAlign val="subscript"/>
        <sz val="8"/>
        <color theme="1"/>
        <rFont val="Arial"/>
        <family val="2"/>
      </rPr>
      <t>3</t>
    </r>
  </si>
  <si>
    <r>
      <rPr>
        <u/>
        <sz val="8"/>
        <color theme="1"/>
        <rFont val="Arial"/>
        <family val="2"/>
      </rPr>
      <t>100.Na</t>
    </r>
    <r>
      <rPr>
        <u/>
        <vertAlign val="superscript"/>
        <sz val="8"/>
        <color theme="1"/>
        <rFont val="Arial"/>
        <family val="2"/>
      </rPr>
      <t>+</t>
    </r>
    <r>
      <rPr>
        <u/>
        <sz val="8"/>
        <color theme="1"/>
        <rFont val="Arial"/>
        <family val="2"/>
      </rPr>
      <t xml:space="preserve">      T                </t>
    </r>
    <r>
      <rPr>
        <u/>
        <sz val="7"/>
        <color theme="1"/>
        <rFont val="Arial"/>
        <family val="2"/>
      </rPr>
      <t>%</t>
    </r>
  </si>
  <si>
    <r>
      <rPr>
        <sz val="8"/>
        <color theme="1"/>
        <rFont val="Arial"/>
        <family val="2"/>
      </rPr>
      <t xml:space="preserve">Sais solúveis                                                                                   </t>
    </r>
    <r>
      <rPr>
        <sz val="7"/>
        <color theme="1"/>
        <rFont val="Arial"/>
        <family val="2"/>
      </rPr>
      <t>cmol</t>
    </r>
    <r>
      <rPr>
        <vertAlign val="subscript"/>
        <sz val="8"/>
        <color theme="1"/>
        <rFont val="Arial"/>
        <family val="2"/>
      </rPr>
      <t>c</t>
    </r>
    <r>
      <rPr>
        <sz val="7"/>
        <color theme="1"/>
        <rFont val="Arial"/>
        <family val="2"/>
      </rPr>
      <t>/kg</t>
    </r>
  </si>
  <si>
    <r>
      <rPr>
        <sz val="8"/>
        <color theme="1"/>
        <rFont val="Arial"/>
        <family val="2"/>
      </rPr>
      <t xml:space="preserve">Constantes hídricas                                </t>
    </r>
    <r>
      <rPr>
        <sz val="7"/>
        <color theme="1"/>
        <rFont val="Arial"/>
        <family val="2"/>
      </rPr>
      <t>g/100g</t>
    </r>
  </si>
  <si>
    <r>
      <rPr>
        <sz val="8"/>
        <color theme="1"/>
        <rFont val="Arial"/>
        <family val="2"/>
      </rPr>
      <t xml:space="preserve">C.E. do extrato </t>
    </r>
    <r>
      <rPr>
        <sz val="7"/>
        <color theme="1"/>
        <rFont val="Arial"/>
        <family val="2"/>
      </rPr>
      <t>mS/cm 25</t>
    </r>
    <r>
      <rPr>
        <vertAlign val="superscript"/>
        <sz val="7"/>
        <color theme="1"/>
        <rFont val="Arial"/>
        <family val="2"/>
      </rPr>
      <t>o</t>
    </r>
    <r>
      <rPr>
        <sz val="7"/>
        <color theme="1"/>
        <rFont val="Arial"/>
        <family val="2"/>
      </rPr>
      <t>C</t>
    </r>
  </si>
  <si>
    <r>
      <rPr>
        <sz val="8"/>
        <color theme="1"/>
        <rFont val="Arial"/>
        <family val="2"/>
      </rPr>
      <t xml:space="preserve">Água </t>
    </r>
    <r>
      <rPr>
        <sz val="7"/>
        <color theme="1"/>
        <rFont val="Arial"/>
        <family val="2"/>
      </rPr>
      <t xml:space="preserve"> %</t>
    </r>
  </si>
  <si>
    <r>
      <rPr>
        <sz val="8"/>
        <color theme="1"/>
        <rFont val="Arial"/>
        <family val="2"/>
      </rPr>
      <t>Ca</t>
    </r>
    <r>
      <rPr>
        <vertAlign val="superscript"/>
        <sz val="9"/>
        <color theme="1"/>
        <rFont val="Arial"/>
        <family val="2"/>
      </rPr>
      <t>2+</t>
    </r>
  </si>
  <si>
    <r>
      <rPr>
        <sz val="8"/>
        <color theme="1"/>
        <rFont val="Arial"/>
        <family val="2"/>
      </rPr>
      <t>Mg</t>
    </r>
    <r>
      <rPr>
        <vertAlign val="superscript"/>
        <sz val="9"/>
        <color theme="1"/>
        <rFont val="Arial"/>
        <family val="2"/>
      </rPr>
      <t>2+</t>
    </r>
  </si>
  <si>
    <r>
      <rPr>
        <sz val="8"/>
        <color theme="1"/>
        <rFont val="Arial"/>
        <family val="2"/>
      </rPr>
      <t>K</t>
    </r>
    <r>
      <rPr>
        <vertAlign val="superscript"/>
        <sz val="9"/>
        <color theme="1"/>
        <rFont val="Arial"/>
        <family val="2"/>
      </rPr>
      <t>+</t>
    </r>
  </si>
  <si>
    <r>
      <rPr>
        <sz val="8"/>
        <color theme="1"/>
        <rFont val="Arial"/>
        <family val="2"/>
      </rPr>
      <t>Na</t>
    </r>
    <r>
      <rPr>
        <vertAlign val="superscript"/>
        <sz val="9"/>
        <color theme="1"/>
        <rFont val="Arial"/>
        <family val="2"/>
      </rPr>
      <t>+</t>
    </r>
  </si>
  <si>
    <r>
      <rPr>
        <sz val="8"/>
        <color theme="1"/>
        <rFont val="Arial"/>
        <family val="2"/>
      </rPr>
      <t>HCO</t>
    </r>
    <r>
      <rPr>
        <vertAlign val="subscript"/>
        <sz val="9"/>
        <color theme="1"/>
        <rFont val="Arial"/>
        <family val="2"/>
      </rPr>
      <t>3</t>
    </r>
    <r>
      <rPr>
        <vertAlign val="superscript"/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 xml:space="preserve"> </t>
    </r>
    <r>
      <rPr>
        <sz val="8"/>
        <color theme="1"/>
        <rFont val="Arial"/>
        <family val="2"/>
      </rPr>
      <t>CO</t>
    </r>
    <r>
      <rPr>
        <vertAlign val="subscript"/>
        <sz val="9"/>
        <color theme="1"/>
        <rFont val="Arial"/>
        <family val="2"/>
      </rPr>
      <t>3</t>
    </r>
    <r>
      <rPr>
        <vertAlign val="superscript"/>
        <sz val="9"/>
        <color theme="1"/>
        <rFont val="Arial"/>
        <family val="2"/>
      </rPr>
      <t>2</t>
    </r>
    <r>
      <rPr>
        <vertAlign val="superscript"/>
        <sz val="10"/>
        <color theme="1"/>
        <rFont val="Arial"/>
        <family val="2"/>
      </rPr>
      <t>-</t>
    </r>
  </si>
  <si>
    <r>
      <rPr>
        <sz val="8"/>
        <color theme="1"/>
        <rFont val="Arial"/>
        <family val="2"/>
      </rPr>
      <t>Cl</t>
    </r>
    <r>
      <rPr>
        <vertAlign val="superscript"/>
        <sz val="9"/>
        <color theme="1"/>
        <rFont val="Arial"/>
        <family val="2"/>
      </rPr>
      <t>-</t>
    </r>
  </si>
  <si>
    <r>
      <rPr>
        <sz val="8"/>
        <color theme="1"/>
        <rFont val="Arial"/>
        <family val="2"/>
      </rPr>
      <t>SO</t>
    </r>
    <r>
      <rPr>
        <vertAlign val="subscript"/>
        <sz val="8"/>
        <color theme="1"/>
        <rFont val="Arial"/>
        <family val="2"/>
      </rPr>
      <t>4</t>
    </r>
    <r>
      <rPr>
        <vertAlign val="superscript"/>
        <sz val="9"/>
        <color theme="1"/>
        <rFont val="Arial"/>
        <family val="2"/>
      </rPr>
      <t>2-</t>
    </r>
  </si>
  <si>
    <t>Perfil: Sítio São Jorge - TM</t>
  </si>
  <si>
    <t>Amostras de Laboratório: 22.0321-0322</t>
  </si>
  <si>
    <r>
      <rPr>
        <sz val="8"/>
        <color theme="1"/>
        <rFont val="Arial"/>
        <family val="2"/>
      </rPr>
      <t xml:space="preserve">Frações da amostra total </t>
    </r>
    <r>
      <rPr>
        <sz val="7"/>
        <color theme="1"/>
        <rFont val="Arial"/>
        <family val="2"/>
      </rPr>
      <t>g/kg</t>
    </r>
  </si>
  <si>
    <r>
      <rPr>
        <sz val="8"/>
        <color theme="1"/>
        <rFont val="Arial"/>
        <family val="2"/>
      </rPr>
      <t xml:space="preserve">Composição granulométrica da      terra fina                                        </t>
    </r>
    <r>
      <rPr>
        <sz val="7"/>
        <color theme="1"/>
        <rFont val="Arial"/>
        <family val="2"/>
      </rPr>
      <t>g/kg</t>
    </r>
  </si>
  <si>
    <r>
      <rPr>
        <sz val="8"/>
        <color theme="1"/>
        <rFont val="Arial"/>
        <family val="2"/>
      </rPr>
      <t xml:space="preserve">Argila dispersa em água </t>
    </r>
    <r>
      <rPr>
        <sz val="7"/>
        <color theme="1"/>
        <rFont val="Arial"/>
        <family val="2"/>
      </rPr>
      <t>g/kg</t>
    </r>
  </si>
  <si>
    <r>
      <rPr>
        <sz val="8"/>
        <color theme="1"/>
        <rFont val="Arial"/>
        <family val="2"/>
      </rPr>
      <t xml:space="preserve">Grau  de   flocu-lação   </t>
    </r>
    <r>
      <rPr>
        <sz val="7"/>
        <color theme="1"/>
        <rFont val="Arial"/>
        <family val="2"/>
      </rPr>
      <t>%</t>
    </r>
  </si>
  <si>
    <r>
      <rPr>
        <sz val="8"/>
        <color theme="1"/>
        <rFont val="Arial"/>
        <family val="2"/>
      </rPr>
      <t xml:space="preserve">Densidade             </t>
    </r>
    <r>
      <rPr>
        <sz val="7"/>
        <color theme="1"/>
        <rFont val="Arial"/>
        <family val="2"/>
      </rPr>
      <t>g/cm</t>
    </r>
    <r>
      <rPr>
        <vertAlign val="superscript"/>
        <sz val="7"/>
        <color theme="1"/>
        <rFont val="Arial"/>
        <family val="2"/>
      </rPr>
      <t>3</t>
    </r>
  </si>
  <si>
    <r>
      <rPr>
        <sz val="8"/>
        <color theme="1"/>
        <rFont val="Arial"/>
        <family val="2"/>
      </rPr>
      <t>Porosidade</t>
    </r>
    <r>
      <rPr>
        <sz val="7"/>
        <color theme="1"/>
        <rFont val="Arial"/>
        <family val="2"/>
      </rPr>
      <t xml:space="preserve"> cm</t>
    </r>
    <r>
      <rPr>
        <vertAlign val="superscript"/>
        <sz val="7"/>
        <color theme="1"/>
        <rFont val="Arial"/>
        <family val="2"/>
      </rPr>
      <t>3</t>
    </r>
    <r>
      <rPr>
        <sz val="7"/>
        <color theme="1"/>
        <rFont val="Arial"/>
        <family val="2"/>
      </rPr>
      <t>/100cm</t>
    </r>
    <r>
      <rPr>
        <vertAlign val="superscript"/>
        <sz val="7"/>
        <color theme="1"/>
        <rFont val="Arial"/>
        <family val="2"/>
      </rPr>
      <t>3</t>
    </r>
  </si>
  <si>
    <r>
      <rPr>
        <sz val="8"/>
        <color theme="1"/>
        <rFont val="Arial"/>
        <family val="2"/>
      </rPr>
      <t xml:space="preserve">Profun-didade     </t>
    </r>
    <r>
      <rPr>
        <sz val="7"/>
        <color theme="1"/>
        <rFont val="Arial"/>
        <family val="2"/>
      </rPr>
      <t>cm</t>
    </r>
  </si>
  <si>
    <r>
      <rPr>
        <sz val="8"/>
        <color theme="1"/>
        <rFont val="Arial"/>
        <family val="2"/>
      </rPr>
      <t xml:space="preserve">Calhaus </t>
    </r>
    <r>
      <rPr>
        <sz val="7"/>
        <color theme="1"/>
        <rFont val="Arial"/>
        <family val="2"/>
      </rPr>
      <t>&gt; 20     mm</t>
    </r>
  </si>
  <si>
    <r>
      <rPr>
        <sz val="8"/>
        <color theme="1"/>
        <rFont val="Arial"/>
        <family val="2"/>
      </rPr>
      <t xml:space="preserve">Cas-calho </t>
    </r>
    <r>
      <rPr>
        <sz val="7"/>
        <color theme="1"/>
        <rFont val="Arial"/>
        <family val="2"/>
      </rPr>
      <t>20-2 mm</t>
    </r>
  </si>
  <si>
    <r>
      <rPr>
        <sz val="8"/>
        <color theme="1"/>
        <rFont val="Arial"/>
        <family val="2"/>
      </rPr>
      <t xml:space="preserve">Terra fina     </t>
    </r>
    <r>
      <rPr>
        <sz val="7"/>
        <color theme="1"/>
        <rFont val="Arial"/>
        <family val="2"/>
      </rPr>
      <t>&lt; 2    mm</t>
    </r>
  </si>
  <si>
    <r>
      <rPr>
        <sz val="8"/>
        <color theme="1"/>
        <rFont val="Arial"/>
        <family val="2"/>
      </rPr>
      <t xml:space="preserve">Areia grossa </t>
    </r>
    <r>
      <rPr>
        <sz val="7"/>
        <color theme="1"/>
        <rFont val="Arial"/>
        <family val="2"/>
      </rPr>
      <t>2-0,20 mm</t>
    </r>
  </si>
  <si>
    <r>
      <rPr>
        <sz val="8"/>
        <color theme="1"/>
        <rFont val="Arial"/>
        <family val="2"/>
      </rPr>
      <t xml:space="preserve">Areia fina      </t>
    </r>
    <r>
      <rPr>
        <sz val="7"/>
        <color theme="1"/>
        <rFont val="Arial"/>
        <family val="2"/>
      </rPr>
      <t>0,20-0,05 mm</t>
    </r>
  </si>
  <si>
    <r>
      <rPr>
        <sz val="8"/>
        <color theme="1"/>
        <rFont val="Arial"/>
        <family val="2"/>
      </rPr>
      <t xml:space="preserve">Silte  </t>
    </r>
    <r>
      <rPr>
        <sz val="7"/>
        <color theme="1"/>
        <rFont val="Arial"/>
        <family val="2"/>
      </rPr>
      <t>0,05-0,002    mm</t>
    </r>
  </si>
  <si>
    <r>
      <rPr>
        <sz val="8"/>
        <color theme="1"/>
        <rFont val="Arial"/>
        <family val="2"/>
      </rPr>
      <t xml:space="preserve">Argila   </t>
    </r>
    <r>
      <rPr>
        <sz val="7"/>
        <color theme="1"/>
        <rFont val="Arial"/>
        <family val="2"/>
      </rPr>
      <t>&lt; 0,002 mm</t>
    </r>
  </si>
  <si>
    <r>
      <rPr>
        <sz val="8"/>
        <color theme="1"/>
        <rFont val="Arial"/>
        <family val="2"/>
      </rPr>
      <t xml:space="preserve">pH </t>
    </r>
    <r>
      <rPr>
        <sz val="7"/>
        <color theme="1"/>
        <rFont val="Arial"/>
        <family val="2"/>
      </rPr>
      <t>(1:2,5)</t>
    </r>
  </si>
  <si>
    <r>
      <rPr>
        <sz val="8"/>
        <color theme="1"/>
        <rFont val="Arial"/>
        <family val="2"/>
      </rPr>
      <t xml:space="preserve">Complexo Sortivo                                                                                     </t>
    </r>
    <r>
      <rPr>
        <sz val="7"/>
        <color theme="1"/>
        <rFont val="Arial"/>
        <family val="2"/>
      </rPr>
      <t>cmol</t>
    </r>
    <r>
      <rPr>
        <vertAlign val="subscript"/>
        <sz val="8"/>
        <color theme="1"/>
        <rFont val="Arial"/>
        <family val="2"/>
      </rPr>
      <t>c</t>
    </r>
    <r>
      <rPr>
        <sz val="7"/>
        <color theme="1"/>
        <rFont val="Arial"/>
        <family val="2"/>
      </rPr>
      <t>/kg</t>
    </r>
  </si>
  <si>
    <r>
      <rPr>
        <sz val="8"/>
        <color theme="1"/>
        <rFont val="Arial"/>
        <family val="2"/>
      </rPr>
      <t xml:space="preserve">Valor V              </t>
    </r>
    <r>
      <rPr>
        <sz val="7"/>
        <color theme="1"/>
        <rFont val="Arial"/>
        <family val="2"/>
      </rPr>
      <t>(sat. por bases)     %</t>
    </r>
  </si>
  <si>
    <r>
      <rPr>
        <u/>
        <sz val="8"/>
        <color theme="1"/>
        <rFont val="Arial"/>
        <family val="2"/>
      </rPr>
      <t>100.Al</t>
    </r>
    <r>
      <rPr>
        <u/>
        <vertAlign val="superscript"/>
        <sz val="9"/>
        <color theme="1"/>
        <rFont val="Arial"/>
        <family val="2"/>
      </rPr>
      <t>3</t>
    </r>
    <r>
      <rPr>
        <u/>
        <vertAlign val="superscript"/>
        <sz val="9"/>
        <color theme="1"/>
        <rFont val="Arial"/>
        <family val="2"/>
      </rPr>
      <t>+</t>
    </r>
    <r>
      <rPr>
        <u/>
        <sz val="8"/>
        <color theme="1"/>
        <rFont val="Arial"/>
        <family val="2"/>
      </rPr>
      <t xml:space="preserve">                   S + Al</t>
    </r>
    <r>
      <rPr>
        <u/>
        <vertAlign val="superscript"/>
        <sz val="9"/>
        <color theme="1"/>
        <rFont val="Arial"/>
        <family val="2"/>
      </rPr>
      <t>3+</t>
    </r>
    <r>
      <rPr>
        <u/>
        <sz val="8"/>
        <color theme="1"/>
        <rFont val="Arial"/>
        <family val="2"/>
      </rPr>
      <t xml:space="preserve">                    </t>
    </r>
    <r>
      <rPr>
        <u/>
        <sz val="7"/>
        <color theme="1"/>
        <rFont val="Arial"/>
        <family val="2"/>
      </rPr>
      <t>%</t>
    </r>
  </si>
  <si>
    <r>
      <rPr>
        <sz val="8"/>
        <color theme="1"/>
        <rFont val="Arial"/>
        <family val="2"/>
      </rPr>
      <t xml:space="preserve">P   assimilável </t>
    </r>
    <r>
      <rPr>
        <sz val="7"/>
        <color theme="1"/>
        <rFont val="Arial"/>
        <family val="2"/>
      </rPr>
      <t>mg/kg</t>
    </r>
  </si>
  <si>
    <r>
      <rPr>
        <sz val="8"/>
        <color theme="1"/>
        <rFont val="Arial"/>
        <family val="2"/>
      </rPr>
      <t xml:space="preserve">KCl </t>
    </r>
    <r>
      <rPr>
        <sz val="7"/>
        <color theme="1"/>
        <rFont val="Arial"/>
        <family val="2"/>
      </rPr>
      <t>1N</t>
    </r>
  </si>
  <si>
    <r>
      <rPr>
        <sz val="8"/>
        <color theme="1"/>
        <rFont val="Arial"/>
        <family val="2"/>
      </rPr>
      <t>Ca</t>
    </r>
    <r>
      <rPr>
        <vertAlign val="superscript"/>
        <sz val="9"/>
        <color theme="1"/>
        <rFont val="Arial"/>
        <family val="2"/>
      </rPr>
      <t>2+</t>
    </r>
  </si>
  <si>
    <r>
      <rPr>
        <sz val="8"/>
        <color theme="1"/>
        <rFont val="Arial"/>
        <family val="2"/>
      </rPr>
      <t>Mg</t>
    </r>
    <r>
      <rPr>
        <vertAlign val="superscript"/>
        <sz val="9"/>
        <color theme="1"/>
        <rFont val="Arial"/>
        <family val="2"/>
      </rPr>
      <t>2+</t>
    </r>
  </si>
  <si>
    <r>
      <rPr>
        <sz val="8"/>
        <color theme="1"/>
        <rFont val="Arial"/>
        <family val="2"/>
      </rPr>
      <t>K</t>
    </r>
    <r>
      <rPr>
        <vertAlign val="superscript"/>
        <sz val="9"/>
        <color theme="1"/>
        <rFont val="Arial"/>
        <family val="2"/>
      </rPr>
      <t>+</t>
    </r>
  </si>
  <si>
    <r>
      <rPr>
        <sz val="8"/>
        <color theme="1"/>
        <rFont val="Arial"/>
        <family val="2"/>
      </rPr>
      <t>Na</t>
    </r>
    <r>
      <rPr>
        <vertAlign val="superscript"/>
        <sz val="9"/>
        <color theme="1"/>
        <rFont val="Arial"/>
        <family val="2"/>
      </rPr>
      <t>+</t>
    </r>
  </si>
  <si>
    <r>
      <rPr>
        <sz val="8"/>
        <color theme="1"/>
        <rFont val="Arial"/>
        <family val="2"/>
      </rPr>
      <t>Valor S</t>
    </r>
    <r>
      <rPr>
        <sz val="7"/>
        <color theme="1"/>
        <rFont val="Arial"/>
        <family val="2"/>
      </rPr>
      <t xml:space="preserve"> (soma)</t>
    </r>
  </si>
  <si>
    <r>
      <rPr>
        <sz val="8"/>
        <color theme="1"/>
        <rFont val="Arial"/>
        <family val="2"/>
      </rPr>
      <t>Al</t>
    </r>
    <r>
      <rPr>
        <vertAlign val="superscript"/>
        <sz val="9"/>
        <color theme="1"/>
        <rFont val="Arial"/>
        <family val="2"/>
      </rPr>
      <t>3+</t>
    </r>
  </si>
  <si>
    <r>
      <rPr>
        <sz val="8"/>
        <color theme="1"/>
        <rFont val="Arial"/>
        <family val="2"/>
      </rPr>
      <t>H</t>
    </r>
    <r>
      <rPr>
        <vertAlign val="superscript"/>
        <sz val="9"/>
        <color theme="1"/>
        <rFont val="Arial"/>
        <family val="2"/>
      </rPr>
      <t>+</t>
    </r>
  </si>
  <si>
    <r>
      <rPr>
        <sz val="8"/>
        <color theme="1"/>
        <rFont val="Arial"/>
        <family val="2"/>
      </rPr>
      <t xml:space="preserve">C </t>
    </r>
    <r>
      <rPr>
        <sz val="7"/>
        <color theme="1"/>
        <rFont val="Arial"/>
        <family val="2"/>
      </rPr>
      <t>(orgânico) g/kg</t>
    </r>
  </si>
  <si>
    <r>
      <rPr>
        <sz val="8"/>
        <color theme="1"/>
        <rFont val="Arial"/>
        <family val="2"/>
      </rPr>
      <t xml:space="preserve">N                  </t>
    </r>
    <r>
      <rPr>
        <sz val="7"/>
        <color theme="1"/>
        <rFont val="Arial"/>
        <family val="2"/>
      </rPr>
      <t>g/kg</t>
    </r>
  </si>
  <si>
    <r>
      <rPr>
        <sz val="8"/>
        <color theme="1"/>
        <rFont val="Arial"/>
        <family val="2"/>
      </rPr>
      <t xml:space="preserve">Ataque sulfúrico                                                                </t>
    </r>
    <r>
      <rPr>
        <sz val="7"/>
        <color theme="1"/>
        <rFont val="Arial"/>
        <family val="2"/>
      </rPr>
      <t xml:space="preserve"> g/kg</t>
    </r>
  </si>
  <si>
    <r>
      <rPr>
        <sz val="8"/>
        <color theme="1"/>
        <rFont val="Arial"/>
        <family val="2"/>
      </rPr>
      <t>Fe</t>
    </r>
    <r>
      <rPr>
        <vertAlign val="sub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>O</t>
    </r>
    <r>
      <rPr>
        <vertAlign val="subscript"/>
        <sz val="8"/>
        <color theme="1"/>
        <rFont val="Arial"/>
        <family val="2"/>
      </rPr>
      <t>3</t>
    </r>
    <r>
      <rPr>
        <sz val="8"/>
        <color theme="1"/>
        <rFont val="Arial"/>
        <family val="2"/>
      </rPr>
      <t xml:space="preserve"> livre </t>
    </r>
    <r>
      <rPr>
        <vertAlign val="subscript"/>
        <sz val="8"/>
        <color theme="1"/>
        <rFont val="Arial"/>
        <family val="2"/>
      </rPr>
      <t xml:space="preserve">                                                                       </t>
    </r>
    <r>
      <rPr>
        <sz val="7"/>
        <color theme="1"/>
        <rFont val="Arial"/>
        <family val="2"/>
      </rPr>
      <t xml:space="preserve">                 g/kg</t>
    </r>
  </si>
  <si>
    <r>
      <rPr>
        <sz val="8"/>
        <color theme="1"/>
        <rFont val="Arial"/>
        <family val="2"/>
      </rPr>
      <t>Equivalente          de       CaCO</t>
    </r>
    <r>
      <rPr>
        <vertAlign val="subscript"/>
        <sz val="8"/>
        <color theme="1"/>
        <rFont val="Arial"/>
        <family val="2"/>
      </rPr>
      <t xml:space="preserve">3   </t>
    </r>
    <r>
      <rPr>
        <sz val="7"/>
        <color theme="1"/>
        <rFont val="Arial"/>
        <family val="2"/>
      </rPr>
      <t xml:space="preserve">     g/kg</t>
    </r>
  </si>
  <si>
    <r>
      <rPr>
        <sz val="8"/>
        <color theme="1"/>
        <rFont val="Arial"/>
        <family val="2"/>
      </rPr>
      <t>SiO</t>
    </r>
    <r>
      <rPr>
        <vertAlign val="subscript"/>
        <sz val="8"/>
        <color theme="1"/>
        <rFont val="Arial"/>
        <family val="2"/>
      </rPr>
      <t>2</t>
    </r>
  </si>
  <si>
    <r>
      <rPr>
        <sz val="8"/>
        <color theme="1"/>
        <rFont val="Arial"/>
        <family val="2"/>
      </rPr>
      <t>Al</t>
    </r>
    <r>
      <rPr>
        <vertAlign val="sub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>O</t>
    </r>
    <r>
      <rPr>
        <vertAlign val="subscript"/>
        <sz val="8"/>
        <color theme="1"/>
        <rFont val="Arial"/>
        <family val="2"/>
      </rPr>
      <t>3</t>
    </r>
  </si>
  <si>
    <r>
      <rPr>
        <sz val="8"/>
        <color theme="1"/>
        <rFont val="Arial"/>
        <family val="2"/>
      </rPr>
      <t>Fe</t>
    </r>
    <r>
      <rPr>
        <vertAlign val="sub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>O</t>
    </r>
    <r>
      <rPr>
        <vertAlign val="subscript"/>
        <sz val="8"/>
        <color theme="1"/>
        <rFont val="Arial"/>
        <family val="2"/>
      </rPr>
      <t>3</t>
    </r>
  </si>
  <si>
    <r>
      <rPr>
        <sz val="8"/>
        <color theme="1"/>
        <rFont val="Arial"/>
        <family val="2"/>
      </rPr>
      <t>TiO</t>
    </r>
    <r>
      <rPr>
        <vertAlign val="subscript"/>
        <sz val="8"/>
        <color theme="1"/>
        <rFont val="Arial"/>
        <family val="2"/>
      </rPr>
      <t>2</t>
    </r>
  </si>
  <si>
    <r>
      <rPr>
        <sz val="8"/>
        <color theme="1"/>
        <rFont val="Arial"/>
        <family val="2"/>
      </rPr>
      <t>P</t>
    </r>
    <r>
      <rPr>
        <vertAlign val="sub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>O</t>
    </r>
    <r>
      <rPr>
        <vertAlign val="subscript"/>
        <sz val="8"/>
        <color theme="1"/>
        <rFont val="Arial"/>
        <family val="2"/>
      </rPr>
      <t>5</t>
    </r>
  </si>
  <si>
    <r>
      <rPr>
        <sz val="8"/>
        <color theme="1"/>
        <rFont val="Arial"/>
        <family val="2"/>
      </rPr>
      <t>SiO</t>
    </r>
    <r>
      <rPr>
        <vertAlign val="sub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>/    Al</t>
    </r>
    <r>
      <rPr>
        <vertAlign val="sub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>O</t>
    </r>
    <r>
      <rPr>
        <vertAlign val="subscript"/>
        <sz val="8"/>
        <color theme="1"/>
        <rFont val="Arial"/>
        <family val="2"/>
      </rPr>
      <t>3</t>
    </r>
    <r>
      <rPr>
        <vertAlign val="subscript"/>
        <sz val="7"/>
        <color theme="1"/>
        <rFont val="Arial"/>
        <family val="2"/>
      </rPr>
      <t xml:space="preserve"> </t>
    </r>
    <r>
      <rPr>
        <sz val="7"/>
        <color theme="1"/>
        <rFont val="Arial"/>
        <family val="2"/>
      </rPr>
      <t>(Ki)</t>
    </r>
  </si>
  <si>
    <r>
      <rPr>
        <sz val="8"/>
        <color theme="1"/>
        <rFont val="Arial"/>
        <family val="2"/>
      </rPr>
      <t>SiO</t>
    </r>
    <r>
      <rPr>
        <vertAlign val="sub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>/  R</t>
    </r>
    <r>
      <rPr>
        <vertAlign val="sub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>O</t>
    </r>
    <r>
      <rPr>
        <vertAlign val="subscript"/>
        <sz val="8"/>
        <color theme="1"/>
        <rFont val="Arial"/>
        <family val="2"/>
      </rPr>
      <t>3</t>
    </r>
    <r>
      <rPr>
        <sz val="8"/>
        <color theme="1"/>
        <rFont val="Arial"/>
        <family val="2"/>
      </rPr>
      <t xml:space="preserve">   </t>
    </r>
    <r>
      <rPr>
        <sz val="7"/>
        <color theme="1"/>
        <rFont val="Arial"/>
        <family val="2"/>
      </rPr>
      <t>(Kr)</t>
    </r>
  </si>
  <si>
    <r>
      <rPr>
        <sz val="8"/>
        <color theme="1"/>
        <rFont val="Arial"/>
        <family val="2"/>
      </rPr>
      <t>Al</t>
    </r>
    <r>
      <rPr>
        <vertAlign val="sub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>O</t>
    </r>
    <r>
      <rPr>
        <vertAlign val="subscript"/>
        <sz val="8"/>
        <color theme="1"/>
        <rFont val="Arial"/>
        <family val="2"/>
      </rPr>
      <t>3</t>
    </r>
    <r>
      <rPr>
        <sz val="8"/>
        <color theme="1"/>
        <rFont val="Arial"/>
        <family val="2"/>
      </rPr>
      <t>/ Fe</t>
    </r>
    <r>
      <rPr>
        <vertAlign val="sub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>O</t>
    </r>
    <r>
      <rPr>
        <vertAlign val="subscript"/>
        <sz val="8"/>
        <color theme="1"/>
        <rFont val="Arial"/>
        <family val="2"/>
      </rPr>
      <t>3</t>
    </r>
  </si>
  <si>
    <r>
      <rPr>
        <u/>
        <sz val="8"/>
        <color theme="1"/>
        <rFont val="Arial"/>
        <family val="2"/>
      </rPr>
      <t>100.Na</t>
    </r>
    <r>
      <rPr>
        <u/>
        <vertAlign val="superscript"/>
        <sz val="8"/>
        <color theme="1"/>
        <rFont val="Arial"/>
        <family val="2"/>
      </rPr>
      <t>+</t>
    </r>
    <r>
      <rPr>
        <u/>
        <sz val="8"/>
        <color theme="1"/>
        <rFont val="Arial"/>
        <family val="2"/>
      </rPr>
      <t xml:space="preserve">      T                </t>
    </r>
    <r>
      <rPr>
        <u/>
        <sz val="7"/>
        <color theme="1"/>
        <rFont val="Arial"/>
        <family val="2"/>
      </rPr>
      <t>%</t>
    </r>
  </si>
  <si>
    <r>
      <rPr>
        <sz val="8"/>
        <color theme="1"/>
        <rFont val="Arial"/>
        <family val="2"/>
      </rPr>
      <t xml:space="preserve">Sais solúveis                                                                                   </t>
    </r>
    <r>
      <rPr>
        <sz val="7"/>
        <color theme="1"/>
        <rFont val="Arial"/>
        <family val="2"/>
      </rPr>
      <t>cmol</t>
    </r>
    <r>
      <rPr>
        <vertAlign val="subscript"/>
        <sz val="8"/>
        <color theme="1"/>
        <rFont val="Arial"/>
        <family val="2"/>
      </rPr>
      <t>c</t>
    </r>
    <r>
      <rPr>
        <sz val="7"/>
        <color theme="1"/>
        <rFont val="Arial"/>
        <family val="2"/>
      </rPr>
      <t>/kg</t>
    </r>
  </si>
  <si>
    <r>
      <rPr>
        <sz val="8"/>
        <color theme="1"/>
        <rFont val="Arial"/>
        <family val="2"/>
      </rPr>
      <t xml:space="preserve">Constantes hídricas                                </t>
    </r>
    <r>
      <rPr>
        <sz val="7"/>
        <color theme="1"/>
        <rFont val="Arial"/>
        <family val="2"/>
      </rPr>
      <t>g/100g</t>
    </r>
  </si>
  <si>
    <r>
      <rPr>
        <sz val="8"/>
        <color theme="1"/>
        <rFont val="Arial"/>
        <family val="2"/>
      </rPr>
      <t xml:space="preserve">C.E. do extrato </t>
    </r>
    <r>
      <rPr>
        <sz val="7"/>
        <color theme="1"/>
        <rFont val="Arial"/>
        <family val="2"/>
      </rPr>
      <t>mS/cm 25</t>
    </r>
    <r>
      <rPr>
        <vertAlign val="superscript"/>
        <sz val="7"/>
        <color theme="1"/>
        <rFont val="Arial"/>
        <family val="2"/>
      </rPr>
      <t>o</t>
    </r>
    <r>
      <rPr>
        <sz val="7"/>
        <color theme="1"/>
        <rFont val="Arial"/>
        <family val="2"/>
      </rPr>
      <t>C</t>
    </r>
  </si>
  <si>
    <r>
      <rPr>
        <sz val="8"/>
        <color theme="1"/>
        <rFont val="Arial"/>
        <family val="2"/>
      </rPr>
      <t xml:space="preserve">Água </t>
    </r>
    <r>
      <rPr>
        <sz val="7"/>
        <color theme="1"/>
        <rFont val="Arial"/>
        <family val="2"/>
      </rPr>
      <t xml:space="preserve"> %</t>
    </r>
  </si>
  <si>
    <r>
      <rPr>
        <sz val="8"/>
        <color theme="1"/>
        <rFont val="Arial"/>
        <family val="2"/>
      </rPr>
      <t>Ca</t>
    </r>
    <r>
      <rPr>
        <vertAlign val="superscript"/>
        <sz val="9"/>
        <color theme="1"/>
        <rFont val="Arial"/>
        <family val="2"/>
      </rPr>
      <t>2+</t>
    </r>
  </si>
  <si>
    <r>
      <rPr>
        <sz val="8"/>
        <color theme="1"/>
        <rFont val="Arial"/>
        <family val="2"/>
      </rPr>
      <t>Mg</t>
    </r>
    <r>
      <rPr>
        <vertAlign val="superscript"/>
        <sz val="9"/>
        <color theme="1"/>
        <rFont val="Arial"/>
        <family val="2"/>
      </rPr>
      <t>2+</t>
    </r>
  </si>
  <si>
    <r>
      <rPr>
        <sz val="8"/>
        <color theme="1"/>
        <rFont val="Arial"/>
        <family val="2"/>
      </rPr>
      <t>K</t>
    </r>
    <r>
      <rPr>
        <vertAlign val="superscript"/>
        <sz val="9"/>
        <color theme="1"/>
        <rFont val="Arial"/>
        <family val="2"/>
      </rPr>
      <t>+</t>
    </r>
  </si>
  <si>
    <r>
      <rPr>
        <sz val="8"/>
        <color theme="1"/>
        <rFont val="Arial"/>
        <family val="2"/>
      </rPr>
      <t>Na</t>
    </r>
    <r>
      <rPr>
        <vertAlign val="superscript"/>
        <sz val="9"/>
        <color theme="1"/>
        <rFont val="Arial"/>
        <family val="2"/>
      </rPr>
      <t>+</t>
    </r>
  </si>
  <si>
    <r>
      <rPr>
        <sz val="8"/>
        <color theme="1"/>
        <rFont val="Arial"/>
        <family val="2"/>
      </rPr>
      <t>HCO</t>
    </r>
    <r>
      <rPr>
        <vertAlign val="subscript"/>
        <sz val="9"/>
        <color theme="1"/>
        <rFont val="Arial"/>
        <family val="2"/>
      </rPr>
      <t>3</t>
    </r>
    <r>
      <rPr>
        <vertAlign val="superscript"/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 xml:space="preserve"> </t>
    </r>
    <r>
      <rPr>
        <sz val="8"/>
        <color theme="1"/>
        <rFont val="Arial"/>
        <family val="2"/>
      </rPr>
      <t>CO</t>
    </r>
    <r>
      <rPr>
        <vertAlign val="subscript"/>
        <sz val="9"/>
        <color theme="1"/>
        <rFont val="Arial"/>
        <family val="2"/>
      </rPr>
      <t>3</t>
    </r>
    <r>
      <rPr>
        <vertAlign val="superscript"/>
        <sz val="9"/>
        <color theme="1"/>
        <rFont val="Arial"/>
        <family val="2"/>
      </rPr>
      <t>2</t>
    </r>
    <r>
      <rPr>
        <vertAlign val="superscript"/>
        <sz val="10"/>
        <color theme="1"/>
        <rFont val="Arial"/>
        <family val="2"/>
      </rPr>
      <t>-</t>
    </r>
  </si>
  <si>
    <r>
      <rPr>
        <sz val="8"/>
        <color theme="1"/>
        <rFont val="Arial"/>
        <family val="2"/>
      </rPr>
      <t>Cl</t>
    </r>
    <r>
      <rPr>
        <vertAlign val="superscript"/>
        <sz val="9"/>
        <color theme="1"/>
        <rFont val="Arial"/>
        <family val="2"/>
      </rPr>
      <t>-</t>
    </r>
  </si>
  <si>
    <r>
      <rPr>
        <sz val="8"/>
        <color theme="1"/>
        <rFont val="Arial"/>
        <family val="2"/>
      </rPr>
      <t>SO</t>
    </r>
    <r>
      <rPr>
        <vertAlign val="subscript"/>
        <sz val="8"/>
        <color theme="1"/>
        <rFont val="Arial"/>
        <family val="2"/>
      </rPr>
      <t>4</t>
    </r>
    <r>
      <rPr>
        <vertAlign val="superscript"/>
        <sz val="9"/>
        <color theme="1"/>
        <rFont val="Arial"/>
        <family val="2"/>
      </rPr>
      <t>2-</t>
    </r>
  </si>
  <si>
    <t>Perfil: Guardian</t>
  </si>
  <si>
    <t>Amostras de Laboratório: 22.0323-0324</t>
  </si>
  <si>
    <r>
      <rPr>
        <sz val="8"/>
        <color theme="1"/>
        <rFont val="Arial"/>
        <family val="2"/>
      </rPr>
      <t xml:space="preserve">Frações da amostra total </t>
    </r>
    <r>
      <rPr>
        <sz val="7"/>
        <color theme="1"/>
        <rFont val="Arial"/>
        <family val="2"/>
      </rPr>
      <t>g/kg</t>
    </r>
  </si>
  <si>
    <r>
      <rPr>
        <sz val="8"/>
        <color theme="1"/>
        <rFont val="Arial"/>
        <family val="2"/>
      </rPr>
      <t xml:space="preserve">Composição granulométrica da      terra fina                                        </t>
    </r>
    <r>
      <rPr>
        <sz val="7"/>
        <color theme="1"/>
        <rFont val="Arial"/>
        <family val="2"/>
      </rPr>
      <t>g/kg</t>
    </r>
  </si>
  <si>
    <r>
      <rPr>
        <sz val="8"/>
        <color theme="1"/>
        <rFont val="Arial"/>
        <family val="2"/>
      </rPr>
      <t xml:space="preserve">Argila dispersa em água </t>
    </r>
    <r>
      <rPr>
        <sz val="7"/>
        <color theme="1"/>
        <rFont val="Arial"/>
        <family val="2"/>
      </rPr>
      <t>g/kg</t>
    </r>
  </si>
  <si>
    <r>
      <rPr>
        <sz val="8"/>
        <color theme="1"/>
        <rFont val="Arial"/>
        <family val="2"/>
      </rPr>
      <t xml:space="preserve">Grau  de   flocu-lação   </t>
    </r>
    <r>
      <rPr>
        <sz val="7"/>
        <color theme="1"/>
        <rFont val="Arial"/>
        <family val="2"/>
      </rPr>
      <t>%</t>
    </r>
  </si>
  <si>
    <r>
      <rPr>
        <sz val="8"/>
        <color theme="1"/>
        <rFont val="Arial"/>
        <family val="2"/>
      </rPr>
      <t xml:space="preserve">Densidade             </t>
    </r>
    <r>
      <rPr>
        <sz val="7"/>
        <color theme="1"/>
        <rFont val="Arial"/>
        <family val="2"/>
      </rPr>
      <t>g/cm</t>
    </r>
    <r>
      <rPr>
        <vertAlign val="superscript"/>
        <sz val="7"/>
        <color theme="1"/>
        <rFont val="Arial"/>
        <family val="2"/>
      </rPr>
      <t>3</t>
    </r>
  </si>
  <si>
    <r>
      <rPr>
        <sz val="8"/>
        <color theme="1"/>
        <rFont val="Arial"/>
        <family val="2"/>
      </rPr>
      <t>Porosidade</t>
    </r>
    <r>
      <rPr>
        <sz val="7"/>
        <color theme="1"/>
        <rFont val="Arial"/>
        <family val="2"/>
      </rPr>
      <t xml:space="preserve"> cm</t>
    </r>
    <r>
      <rPr>
        <vertAlign val="superscript"/>
        <sz val="7"/>
        <color theme="1"/>
        <rFont val="Arial"/>
        <family val="2"/>
      </rPr>
      <t>3</t>
    </r>
    <r>
      <rPr>
        <sz val="7"/>
        <color theme="1"/>
        <rFont val="Arial"/>
        <family val="2"/>
      </rPr>
      <t>/100cm</t>
    </r>
    <r>
      <rPr>
        <vertAlign val="superscript"/>
        <sz val="7"/>
        <color theme="1"/>
        <rFont val="Arial"/>
        <family val="2"/>
      </rPr>
      <t>3</t>
    </r>
  </si>
  <si>
    <r>
      <rPr>
        <sz val="8"/>
        <color theme="1"/>
        <rFont val="Arial"/>
        <family val="2"/>
      </rPr>
      <t xml:space="preserve">Profun-didade     </t>
    </r>
    <r>
      <rPr>
        <sz val="7"/>
        <color theme="1"/>
        <rFont val="Arial"/>
        <family val="2"/>
      </rPr>
      <t>cm</t>
    </r>
  </si>
  <si>
    <r>
      <rPr>
        <sz val="8"/>
        <color theme="1"/>
        <rFont val="Arial"/>
        <family val="2"/>
      </rPr>
      <t xml:space="preserve">Calhaus </t>
    </r>
    <r>
      <rPr>
        <sz val="7"/>
        <color theme="1"/>
        <rFont val="Arial"/>
        <family val="2"/>
      </rPr>
      <t>&gt; 20     mm</t>
    </r>
  </si>
  <si>
    <r>
      <rPr>
        <sz val="8"/>
        <color theme="1"/>
        <rFont val="Arial"/>
        <family val="2"/>
      </rPr>
      <t xml:space="preserve">Cas-calho </t>
    </r>
    <r>
      <rPr>
        <sz val="7"/>
        <color theme="1"/>
        <rFont val="Arial"/>
        <family val="2"/>
      </rPr>
      <t>20-2 mm</t>
    </r>
  </si>
  <si>
    <r>
      <rPr>
        <sz val="8"/>
        <color theme="1"/>
        <rFont val="Arial"/>
        <family val="2"/>
      </rPr>
      <t xml:space="preserve">Terra fina     </t>
    </r>
    <r>
      <rPr>
        <sz val="7"/>
        <color theme="1"/>
        <rFont val="Arial"/>
        <family val="2"/>
      </rPr>
      <t>&lt; 2    mm</t>
    </r>
  </si>
  <si>
    <r>
      <rPr>
        <sz val="8"/>
        <color theme="1"/>
        <rFont val="Arial"/>
        <family val="2"/>
      </rPr>
      <t xml:space="preserve">Areia grossa </t>
    </r>
    <r>
      <rPr>
        <sz val="7"/>
        <color theme="1"/>
        <rFont val="Arial"/>
        <family val="2"/>
      </rPr>
      <t>2-0,20 mm</t>
    </r>
  </si>
  <si>
    <r>
      <rPr>
        <sz val="8"/>
        <color theme="1"/>
        <rFont val="Arial"/>
        <family val="2"/>
      </rPr>
      <t xml:space="preserve">Areia fina      </t>
    </r>
    <r>
      <rPr>
        <sz val="7"/>
        <color theme="1"/>
        <rFont val="Arial"/>
        <family val="2"/>
      </rPr>
      <t>0,20-0,05 mm</t>
    </r>
  </si>
  <si>
    <r>
      <rPr>
        <sz val="8"/>
        <color theme="1"/>
        <rFont val="Arial"/>
        <family val="2"/>
      </rPr>
      <t xml:space="preserve">Silte  </t>
    </r>
    <r>
      <rPr>
        <sz val="7"/>
        <color theme="1"/>
        <rFont val="Arial"/>
        <family val="2"/>
      </rPr>
      <t>0,05-0,002    mm</t>
    </r>
  </si>
  <si>
    <r>
      <rPr>
        <sz val="8"/>
        <color theme="1"/>
        <rFont val="Arial"/>
        <family val="2"/>
      </rPr>
      <t xml:space="preserve">Argila   </t>
    </r>
    <r>
      <rPr>
        <sz val="7"/>
        <color theme="1"/>
        <rFont val="Arial"/>
        <family val="2"/>
      </rPr>
      <t>&lt; 0,002 mm</t>
    </r>
  </si>
  <si>
    <r>
      <rPr>
        <sz val="8"/>
        <color theme="1"/>
        <rFont val="Arial"/>
        <family val="2"/>
      </rPr>
      <t xml:space="preserve">pH </t>
    </r>
    <r>
      <rPr>
        <sz val="7"/>
        <color theme="1"/>
        <rFont val="Arial"/>
        <family val="2"/>
      </rPr>
      <t>(1:2,5)</t>
    </r>
  </si>
  <si>
    <r>
      <rPr>
        <sz val="8"/>
        <color theme="1"/>
        <rFont val="Arial"/>
        <family val="2"/>
      </rPr>
      <t xml:space="preserve">Complexo Sortivo                                                                                     </t>
    </r>
    <r>
      <rPr>
        <sz val="7"/>
        <color theme="1"/>
        <rFont val="Arial"/>
        <family val="2"/>
      </rPr>
      <t>cmol</t>
    </r>
    <r>
      <rPr>
        <vertAlign val="subscript"/>
        <sz val="8"/>
        <color theme="1"/>
        <rFont val="Arial"/>
        <family val="2"/>
      </rPr>
      <t>c</t>
    </r>
    <r>
      <rPr>
        <sz val="7"/>
        <color theme="1"/>
        <rFont val="Arial"/>
        <family val="2"/>
      </rPr>
      <t>/kg</t>
    </r>
  </si>
  <si>
    <r>
      <rPr>
        <sz val="8"/>
        <color theme="1"/>
        <rFont val="Arial"/>
        <family val="2"/>
      </rPr>
      <t xml:space="preserve">Valor V              </t>
    </r>
    <r>
      <rPr>
        <sz val="7"/>
        <color theme="1"/>
        <rFont val="Arial"/>
        <family val="2"/>
      </rPr>
      <t>(sat. por bases)     %</t>
    </r>
  </si>
  <si>
    <r>
      <rPr>
        <u/>
        <sz val="8"/>
        <color theme="1"/>
        <rFont val="Arial"/>
        <family val="2"/>
      </rPr>
      <t>100.Al</t>
    </r>
    <r>
      <rPr>
        <u/>
        <vertAlign val="superscript"/>
        <sz val="9"/>
        <color theme="1"/>
        <rFont val="Arial"/>
        <family val="2"/>
      </rPr>
      <t>3</t>
    </r>
    <r>
      <rPr>
        <u/>
        <vertAlign val="superscript"/>
        <sz val="9"/>
        <color theme="1"/>
        <rFont val="Arial"/>
        <family val="2"/>
      </rPr>
      <t>+</t>
    </r>
    <r>
      <rPr>
        <u/>
        <sz val="8"/>
        <color theme="1"/>
        <rFont val="Arial"/>
        <family val="2"/>
      </rPr>
      <t xml:space="preserve">                   S + Al</t>
    </r>
    <r>
      <rPr>
        <u/>
        <vertAlign val="superscript"/>
        <sz val="9"/>
        <color theme="1"/>
        <rFont val="Arial"/>
        <family val="2"/>
      </rPr>
      <t>3+</t>
    </r>
    <r>
      <rPr>
        <u/>
        <sz val="8"/>
        <color theme="1"/>
        <rFont val="Arial"/>
        <family val="2"/>
      </rPr>
      <t xml:space="preserve">                    </t>
    </r>
    <r>
      <rPr>
        <u/>
        <sz val="7"/>
        <color theme="1"/>
        <rFont val="Arial"/>
        <family val="2"/>
      </rPr>
      <t>%</t>
    </r>
  </si>
  <si>
    <r>
      <rPr>
        <sz val="8"/>
        <color theme="1"/>
        <rFont val="Arial"/>
        <family val="2"/>
      </rPr>
      <t xml:space="preserve">P   assimilável </t>
    </r>
    <r>
      <rPr>
        <sz val="7"/>
        <color theme="1"/>
        <rFont val="Arial"/>
        <family val="2"/>
      </rPr>
      <t>mg/kg</t>
    </r>
  </si>
  <si>
    <r>
      <rPr>
        <sz val="8"/>
        <color theme="1"/>
        <rFont val="Arial"/>
        <family val="2"/>
      </rPr>
      <t xml:space="preserve">KCl </t>
    </r>
    <r>
      <rPr>
        <sz val="7"/>
        <color theme="1"/>
        <rFont val="Arial"/>
        <family val="2"/>
      </rPr>
      <t>1N</t>
    </r>
  </si>
  <si>
    <r>
      <rPr>
        <sz val="8"/>
        <color theme="1"/>
        <rFont val="Arial"/>
        <family val="2"/>
      </rPr>
      <t>Ca</t>
    </r>
    <r>
      <rPr>
        <vertAlign val="superscript"/>
        <sz val="9"/>
        <color theme="1"/>
        <rFont val="Arial"/>
        <family val="2"/>
      </rPr>
      <t>2+</t>
    </r>
  </si>
  <si>
    <r>
      <rPr>
        <sz val="8"/>
        <color theme="1"/>
        <rFont val="Arial"/>
        <family val="2"/>
      </rPr>
      <t>Mg</t>
    </r>
    <r>
      <rPr>
        <vertAlign val="superscript"/>
        <sz val="9"/>
        <color theme="1"/>
        <rFont val="Arial"/>
        <family val="2"/>
      </rPr>
      <t>2+</t>
    </r>
  </si>
  <si>
    <r>
      <rPr>
        <sz val="8"/>
        <color theme="1"/>
        <rFont val="Arial"/>
        <family val="2"/>
      </rPr>
      <t>K</t>
    </r>
    <r>
      <rPr>
        <vertAlign val="superscript"/>
        <sz val="9"/>
        <color theme="1"/>
        <rFont val="Arial"/>
        <family val="2"/>
      </rPr>
      <t>+</t>
    </r>
  </si>
  <si>
    <r>
      <rPr>
        <sz val="8"/>
        <color theme="1"/>
        <rFont val="Arial"/>
        <family val="2"/>
      </rPr>
      <t>Na</t>
    </r>
    <r>
      <rPr>
        <vertAlign val="superscript"/>
        <sz val="9"/>
        <color theme="1"/>
        <rFont val="Arial"/>
        <family val="2"/>
      </rPr>
      <t>+</t>
    </r>
  </si>
  <si>
    <r>
      <rPr>
        <sz val="8"/>
        <color theme="1"/>
        <rFont val="Arial"/>
        <family val="2"/>
      </rPr>
      <t>Valor S</t>
    </r>
    <r>
      <rPr>
        <sz val="7"/>
        <color theme="1"/>
        <rFont val="Arial"/>
        <family val="2"/>
      </rPr>
      <t xml:space="preserve"> (soma)</t>
    </r>
  </si>
  <si>
    <r>
      <rPr>
        <sz val="8"/>
        <color theme="1"/>
        <rFont val="Arial"/>
        <family val="2"/>
      </rPr>
      <t>Al</t>
    </r>
    <r>
      <rPr>
        <vertAlign val="superscript"/>
        <sz val="9"/>
        <color theme="1"/>
        <rFont val="Arial"/>
        <family val="2"/>
      </rPr>
      <t>3+</t>
    </r>
  </si>
  <si>
    <r>
      <rPr>
        <sz val="8"/>
        <color theme="1"/>
        <rFont val="Arial"/>
        <family val="2"/>
      </rPr>
      <t>H</t>
    </r>
    <r>
      <rPr>
        <vertAlign val="superscript"/>
        <sz val="9"/>
        <color theme="1"/>
        <rFont val="Arial"/>
        <family val="2"/>
      </rPr>
      <t>+</t>
    </r>
  </si>
  <si>
    <r>
      <rPr>
        <sz val="8"/>
        <color theme="1"/>
        <rFont val="Arial"/>
        <family val="2"/>
      </rPr>
      <t xml:space="preserve">C </t>
    </r>
    <r>
      <rPr>
        <sz val="7"/>
        <color theme="1"/>
        <rFont val="Arial"/>
        <family val="2"/>
      </rPr>
      <t>(orgânico) g/kg</t>
    </r>
  </si>
  <si>
    <r>
      <rPr>
        <sz val="8"/>
        <color theme="1"/>
        <rFont val="Arial"/>
        <family val="2"/>
      </rPr>
      <t xml:space="preserve">N                  </t>
    </r>
    <r>
      <rPr>
        <sz val="7"/>
        <color theme="1"/>
        <rFont val="Arial"/>
        <family val="2"/>
      </rPr>
      <t>g/kg</t>
    </r>
  </si>
  <si>
    <r>
      <rPr>
        <sz val="8"/>
        <color theme="1"/>
        <rFont val="Arial"/>
        <family val="2"/>
      </rPr>
      <t xml:space="preserve">Ataque sulfúrico                                                                </t>
    </r>
    <r>
      <rPr>
        <sz val="7"/>
        <color theme="1"/>
        <rFont val="Arial"/>
        <family val="2"/>
      </rPr>
      <t xml:space="preserve"> g/kg</t>
    </r>
  </si>
  <si>
    <r>
      <rPr>
        <sz val="8"/>
        <color theme="1"/>
        <rFont val="Arial"/>
        <family val="2"/>
      </rPr>
      <t>Fe</t>
    </r>
    <r>
      <rPr>
        <vertAlign val="sub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>O</t>
    </r>
    <r>
      <rPr>
        <vertAlign val="subscript"/>
        <sz val="8"/>
        <color theme="1"/>
        <rFont val="Arial"/>
        <family val="2"/>
      </rPr>
      <t>3</t>
    </r>
    <r>
      <rPr>
        <sz val="8"/>
        <color theme="1"/>
        <rFont val="Arial"/>
        <family val="2"/>
      </rPr>
      <t xml:space="preserve"> livre </t>
    </r>
    <r>
      <rPr>
        <vertAlign val="subscript"/>
        <sz val="8"/>
        <color theme="1"/>
        <rFont val="Arial"/>
        <family val="2"/>
      </rPr>
      <t xml:space="preserve">                                                                       </t>
    </r>
    <r>
      <rPr>
        <sz val="7"/>
        <color theme="1"/>
        <rFont val="Arial"/>
        <family val="2"/>
      </rPr>
      <t xml:space="preserve">                 g/kg</t>
    </r>
  </si>
  <si>
    <r>
      <rPr>
        <sz val="8"/>
        <color theme="1"/>
        <rFont val="Arial"/>
        <family val="2"/>
      </rPr>
      <t>Equivalente          de       CaCO</t>
    </r>
    <r>
      <rPr>
        <vertAlign val="subscript"/>
        <sz val="8"/>
        <color theme="1"/>
        <rFont val="Arial"/>
        <family val="2"/>
      </rPr>
      <t xml:space="preserve">3   </t>
    </r>
    <r>
      <rPr>
        <sz val="7"/>
        <color theme="1"/>
        <rFont val="Arial"/>
        <family val="2"/>
      </rPr>
      <t xml:space="preserve">     g/kg</t>
    </r>
  </si>
  <si>
    <r>
      <rPr>
        <sz val="8"/>
        <color theme="1"/>
        <rFont val="Arial"/>
        <family val="2"/>
      </rPr>
      <t>SiO</t>
    </r>
    <r>
      <rPr>
        <vertAlign val="subscript"/>
        <sz val="8"/>
        <color theme="1"/>
        <rFont val="Arial"/>
        <family val="2"/>
      </rPr>
      <t>2</t>
    </r>
  </si>
  <si>
    <r>
      <rPr>
        <sz val="8"/>
        <color theme="1"/>
        <rFont val="Arial"/>
        <family val="2"/>
      </rPr>
      <t>Al</t>
    </r>
    <r>
      <rPr>
        <vertAlign val="sub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>O</t>
    </r>
    <r>
      <rPr>
        <vertAlign val="subscript"/>
        <sz val="8"/>
        <color theme="1"/>
        <rFont val="Arial"/>
        <family val="2"/>
      </rPr>
      <t>3</t>
    </r>
  </si>
  <si>
    <r>
      <rPr>
        <sz val="8"/>
        <color theme="1"/>
        <rFont val="Arial"/>
        <family val="2"/>
      </rPr>
      <t>Fe</t>
    </r>
    <r>
      <rPr>
        <vertAlign val="sub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>O</t>
    </r>
    <r>
      <rPr>
        <vertAlign val="subscript"/>
        <sz val="8"/>
        <color theme="1"/>
        <rFont val="Arial"/>
        <family val="2"/>
      </rPr>
      <t>3</t>
    </r>
  </si>
  <si>
    <r>
      <rPr>
        <sz val="8"/>
        <color theme="1"/>
        <rFont val="Arial"/>
        <family val="2"/>
      </rPr>
      <t>TiO</t>
    </r>
    <r>
      <rPr>
        <vertAlign val="subscript"/>
        <sz val="8"/>
        <color theme="1"/>
        <rFont val="Arial"/>
        <family val="2"/>
      </rPr>
      <t>2</t>
    </r>
  </si>
  <si>
    <r>
      <rPr>
        <sz val="8"/>
        <color theme="1"/>
        <rFont val="Arial"/>
        <family val="2"/>
      </rPr>
      <t>P</t>
    </r>
    <r>
      <rPr>
        <vertAlign val="sub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>O</t>
    </r>
    <r>
      <rPr>
        <vertAlign val="subscript"/>
        <sz val="8"/>
        <color theme="1"/>
        <rFont val="Arial"/>
        <family val="2"/>
      </rPr>
      <t>5</t>
    </r>
  </si>
  <si>
    <r>
      <rPr>
        <sz val="8"/>
        <color theme="1"/>
        <rFont val="Arial"/>
        <family val="2"/>
      </rPr>
      <t>SiO</t>
    </r>
    <r>
      <rPr>
        <vertAlign val="sub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>/    Al</t>
    </r>
    <r>
      <rPr>
        <vertAlign val="sub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>O</t>
    </r>
    <r>
      <rPr>
        <vertAlign val="subscript"/>
        <sz val="8"/>
        <color theme="1"/>
        <rFont val="Arial"/>
        <family val="2"/>
      </rPr>
      <t>3</t>
    </r>
    <r>
      <rPr>
        <vertAlign val="subscript"/>
        <sz val="7"/>
        <color theme="1"/>
        <rFont val="Arial"/>
        <family val="2"/>
      </rPr>
      <t xml:space="preserve"> </t>
    </r>
    <r>
      <rPr>
        <sz val="7"/>
        <color theme="1"/>
        <rFont val="Arial"/>
        <family val="2"/>
      </rPr>
      <t>(Ki)</t>
    </r>
  </si>
  <si>
    <r>
      <rPr>
        <sz val="8"/>
        <color theme="1"/>
        <rFont val="Arial"/>
        <family val="2"/>
      </rPr>
      <t>SiO</t>
    </r>
    <r>
      <rPr>
        <vertAlign val="sub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>/  R</t>
    </r>
    <r>
      <rPr>
        <vertAlign val="sub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>O</t>
    </r>
    <r>
      <rPr>
        <vertAlign val="subscript"/>
        <sz val="8"/>
        <color theme="1"/>
        <rFont val="Arial"/>
        <family val="2"/>
      </rPr>
      <t>3</t>
    </r>
    <r>
      <rPr>
        <sz val="8"/>
        <color theme="1"/>
        <rFont val="Arial"/>
        <family val="2"/>
      </rPr>
      <t xml:space="preserve">   </t>
    </r>
    <r>
      <rPr>
        <sz val="7"/>
        <color theme="1"/>
        <rFont val="Arial"/>
        <family val="2"/>
      </rPr>
      <t>(Kr)</t>
    </r>
  </si>
  <si>
    <r>
      <rPr>
        <sz val="8"/>
        <color theme="1"/>
        <rFont val="Arial"/>
        <family val="2"/>
      </rPr>
      <t>Al</t>
    </r>
    <r>
      <rPr>
        <vertAlign val="sub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>O</t>
    </r>
    <r>
      <rPr>
        <vertAlign val="subscript"/>
        <sz val="8"/>
        <color theme="1"/>
        <rFont val="Arial"/>
        <family val="2"/>
      </rPr>
      <t>3</t>
    </r>
    <r>
      <rPr>
        <sz val="8"/>
        <color theme="1"/>
        <rFont val="Arial"/>
        <family val="2"/>
      </rPr>
      <t>/ Fe</t>
    </r>
    <r>
      <rPr>
        <vertAlign val="sub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>O</t>
    </r>
    <r>
      <rPr>
        <vertAlign val="subscript"/>
        <sz val="8"/>
        <color theme="1"/>
        <rFont val="Arial"/>
        <family val="2"/>
      </rPr>
      <t>3</t>
    </r>
  </si>
  <si>
    <r>
      <rPr>
        <u/>
        <sz val="8"/>
        <color theme="1"/>
        <rFont val="Arial"/>
        <family val="2"/>
      </rPr>
      <t>100.Na</t>
    </r>
    <r>
      <rPr>
        <u/>
        <vertAlign val="superscript"/>
        <sz val="8"/>
        <color theme="1"/>
        <rFont val="Arial"/>
        <family val="2"/>
      </rPr>
      <t>+</t>
    </r>
    <r>
      <rPr>
        <u/>
        <sz val="8"/>
        <color theme="1"/>
        <rFont val="Arial"/>
        <family val="2"/>
      </rPr>
      <t xml:space="preserve">      T                </t>
    </r>
    <r>
      <rPr>
        <u/>
        <sz val="7"/>
        <color theme="1"/>
        <rFont val="Arial"/>
        <family val="2"/>
      </rPr>
      <t>%</t>
    </r>
  </si>
  <si>
    <r>
      <rPr>
        <sz val="8"/>
        <color theme="1"/>
        <rFont val="Arial"/>
        <family val="2"/>
      </rPr>
      <t xml:space="preserve">Sais solúveis                                                                                   </t>
    </r>
    <r>
      <rPr>
        <sz val="7"/>
        <color theme="1"/>
        <rFont val="Arial"/>
        <family val="2"/>
      </rPr>
      <t>cmol</t>
    </r>
    <r>
      <rPr>
        <vertAlign val="subscript"/>
        <sz val="8"/>
        <color theme="1"/>
        <rFont val="Arial"/>
        <family val="2"/>
      </rPr>
      <t>c</t>
    </r>
    <r>
      <rPr>
        <sz val="7"/>
        <color theme="1"/>
        <rFont val="Arial"/>
        <family val="2"/>
      </rPr>
      <t>/kg</t>
    </r>
  </si>
  <si>
    <r>
      <rPr>
        <sz val="8"/>
        <color theme="1"/>
        <rFont val="Arial"/>
        <family val="2"/>
      </rPr>
      <t xml:space="preserve">Constantes hídricas                                </t>
    </r>
    <r>
      <rPr>
        <sz val="7"/>
        <color theme="1"/>
        <rFont val="Arial"/>
        <family val="2"/>
      </rPr>
      <t>g/100g</t>
    </r>
  </si>
  <si>
    <r>
      <rPr>
        <sz val="8"/>
        <color theme="1"/>
        <rFont val="Arial"/>
        <family val="2"/>
      </rPr>
      <t xml:space="preserve">C.E. do extrato </t>
    </r>
    <r>
      <rPr>
        <sz val="7"/>
        <color theme="1"/>
        <rFont val="Arial"/>
        <family val="2"/>
      </rPr>
      <t>mS/cm 25</t>
    </r>
    <r>
      <rPr>
        <vertAlign val="superscript"/>
        <sz val="7"/>
        <color theme="1"/>
        <rFont val="Arial"/>
        <family val="2"/>
      </rPr>
      <t>o</t>
    </r>
    <r>
      <rPr>
        <sz val="7"/>
        <color theme="1"/>
        <rFont val="Arial"/>
        <family val="2"/>
      </rPr>
      <t>C</t>
    </r>
  </si>
  <si>
    <r>
      <rPr>
        <sz val="8"/>
        <color theme="1"/>
        <rFont val="Arial"/>
        <family val="2"/>
      </rPr>
      <t xml:space="preserve">Água </t>
    </r>
    <r>
      <rPr>
        <sz val="7"/>
        <color theme="1"/>
        <rFont val="Arial"/>
        <family val="2"/>
      </rPr>
      <t xml:space="preserve"> %</t>
    </r>
  </si>
  <si>
    <r>
      <rPr>
        <sz val="8"/>
        <color theme="1"/>
        <rFont val="Arial"/>
        <family val="2"/>
      </rPr>
      <t>Ca</t>
    </r>
    <r>
      <rPr>
        <vertAlign val="superscript"/>
        <sz val="9"/>
        <color theme="1"/>
        <rFont val="Arial"/>
        <family val="2"/>
      </rPr>
      <t>2+</t>
    </r>
  </si>
  <si>
    <r>
      <rPr>
        <sz val="8"/>
        <color theme="1"/>
        <rFont val="Arial"/>
        <family val="2"/>
      </rPr>
      <t>Mg</t>
    </r>
    <r>
      <rPr>
        <vertAlign val="superscript"/>
        <sz val="9"/>
        <color theme="1"/>
        <rFont val="Arial"/>
        <family val="2"/>
      </rPr>
      <t>2+</t>
    </r>
  </si>
  <si>
    <r>
      <rPr>
        <sz val="8"/>
        <color theme="1"/>
        <rFont val="Arial"/>
        <family val="2"/>
      </rPr>
      <t>K</t>
    </r>
    <r>
      <rPr>
        <vertAlign val="superscript"/>
        <sz val="9"/>
        <color theme="1"/>
        <rFont val="Arial"/>
        <family val="2"/>
      </rPr>
      <t>+</t>
    </r>
  </si>
  <si>
    <r>
      <rPr>
        <sz val="8"/>
        <color theme="1"/>
        <rFont val="Arial"/>
        <family val="2"/>
      </rPr>
      <t>Na</t>
    </r>
    <r>
      <rPr>
        <vertAlign val="superscript"/>
        <sz val="9"/>
        <color theme="1"/>
        <rFont val="Arial"/>
        <family val="2"/>
      </rPr>
      <t>+</t>
    </r>
  </si>
  <si>
    <r>
      <rPr>
        <sz val="8"/>
        <color theme="1"/>
        <rFont val="Arial"/>
        <family val="2"/>
      </rPr>
      <t>HCO</t>
    </r>
    <r>
      <rPr>
        <vertAlign val="subscript"/>
        <sz val="9"/>
        <color theme="1"/>
        <rFont val="Arial"/>
        <family val="2"/>
      </rPr>
      <t>3</t>
    </r>
    <r>
      <rPr>
        <vertAlign val="superscript"/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 xml:space="preserve"> </t>
    </r>
    <r>
      <rPr>
        <sz val="8"/>
        <color theme="1"/>
        <rFont val="Arial"/>
        <family val="2"/>
      </rPr>
      <t>CO</t>
    </r>
    <r>
      <rPr>
        <vertAlign val="subscript"/>
        <sz val="9"/>
        <color theme="1"/>
        <rFont val="Arial"/>
        <family val="2"/>
      </rPr>
      <t>3</t>
    </r>
    <r>
      <rPr>
        <vertAlign val="superscript"/>
        <sz val="9"/>
        <color theme="1"/>
        <rFont val="Arial"/>
        <family val="2"/>
      </rPr>
      <t>2</t>
    </r>
    <r>
      <rPr>
        <vertAlign val="superscript"/>
        <sz val="10"/>
        <color theme="1"/>
        <rFont val="Arial"/>
        <family val="2"/>
      </rPr>
      <t>-</t>
    </r>
  </si>
  <si>
    <r>
      <rPr>
        <sz val="8"/>
        <color theme="1"/>
        <rFont val="Arial"/>
        <family val="2"/>
      </rPr>
      <t>Cl</t>
    </r>
    <r>
      <rPr>
        <vertAlign val="superscript"/>
        <sz val="9"/>
        <color theme="1"/>
        <rFont val="Arial"/>
        <family val="2"/>
      </rPr>
      <t>-</t>
    </r>
  </si>
  <si>
    <r>
      <rPr>
        <sz val="8"/>
        <color theme="1"/>
        <rFont val="Arial"/>
        <family val="2"/>
      </rPr>
      <t>SO</t>
    </r>
    <r>
      <rPr>
        <vertAlign val="subscript"/>
        <sz val="8"/>
        <color theme="1"/>
        <rFont val="Arial"/>
        <family val="2"/>
      </rPr>
      <t>4</t>
    </r>
    <r>
      <rPr>
        <vertAlign val="superscript"/>
        <sz val="9"/>
        <color theme="1"/>
        <rFont val="Arial"/>
        <family val="2"/>
      </rPr>
      <t>2-</t>
    </r>
  </si>
  <si>
    <t>Perfil: MAR P</t>
  </si>
  <si>
    <t>Amostras de Laboratório: 22.0325-0326</t>
  </si>
  <si>
    <r>
      <rPr>
        <sz val="8"/>
        <color theme="1"/>
        <rFont val="Arial"/>
        <family val="2"/>
      </rPr>
      <t xml:space="preserve">Frações da amostra total </t>
    </r>
    <r>
      <rPr>
        <sz val="7"/>
        <color theme="1"/>
        <rFont val="Arial"/>
        <family val="2"/>
      </rPr>
      <t>g/kg</t>
    </r>
  </si>
  <si>
    <r>
      <rPr>
        <sz val="8"/>
        <color theme="1"/>
        <rFont val="Arial"/>
        <family val="2"/>
      </rPr>
      <t xml:space="preserve">Composição granulométrica da      terra fina                                        </t>
    </r>
    <r>
      <rPr>
        <sz val="7"/>
        <color theme="1"/>
        <rFont val="Arial"/>
        <family val="2"/>
      </rPr>
      <t>g/kg</t>
    </r>
  </si>
  <si>
    <r>
      <rPr>
        <sz val="8"/>
        <color theme="1"/>
        <rFont val="Arial"/>
        <family val="2"/>
      </rPr>
      <t xml:space="preserve">Argila dispersa em água </t>
    </r>
    <r>
      <rPr>
        <sz val="7"/>
        <color theme="1"/>
        <rFont val="Arial"/>
        <family val="2"/>
      </rPr>
      <t>g/kg</t>
    </r>
  </si>
  <si>
    <r>
      <rPr>
        <sz val="8"/>
        <color theme="1"/>
        <rFont val="Arial"/>
        <family val="2"/>
      </rPr>
      <t xml:space="preserve">Grau  de   flocu-lação   </t>
    </r>
    <r>
      <rPr>
        <sz val="7"/>
        <color theme="1"/>
        <rFont val="Arial"/>
        <family val="2"/>
      </rPr>
      <t>%</t>
    </r>
  </si>
  <si>
    <r>
      <rPr>
        <sz val="8"/>
        <color theme="1"/>
        <rFont val="Arial"/>
        <family val="2"/>
      </rPr>
      <t xml:space="preserve">Densidade             </t>
    </r>
    <r>
      <rPr>
        <sz val="7"/>
        <color theme="1"/>
        <rFont val="Arial"/>
        <family val="2"/>
      </rPr>
      <t>g/cm</t>
    </r>
    <r>
      <rPr>
        <vertAlign val="superscript"/>
        <sz val="7"/>
        <color theme="1"/>
        <rFont val="Arial"/>
        <family val="2"/>
      </rPr>
      <t>3</t>
    </r>
  </si>
  <si>
    <r>
      <rPr>
        <sz val="8"/>
        <color theme="1"/>
        <rFont val="Arial"/>
        <family val="2"/>
      </rPr>
      <t>Porosidade</t>
    </r>
    <r>
      <rPr>
        <sz val="7"/>
        <color theme="1"/>
        <rFont val="Arial"/>
        <family val="2"/>
      </rPr>
      <t xml:space="preserve"> cm</t>
    </r>
    <r>
      <rPr>
        <vertAlign val="superscript"/>
        <sz val="7"/>
        <color theme="1"/>
        <rFont val="Arial"/>
        <family val="2"/>
      </rPr>
      <t>3</t>
    </r>
    <r>
      <rPr>
        <sz val="7"/>
        <color theme="1"/>
        <rFont val="Arial"/>
        <family val="2"/>
      </rPr>
      <t>/100cm</t>
    </r>
    <r>
      <rPr>
        <vertAlign val="superscript"/>
        <sz val="7"/>
        <color theme="1"/>
        <rFont val="Arial"/>
        <family val="2"/>
      </rPr>
      <t>3</t>
    </r>
  </si>
  <si>
    <r>
      <rPr>
        <sz val="8"/>
        <color theme="1"/>
        <rFont val="Arial"/>
        <family val="2"/>
      </rPr>
      <t xml:space="preserve">Profun-didade     </t>
    </r>
    <r>
      <rPr>
        <sz val="7"/>
        <color theme="1"/>
        <rFont val="Arial"/>
        <family val="2"/>
      </rPr>
      <t>cm</t>
    </r>
  </si>
  <si>
    <r>
      <rPr>
        <sz val="8"/>
        <color theme="1"/>
        <rFont val="Arial"/>
        <family val="2"/>
      </rPr>
      <t xml:space="preserve">Calhaus </t>
    </r>
    <r>
      <rPr>
        <sz val="7"/>
        <color theme="1"/>
        <rFont val="Arial"/>
        <family val="2"/>
      </rPr>
      <t>&gt; 20     mm</t>
    </r>
  </si>
  <si>
    <r>
      <rPr>
        <sz val="8"/>
        <color theme="1"/>
        <rFont val="Arial"/>
        <family val="2"/>
      </rPr>
      <t xml:space="preserve">Cas-calho </t>
    </r>
    <r>
      <rPr>
        <sz val="7"/>
        <color theme="1"/>
        <rFont val="Arial"/>
        <family val="2"/>
      </rPr>
      <t>20-2 mm</t>
    </r>
  </si>
  <si>
    <r>
      <rPr>
        <sz val="8"/>
        <color theme="1"/>
        <rFont val="Arial"/>
        <family val="2"/>
      </rPr>
      <t xml:space="preserve">Terra fina     </t>
    </r>
    <r>
      <rPr>
        <sz val="7"/>
        <color theme="1"/>
        <rFont val="Arial"/>
        <family val="2"/>
      </rPr>
      <t>&lt; 2    mm</t>
    </r>
  </si>
  <si>
    <r>
      <rPr>
        <sz val="8"/>
        <color theme="1"/>
        <rFont val="Arial"/>
        <family val="2"/>
      </rPr>
      <t xml:space="preserve">Areia grossa </t>
    </r>
    <r>
      <rPr>
        <sz val="7"/>
        <color theme="1"/>
        <rFont val="Arial"/>
        <family val="2"/>
      </rPr>
      <t>2-0,20 mm</t>
    </r>
  </si>
  <si>
    <r>
      <rPr>
        <sz val="8"/>
        <color theme="1"/>
        <rFont val="Arial"/>
        <family val="2"/>
      </rPr>
      <t xml:space="preserve">Areia fina      </t>
    </r>
    <r>
      <rPr>
        <sz val="7"/>
        <color theme="1"/>
        <rFont val="Arial"/>
        <family val="2"/>
      </rPr>
      <t>0,20-0,05 mm</t>
    </r>
  </si>
  <si>
    <r>
      <rPr>
        <sz val="8"/>
        <color theme="1"/>
        <rFont val="Arial"/>
        <family val="2"/>
      </rPr>
      <t xml:space="preserve">Silte  </t>
    </r>
    <r>
      <rPr>
        <sz val="7"/>
        <color theme="1"/>
        <rFont val="Arial"/>
        <family val="2"/>
      </rPr>
      <t>0,05-0,002    mm</t>
    </r>
  </si>
  <si>
    <r>
      <rPr>
        <sz val="8"/>
        <color theme="1"/>
        <rFont val="Arial"/>
        <family val="2"/>
      </rPr>
      <t xml:space="preserve">Argila   </t>
    </r>
    <r>
      <rPr>
        <sz val="7"/>
        <color theme="1"/>
        <rFont val="Arial"/>
        <family val="2"/>
      </rPr>
      <t>&lt; 0,002 mm</t>
    </r>
  </si>
  <si>
    <r>
      <rPr>
        <sz val="8"/>
        <color theme="1"/>
        <rFont val="Arial"/>
        <family val="2"/>
      </rPr>
      <t xml:space="preserve">pH </t>
    </r>
    <r>
      <rPr>
        <sz val="7"/>
        <color theme="1"/>
        <rFont val="Arial"/>
        <family val="2"/>
      </rPr>
      <t>(1:2,5)</t>
    </r>
  </si>
  <si>
    <r>
      <rPr>
        <sz val="8"/>
        <color theme="1"/>
        <rFont val="Arial"/>
        <family val="2"/>
      </rPr>
      <t xml:space="preserve">Complexo Sortivo                                                                                     </t>
    </r>
    <r>
      <rPr>
        <sz val="7"/>
        <color theme="1"/>
        <rFont val="Arial"/>
        <family val="2"/>
      </rPr>
      <t>cmol</t>
    </r>
    <r>
      <rPr>
        <vertAlign val="subscript"/>
        <sz val="8"/>
        <color theme="1"/>
        <rFont val="Arial"/>
        <family val="2"/>
      </rPr>
      <t>c</t>
    </r>
    <r>
      <rPr>
        <sz val="7"/>
        <color theme="1"/>
        <rFont val="Arial"/>
        <family val="2"/>
      </rPr>
      <t>/kg</t>
    </r>
  </si>
  <si>
    <r>
      <rPr>
        <sz val="8"/>
        <color theme="1"/>
        <rFont val="Arial"/>
        <family val="2"/>
      </rPr>
      <t xml:space="preserve">Valor V              </t>
    </r>
    <r>
      <rPr>
        <sz val="7"/>
        <color theme="1"/>
        <rFont val="Arial"/>
        <family val="2"/>
      </rPr>
      <t>(sat. por bases)     %</t>
    </r>
  </si>
  <si>
    <r>
      <rPr>
        <u/>
        <sz val="8"/>
        <color theme="1"/>
        <rFont val="Arial"/>
        <family val="2"/>
      </rPr>
      <t>100.Al</t>
    </r>
    <r>
      <rPr>
        <u/>
        <vertAlign val="superscript"/>
        <sz val="9"/>
        <color theme="1"/>
        <rFont val="Arial"/>
        <family val="2"/>
      </rPr>
      <t>3</t>
    </r>
    <r>
      <rPr>
        <u/>
        <vertAlign val="superscript"/>
        <sz val="9"/>
        <color theme="1"/>
        <rFont val="Arial"/>
        <family val="2"/>
      </rPr>
      <t>+</t>
    </r>
    <r>
      <rPr>
        <u/>
        <sz val="8"/>
        <color theme="1"/>
        <rFont val="Arial"/>
        <family val="2"/>
      </rPr>
      <t xml:space="preserve">                   S + Al</t>
    </r>
    <r>
      <rPr>
        <u/>
        <vertAlign val="superscript"/>
        <sz val="9"/>
        <color theme="1"/>
        <rFont val="Arial"/>
        <family val="2"/>
      </rPr>
      <t>3+</t>
    </r>
    <r>
      <rPr>
        <u/>
        <sz val="8"/>
        <color theme="1"/>
        <rFont val="Arial"/>
        <family val="2"/>
      </rPr>
      <t xml:space="preserve">                    </t>
    </r>
    <r>
      <rPr>
        <u/>
        <sz val="7"/>
        <color theme="1"/>
        <rFont val="Arial"/>
        <family val="2"/>
      </rPr>
      <t>%</t>
    </r>
  </si>
  <si>
    <r>
      <rPr>
        <sz val="8"/>
        <color theme="1"/>
        <rFont val="Arial"/>
        <family val="2"/>
      </rPr>
      <t xml:space="preserve">P   assimilável </t>
    </r>
    <r>
      <rPr>
        <sz val="7"/>
        <color theme="1"/>
        <rFont val="Arial"/>
        <family val="2"/>
      </rPr>
      <t>mg/kg</t>
    </r>
  </si>
  <si>
    <r>
      <rPr>
        <sz val="8"/>
        <color theme="1"/>
        <rFont val="Arial"/>
        <family val="2"/>
      </rPr>
      <t xml:space="preserve">KCl </t>
    </r>
    <r>
      <rPr>
        <sz val="7"/>
        <color theme="1"/>
        <rFont val="Arial"/>
        <family val="2"/>
      </rPr>
      <t>1N</t>
    </r>
  </si>
  <si>
    <r>
      <rPr>
        <sz val="8"/>
        <color theme="1"/>
        <rFont val="Arial"/>
        <family val="2"/>
      </rPr>
      <t>Ca</t>
    </r>
    <r>
      <rPr>
        <vertAlign val="superscript"/>
        <sz val="9"/>
        <color theme="1"/>
        <rFont val="Arial"/>
        <family val="2"/>
      </rPr>
      <t>2+</t>
    </r>
  </si>
  <si>
    <r>
      <rPr>
        <sz val="8"/>
        <color theme="1"/>
        <rFont val="Arial"/>
        <family val="2"/>
      </rPr>
      <t>Mg</t>
    </r>
    <r>
      <rPr>
        <vertAlign val="superscript"/>
        <sz val="9"/>
        <color theme="1"/>
        <rFont val="Arial"/>
        <family val="2"/>
      </rPr>
      <t>2+</t>
    </r>
  </si>
  <si>
    <r>
      <rPr>
        <sz val="8"/>
        <color theme="1"/>
        <rFont val="Arial"/>
        <family val="2"/>
      </rPr>
      <t>K</t>
    </r>
    <r>
      <rPr>
        <vertAlign val="superscript"/>
        <sz val="9"/>
        <color theme="1"/>
        <rFont val="Arial"/>
        <family val="2"/>
      </rPr>
      <t>+</t>
    </r>
  </si>
  <si>
    <r>
      <rPr>
        <sz val="8"/>
        <color theme="1"/>
        <rFont val="Arial"/>
        <family val="2"/>
      </rPr>
      <t>Na</t>
    </r>
    <r>
      <rPr>
        <vertAlign val="superscript"/>
        <sz val="9"/>
        <color theme="1"/>
        <rFont val="Arial"/>
        <family val="2"/>
      </rPr>
      <t>+</t>
    </r>
  </si>
  <si>
    <r>
      <rPr>
        <sz val="8"/>
        <color theme="1"/>
        <rFont val="Arial"/>
        <family val="2"/>
      </rPr>
      <t>Valor S</t>
    </r>
    <r>
      <rPr>
        <sz val="7"/>
        <color theme="1"/>
        <rFont val="Arial"/>
        <family val="2"/>
      </rPr>
      <t xml:space="preserve"> (soma)</t>
    </r>
  </si>
  <si>
    <r>
      <rPr>
        <sz val="8"/>
        <color theme="1"/>
        <rFont val="Arial"/>
        <family val="2"/>
      </rPr>
      <t>Al</t>
    </r>
    <r>
      <rPr>
        <vertAlign val="superscript"/>
        <sz val="9"/>
        <color theme="1"/>
        <rFont val="Arial"/>
        <family val="2"/>
      </rPr>
      <t>3+</t>
    </r>
  </si>
  <si>
    <r>
      <rPr>
        <sz val="8"/>
        <color theme="1"/>
        <rFont val="Arial"/>
        <family val="2"/>
      </rPr>
      <t>H</t>
    </r>
    <r>
      <rPr>
        <vertAlign val="superscript"/>
        <sz val="9"/>
        <color theme="1"/>
        <rFont val="Arial"/>
        <family val="2"/>
      </rPr>
      <t>+</t>
    </r>
  </si>
  <si>
    <r>
      <rPr>
        <sz val="8"/>
        <color theme="1"/>
        <rFont val="Arial"/>
        <family val="2"/>
      </rPr>
      <t xml:space="preserve">C </t>
    </r>
    <r>
      <rPr>
        <sz val="7"/>
        <color theme="1"/>
        <rFont val="Arial"/>
        <family val="2"/>
      </rPr>
      <t>(orgânico) g/kg</t>
    </r>
  </si>
  <si>
    <r>
      <rPr>
        <sz val="8"/>
        <color theme="1"/>
        <rFont val="Arial"/>
        <family val="2"/>
      </rPr>
      <t xml:space="preserve">N                  </t>
    </r>
    <r>
      <rPr>
        <sz val="7"/>
        <color theme="1"/>
        <rFont val="Arial"/>
        <family val="2"/>
      </rPr>
      <t>g/kg</t>
    </r>
  </si>
  <si>
    <r>
      <rPr>
        <sz val="8"/>
        <color theme="1"/>
        <rFont val="Arial"/>
        <family val="2"/>
      </rPr>
      <t xml:space="preserve">Ataque sulfúrico                                                                </t>
    </r>
    <r>
      <rPr>
        <sz val="7"/>
        <color theme="1"/>
        <rFont val="Arial"/>
        <family val="2"/>
      </rPr>
      <t xml:space="preserve"> g/kg</t>
    </r>
  </si>
  <si>
    <r>
      <rPr>
        <sz val="8"/>
        <color theme="1"/>
        <rFont val="Arial"/>
        <family val="2"/>
      </rPr>
      <t>Fe</t>
    </r>
    <r>
      <rPr>
        <vertAlign val="sub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>O</t>
    </r>
    <r>
      <rPr>
        <vertAlign val="subscript"/>
        <sz val="8"/>
        <color theme="1"/>
        <rFont val="Arial"/>
        <family val="2"/>
      </rPr>
      <t>3</t>
    </r>
    <r>
      <rPr>
        <sz val="8"/>
        <color theme="1"/>
        <rFont val="Arial"/>
        <family val="2"/>
      </rPr>
      <t xml:space="preserve"> livre </t>
    </r>
    <r>
      <rPr>
        <vertAlign val="subscript"/>
        <sz val="8"/>
        <color theme="1"/>
        <rFont val="Arial"/>
        <family val="2"/>
      </rPr>
      <t xml:space="preserve">                                                                       </t>
    </r>
    <r>
      <rPr>
        <sz val="7"/>
        <color theme="1"/>
        <rFont val="Arial"/>
        <family val="2"/>
      </rPr>
      <t xml:space="preserve">                 g/kg</t>
    </r>
  </si>
  <si>
    <r>
      <rPr>
        <sz val="8"/>
        <color theme="1"/>
        <rFont val="Arial"/>
        <family val="2"/>
      </rPr>
      <t>Equivalente          de       CaCO</t>
    </r>
    <r>
      <rPr>
        <vertAlign val="subscript"/>
        <sz val="8"/>
        <color theme="1"/>
        <rFont val="Arial"/>
        <family val="2"/>
      </rPr>
      <t xml:space="preserve">3   </t>
    </r>
    <r>
      <rPr>
        <sz val="7"/>
        <color theme="1"/>
        <rFont val="Arial"/>
        <family val="2"/>
      </rPr>
      <t xml:space="preserve">     g/kg</t>
    </r>
  </si>
  <si>
    <r>
      <rPr>
        <sz val="8"/>
        <color theme="1"/>
        <rFont val="Arial"/>
        <family val="2"/>
      </rPr>
      <t>SiO</t>
    </r>
    <r>
      <rPr>
        <vertAlign val="subscript"/>
        <sz val="8"/>
        <color theme="1"/>
        <rFont val="Arial"/>
        <family val="2"/>
      </rPr>
      <t>2</t>
    </r>
  </si>
  <si>
    <r>
      <rPr>
        <sz val="8"/>
        <color theme="1"/>
        <rFont val="Arial"/>
        <family val="2"/>
      </rPr>
      <t>Al</t>
    </r>
    <r>
      <rPr>
        <vertAlign val="sub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>O</t>
    </r>
    <r>
      <rPr>
        <vertAlign val="subscript"/>
        <sz val="8"/>
        <color theme="1"/>
        <rFont val="Arial"/>
        <family val="2"/>
      </rPr>
      <t>3</t>
    </r>
  </si>
  <si>
    <r>
      <rPr>
        <sz val="8"/>
        <color theme="1"/>
        <rFont val="Arial"/>
        <family val="2"/>
      </rPr>
      <t>Fe</t>
    </r>
    <r>
      <rPr>
        <vertAlign val="sub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>O</t>
    </r>
    <r>
      <rPr>
        <vertAlign val="subscript"/>
        <sz val="8"/>
        <color theme="1"/>
        <rFont val="Arial"/>
        <family val="2"/>
      </rPr>
      <t>3</t>
    </r>
  </si>
  <si>
    <r>
      <rPr>
        <sz val="8"/>
        <color theme="1"/>
        <rFont val="Arial"/>
        <family val="2"/>
      </rPr>
      <t>TiO</t>
    </r>
    <r>
      <rPr>
        <vertAlign val="subscript"/>
        <sz val="8"/>
        <color theme="1"/>
        <rFont val="Arial"/>
        <family val="2"/>
      </rPr>
      <t>2</t>
    </r>
  </si>
  <si>
    <r>
      <rPr>
        <sz val="8"/>
        <color theme="1"/>
        <rFont val="Arial"/>
        <family val="2"/>
      </rPr>
      <t>P</t>
    </r>
    <r>
      <rPr>
        <vertAlign val="sub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>O</t>
    </r>
    <r>
      <rPr>
        <vertAlign val="subscript"/>
        <sz val="8"/>
        <color theme="1"/>
        <rFont val="Arial"/>
        <family val="2"/>
      </rPr>
      <t>5</t>
    </r>
  </si>
  <si>
    <r>
      <rPr>
        <sz val="8"/>
        <color theme="1"/>
        <rFont val="Arial"/>
        <family val="2"/>
      </rPr>
      <t>SiO</t>
    </r>
    <r>
      <rPr>
        <vertAlign val="sub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>/    Al</t>
    </r>
    <r>
      <rPr>
        <vertAlign val="sub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>O</t>
    </r>
    <r>
      <rPr>
        <vertAlign val="subscript"/>
        <sz val="8"/>
        <color theme="1"/>
        <rFont val="Arial"/>
        <family val="2"/>
      </rPr>
      <t>3</t>
    </r>
    <r>
      <rPr>
        <vertAlign val="subscript"/>
        <sz val="7"/>
        <color theme="1"/>
        <rFont val="Arial"/>
        <family val="2"/>
      </rPr>
      <t xml:space="preserve"> </t>
    </r>
    <r>
      <rPr>
        <sz val="7"/>
        <color theme="1"/>
        <rFont val="Arial"/>
        <family val="2"/>
      </rPr>
      <t>(Ki)</t>
    </r>
  </si>
  <si>
    <r>
      <rPr>
        <sz val="8"/>
        <color theme="1"/>
        <rFont val="Arial"/>
        <family val="2"/>
      </rPr>
      <t>SiO</t>
    </r>
    <r>
      <rPr>
        <vertAlign val="sub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>/  R</t>
    </r>
    <r>
      <rPr>
        <vertAlign val="sub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>O</t>
    </r>
    <r>
      <rPr>
        <vertAlign val="subscript"/>
        <sz val="8"/>
        <color theme="1"/>
        <rFont val="Arial"/>
        <family val="2"/>
      </rPr>
      <t>3</t>
    </r>
    <r>
      <rPr>
        <sz val="8"/>
        <color theme="1"/>
        <rFont val="Arial"/>
        <family val="2"/>
      </rPr>
      <t xml:space="preserve">   </t>
    </r>
    <r>
      <rPr>
        <sz val="7"/>
        <color theme="1"/>
        <rFont val="Arial"/>
        <family val="2"/>
      </rPr>
      <t>(Kr)</t>
    </r>
  </si>
  <si>
    <r>
      <rPr>
        <sz val="8"/>
        <color theme="1"/>
        <rFont val="Arial"/>
        <family val="2"/>
      </rPr>
      <t>Al</t>
    </r>
    <r>
      <rPr>
        <vertAlign val="sub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>O</t>
    </r>
    <r>
      <rPr>
        <vertAlign val="subscript"/>
        <sz val="8"/>
        <color theme="1"/>
        <rFont val="Arial"/>
        <family val="2"/>
      </rPr>
      <t>3</t>
    </r>
    <r>
      <rPr>
        <sz val="8"/>
        <color theme="1"/>
        <rFont val="Arial"/>
        <family val="2"/>
      </rPr>
      <t>/ Fe</t>
    </r>
    <r>
      <rPr>
        <vertAlign val="sub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>O</t>
    </r>
    <r>
      <rPr>
        <vertAlign val="subscript"/>
        <sz val="8"/>
        <color theme="1"/>
        <rFont val="Arial"/>
        <family val="2"/>
      </rPr>
      <t>3</t>
    </r>
  </si>
  <si>
    <r>
      <rPr>
        <u/>
        <sz val="8"/>
        <color theme="1"/>
        <rFont val="Arial"/>
        <family val="2"/>
      </rPr>
      <t>100.Na</t>
    </r>
    <r>
      <rPr>
        <u/>
        <vertAlign val="superscript"/>
        <sz val="8"/>
        <color theme="1"/>
        <rFont val="Arial"/>
        <family val="2"/>
      </rPr>
      <t>+</t>
    </r>
    <r>
      <rPr>
        <u/>
        <sz val="8"/>
        <color theme="1"/>
        <rFont val="Arial"/>
        <family val="2"/>
      </rPr>
      <t xml:space="preserve">      T                </t>
    </r>
    <r>
      <rPr>
        <u/>
        <sz val="7"/>
        <color theme="1"/>
        <rFont val="Arial"/>
        <family val="2"/>
      </rPr>
      <t>%</t>
    </r>
  </si>
  <si>
    <r>
      <rPr>
        <sz val="8"/>
        <color theme="1"/>
        <rFont val="Arial"/>
        <family val="2"/>
      </rPr>
      <t xml:space="preserve">Sais solúveis                                                                                   </t>
    </r>
    <r>
      <rPr>
        <sz val="7"/>
        <color theme="1"/>
        <rFont val="Arial"/>
        <family val="2"/>
      </rPr>
      <t>cmol</t>
    </r>
    <r>
      <rPr>
        <vertAlign val="subscript"/>
        <sz val="8"/>
        <color theme="1"/>
        <rFont val="Arial"/>
        <family val="2"/>
      </rPr>
      <t>c</t>
    </r>
    <r>
      <rPr>
        <sz val="7"/>
        <color theme="1"/>
        <rFont val="Arial"/>
        <family val="2"/>
      </rPr>
      <t>/kg</t>
    </r>
  </si>
  <si>
    <r>
      <rPr>
        <sz val="8"/>
        <color theme="1"/>
        <rFont val="Arial"/>
        <family val="2"/>
      </rPr>
      <t xml:space="preserve">Constantes hídricas                                </t>
    </r>
    <r>
      <rPr>
        <sz val="7"/>
        <color theme="1"/>
        <rFont val="Arial"/>
        <family val="2"/>
      </rPr>
      <t>g/100g</t>
    </r>
  </si>
  <si>
    <r>
      <rPr>
        <sz val="8"/>
        <color theme="1"/>
        <rFont val="Arial"/>
        <family val="2"/>
      </rPr>
      <t xml:space="preserve">C.E. do extrato </t>
    </r>
    <r>
      <rPr>
        <sz val="7"/>
        <color theme="1"/>
        <rFont val="Arial"/>
        <family val="2"/>
      </rPr>
      <t>mS/cm 25</t>
    </r>
    <r>
      <rPr>
        <vertAlign val="superscript"/>
        <sz val="7"/>
        <color theme="1"/>
        <rFont val="Arial"/>
        <family val="2"/>
      </rPr>
      <t>o</t>
    </r>
    <r>
      <rPr>
        <sz val="7"/>
        <color theme="1"/>
        <rFont val="Arial"/>
        <family val="2"/>
      </rPr>
      <t>C</t>
    </r>
  </si>
  <si>
    <r>
      <rPr>
        <sz val="8"/>
        <color theme="1"/>
        <rFont val="Arial"/>
        <family val="2"/>
      </rPr>
      <t xml:space="preserve">Água </t>
    </r>
    <r>
      <rPr>
        <sz val="7"/>
        <color theme="1"/>
        <rFont val="Arial"/>
        <family val="2"/>
      </rPr>
      <t xml:space="preserve"> %</t>
    </r>
  </si>
  <si>
    <r>
      <rPr>
        <sz val="8"/>
        <color theme="1"/>
        <rFont val="Arial"/>
        <family val="2"/>
      </rPr>
      <t>Ca</t>
    </r>
    <r>
      <rPr>
        <vertAlign val="superscript"/>
        <sz val="9"/>
        <color theme="1"/>
        <rFont val="Arial"/>
        <family val="2"/>
      </rPr>
      <t>2+</t>
    </r>
  </si>
  <si>
    <r>
      <rPr>
        <sz val="8"/>
        <color theme="1"/>
        <rFont val="Arial"/>
        <family val="2"/>
      </rPr>
      <t>Mg</t>
    </r>
    <r>
      <rPr>
        <vertAlign val="superscript"/>
        <sz val="9"/>
        <color theme="1"/>
        <rFont val="Arial"/>
        <family val="2"/>
      </rPr>
      <t>2+</t>
    </r>
  </si>
  <si>
    <r>
      <rPr>
        <sz val="8"/>
        <color theme="1"/>
        <rFont val="Arial"/>
        <family val="2"/>
      </rPr>
      <t>K</t>
    </r>
    <r>
      <rPr>
        <vertAlign val="superscript"/>
        <sz val="9"/>
        <color theme="1"/>
        <rFont val="Arial"/>
        <family val="2"/>
      </rPr>
      <t>+</t>
    </r>
  </si>
  <si>
    <r>
      <rPr>
        <sz val="8"/>
        <color theme="1"/>
        <rFont val="Arial"/>
        <family val="2"/>
      </rPr>
      <t>Na</t>
    </r>
    <r>
      <rPr>
        <vertAlign val="superscript"/>
        <sz val="9"/>
        <color theme="1"/>
        <rFont val="Arial"/>
        <family val="2"/>
      </rPr>
      <t>+</t>
    </r>
  </si>
  <si>
    <r>
      <rPr>
        <sz val="8"/>
        <color theme="1"/>
        <rFont val="Arial"/>
        <family val="2"/>
      </rPr>
      <t>HCO</t>
    </r>
    <r>
      <rPr>
        <vertAlign val="subscript"/>
        <sz val="9"/>
        <color theme="1"/>
        <rFont val="Arial"/>
        <family val="2"/>
      </rPr>
      <t>3</t>
    </r>
    <r>
      <rPr>
        <vertAlign val="superscript"/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 xml:space="preserve"> </t>
    </r>
    <r>
      <rPr>
        <sz val="8"/>
        <color theme="1"/>
        <rFont val="Arial"/>
        <family val="2"/>
      </rPr>
      <t>CO</t>
    </r>
    <r>
      <rPr>
        <vertAlign val="subscript"/>
        <sz val="9"/>
        <color theme="1"/>
        <rFont val="Arial"/>
        <family val="2"/>
      </rPr>
      <t>3</t>
    </r>
    <r>
      <rPr>
        <vertAlign val="superscript"/>
        <sz val="9"/>
        <color theme="1"/>
        <rFont val="Arial"/>
        <family val="2"/>
      </rPr>
      <t>2</t>
    </r>
    <r>
      <rPr>
        <vertAlign val="superscript"/>
        <sz val="10"/>
        <color theme="1"/>
        <rFont val="Arial"/>
        <family val="2"/>
      </rPr>
      <t>-</t>
    </r>
  </si>
  <si>
    <r>
      <rPr>
        <sz val="8"/>
        <color theme="1"/>
        <rFont val="Arial"/>
        <family val="2"/>
      </rPr>
      <t>Cl</t>
    </r>
    <r>
      <rPr>
        <vertAlign val="superscript"/>
        <sz val="9"/>
        <color theme="1"/>
        <rFont val="Arial"/>
        <family val="2"/>
      </rPr>
      <t>-</t>
    </r>
  </si>
  <si>
    <r>
      <rPr>
        <sz val="8"/>
        <color theme="1"/>
        <rFont val="Arial"/>
        <family val="2"/>
      </rPr>
      <t>SO</t>
    </r>
    <r>
      <rPr>
        <vertAlign val="subscript"/>
        <sz val="8"/>
        <color theme="1"/>
        <rFont val="Arial"/>
        <family val="2"/>
      </rPr>
      <t>4</t>
    </r>
    <r>
      <rPr>
        <vertAlign val="superscript"/>
        <sz val="9"/>
        <color theme="1"/>
        <rFont val="Arial"/>
        <family val="2"/>
      </rPr>
      <t>2-</t>
    </r>
  </si>
  <si>
    <t>Perfil: MAR E</t>
  </si>
  <si>
    <t>Amostras de Laboratório: 22.0327-0328</t>
  </si>
  <si>
    <r>
      <rPr>
        <sz val="8"/>
        <color theme="1"/>
        <rFont val="Arial"/>
        <family val="2"/>
      </rPr>
      <t xml:space="preserve">Frações da amostra total </t>
    </r>
    <r>
      <rPr>
        <sz val="7"/>
        <color theme="1"/>
        <rFont val="Arial"/>
        <family val="2"/>
      </rPr>
      <t>g/kg</t>
    </r>
  </si>
  <si>
    <r>
      <rPr>
        <sz val="8"/>
        <color theme="1"/>
        <rFont val="Arial"/>
        <family val="2"/>
      </rPr>
      <t xml:space="preserve">Composição granulométrica da      terra fina                                        </t>
    </r>
    <r>
      <rPr>
        <sz val="7"/>
        <color theme="1"/>
        <rFont val="Arial"/>
        <family val="2"/>
      </rPr>
      <t>g/kg</t>
    </r>
  </si>
  <si>
    <r>
      <rPr>
        <sz val="8"/>
        <color theme="1"/>
        <rFont val="Arial"/>
        <family val="2"/>
      </rPr>
      <t xml:space="preserve">Argila dispersa em água </t>
    </r>
    <r>
      <rPr>
        <sz val="7"/>
        <color theme="1"/>
        <rFont val="Arial"/>
        <family val="2"/>
      </rPr>
      <t>g/kg</t>
    </r>
  </si>
  <si>
    <r>
      <rPr>
        <sz val="8"/>
        <color theme="1"/>
        <rFont val="Arial"/>
        <family val="2"/>
      </rPr>
      <t xml:space="preserve">Grau  de   floculação   </t>
    </r>
    <r>
      <rPr>
        <sz val="7"/>
        <color theme="1"/>
        <rFont val="Arial"/>
        <family val="2"/>
      </rPr>
      <t>%</t>
    </r>
  </si>
  <si>
    <r>
      <rPr>
        <sz val="8"/>
        <color theme="1"/>
        <rFont val="Arial"/>
        <family val="2"/>
      </rPr>
      <t xml:space="preserve">Densidade             </t>
    </r>
    <r>
      <rPr>
        <sz val="7"/>
        <color theme="1"/>
        <rFont val="Arial"/>
        <family val="2"/>
      </rPr>
      <t>g/cm</t>
    </r>
    <r>
      <rPr>
        <vertAlign val="superscript"/>
        <sz val="7"/>
        <color theme="1"/>
        <rFont val="Arial"/>
        <family val="2"/>
      </rPr>
      <t>3</t>
    </r>
  </si>
  <si>
    <r>
      <rPr>
        <sz val="8"/>
        <color theme="1"/>
        <rFont val="Arial"/>
        <family val="2"/>
      </rPr>
      <t>Porosidade</t>
    </r>
    <r>
      <rPr>
        <sz val="7"/>
        <color theme="1"/>
        <rFont val="Arial"/>
        <family val="2"/>
      </rPr>
      <t xml:space="preserve"> cm</t>
    </r>
    <r>
      <rPr>
        <vertAlign val="superscript"/>
        <sz val="7"/>
        <color theme="1"/>
        <rFont val="Arial"/>
        <family val="2"/>
      </rPr>
      <t>3</t>
    </r>
    <r>
      <rPr>
        <sz val="7"/>
        <color theme="1"/>
        <rFont val="Arial"/>
        <family val="2"/>
      </rPr>
      <t>/100cm</t>
    </r>
    <r>
      <rPr>
        <vertAlign val="superscript"/>
        <sz val="7"/>
        <color theme="1"/>
        <rFont val="Arial"/>
        <family val="2"/>
      </rPr>
      <t>3</t>
    </r>
  </si>
  <si>
    <r>
      <rPr>
        <sz val="8"/>
        <color theme="1"/>
        <rFont val="Arial"/>
        <family val="2"/>
      </rPr>
      <t xml:space="preserve">Profundidade     </t>
    </r>
    <r>
      <rPr>
        <sz val="7"/>
        <color theme="1"/>
        <rFont val="Arial"/>
        <family val="2"/>
      </rPr>
      <t>cm</t>
    </r>
  </si>
  <si>
    <r>
      <rPr>
        <sz val="8"/>
        <color theme="1"/>
        <rFont val="Arial"/>
        <family val="2"/>
      </rPr>
      <t xml:space="preserve">Calhaus </t>
    </r>
    <r>
      <rPr>
        <sz val="7"/>
        <color theme="1"/>
        <rFont val="Arial"/>
        <family val="2"/>
      </rPr>
      <t>&gt; 20     mm</t>
    </r>
  </si>
  <si>
    <r>
      <rPr>
        <sz val="8"/>
        <color theme="1"/>
        <rFont val="Arial"/>
        <family val="2"/>
      </rPr>
      <t xml:space="preserve">Cas-calho </t>
    </r>
    <r>
      <rPr>
        <sz val="7"/>
        <color theme="1"/>
        <rFont val="Arial"/>
        <family val="2"/>
      </rPr>
      <t>20-2 mm</t>
    </r>
  </si>
  <si>
    <r>
      <rPr>
        <sz val="8"/>
        <color theme="1"/>
        <rFont val="Arial"/>
        <family val="2"/>
      </rPr>
      <t xml:space="preserve">Terra fina     </t>
    </r>
    <r>
      <rPr>
        <sz val="7"/>
        <color theme="1"/>
        <rFont val="Arial"/>
        <family val="2"/>
      </rPr>
      <t>&lt; 2    mm</t>
    </r>
  </si>
  <si>
    <r>
      <rPr>
        <sz val="8"/>
        <color theme="1"/>
        <rFont val="Arial"/>
        <family val="2"/>
      </rPr>
      <t xml:space="preserve">Areia grossa </t>
    </r>
    <r>
      <rPr>
        <sz val="7"/>
        <color theme="1"/>
        <rFont val="Arial"/>
        <family val="2"/>
      </rPr>
      <t>2-0,20 mm</t>
    </r>
  </si>
  <si>
    <r>
      <rPr>
        <sz val="8"/>
        <color theme="1"/>
        <rFont val="Arial"/>
        <family val="2"/>
      </rPr>
      <t xml:space="preserve">Areia fina      </t>
    </r>
    <r>
      <rPr>
        <sz val="7"/>
        <color theme="1"/>
        <rFont val="Arial"/>
        <family val="2"/>
      </rPr>
      <t>0,20-0,05 mm</t>
    </r>
  </si>
  <si>
    <r>
      <rPr>
        <sz val="8"/>
        <color theme="1"/>
        <rFont val="Arial"/>
        <family val="2"/>
      </rPr>
      <t xml:space="preserve">Silte  </t>
    </r>
    <r>
      <rPr>
        <sz val="7"/>
        <color theme="1"/>
        <rFont val="Arial"/>
        <family val="2"/>
      </rPr>
      <t>0,05-0,002    mm</t>
    </r>
  </si>
  <si>
    <r>
      <rPr>
        <sz val="8"/>
        <color theme="1"/>
        <rFont val="Arial"/>
        <family val="2"/>
      </rPr>
      <t xml:space="preserve">Argila   </t>
    </r>
    <r>
      <rPr>
        <sz val="7"/>
        <color theme="1"/>
        <rFont val="Arial"/>
        <family val="2"/>
      </rPr>
      <t>&lt; 0,002 mm</t>
    </r>
  </si>
  <si>
    <r>
      <rPr>
        <sz val="8"/>
        <color theme="1"/>
        <rFont val="Arial"/>
        <family val="2"/>
      </rPr>
      <t xml:space="preserve">pH </t>
    </r>
    <r>
      <rPr>
        <sz val="7"/>
        <color theme="1"/>
        <rFont val="Arial"/>
        <family val="2"/>
      </rPr>
      <t>(1:2,5)</t>
    </r>
  </si>
  <si>
    <r>
      <rPr>
        <sz val="8"/>
        <color theme="1"/>
        <rFont val="Arial"/>
        <family val="2"/>
      </rPr>
      <t xml:space="preserve">Complexo Sortivo                                                                                     </t>
    </r>
    <r>
      <rPr>
        <sz val="7"/>
        <color theme="1"/>
        <rFont val="Arial"/>
        <family val="2"/>
      </rPr>
      <t>cmol</t>
    </r>
    <r>
      <rPr>
        <vertAlign val="subscript"/>
        <sz val="8"/>
        <color theme="1"/>
        <rFont val="Arial"/>
        <family val="2"/>
      </rPr>
      <t>c</t>
    </r>
    <r>
      <rPr>
        <sz val="7"/>
        <color theme="1"/>
        <rFont val="Arial"/>
        <family val="2"/>
      </rPr>
      <t>/kg</t>
    </r>
  </si>
  <si>
    <r>
      <rPr>
        <sz val="8"/>
        <color theme="1"/>
        <rFont val="Arial"/>
        <family val="2"/>
      </rPr>
      <t xml:space="preserve">Valor V              </t>
    </r>
    <r>
      <rPr>
        <sz val="7"/>
        <color theme="1"/>
        <rFont val="Arial"/>
        <family val="2"/>
      </rPr>
      <t>(sat. por bases)     %</t>
    </r>
  </si>
  <si>
    <r>
      <rPr>
        <u/>
        <sz val="8"/>
        <color theme="1"/>
        <rFont val="Arial"/>
        <family val="2"/>
      </rPr>
      <t>100.Al</t>
    </r>
    <r>
      <rPr>
        <u/>
        <vertAlign val="superscript"/>
        <sz val="9"/>
        <color theme="1"/>
        <rFont val="Arial"/>
        <family val="2"/>
      </rPr>
      <t>3</t>
    </r>
    <r>
      <rPr>
        <u/>
        <vertAlign val="superscript"/>
        <sz val="9"/>
        <color theme="1"/>
        <rFont val="Arial"/>
        <family val="2"/>
      </rPr>
      <t>+</t>
    </r>
    <r>
      <rPr>
        <u/>
        <sz val="8"/>
        <color theme="1"/>
        <rFont val="Arial"/>
        <family val="2"/>
      </rPr>
      <t xml:space="preserve">                   S + Al</t>
    </r>
    <r>
      <rPr>
        <u/>
        <vertAlign val="superscript"/>
        <sz val="9"/>
        <color theme="1"/>
        <rFont val="Arial"/>
        <family val="2"/>
      </rPr>
      <t>3+</t>
    </r>
    <r>
      <rPr>
        <u/>
        <sz val="8"/>
        <color theme="1"/>
        <rFont val="Arial"/>
        <family val="2"/>
      </rPr>
      <t xml:space="preserve">                    </t>
    </r>
    <r>
      <rPr>
        <u/>
        <sz val="7"/>
        <color theme="1"/>
        <rFont val="Arial"/>
        <family val="2"/>
      </rPr>
      <t>%</t>
    </r>
  </si>
  <si>
    <r>
      <rPr>
        <sz val="8"/>
        <color theme="1"/>
        <rFont val="Arial"/>
        <family val="2"/>
      </rPr>
      <t xml:space="preserve">P   assimilável </t>
    </r>
    <r>
      <rPr>
        <sz val="7"/>
        <color theme="1"/>
        <rFont val="Arial"/>
        <family val="2"/>
      </rPr>
      <t>mg/kg</t>
    </r>
  </si>
  <si>
    <r>
      <rPr>
        <sz val="8"/>
        <color theme="1"/>
        <rFont val="Arial"/>
        <family val="2"/>
      </rPr>
      <t xml:space="preserve">KCl </t>
    </r>
    <r>
      <rPr>
        <sz val="7"/>
        <color theme="1"/>
        <rFont val="Arial"/>
        <family val="2"/>
      </rPr>
      <t>1N</t>
    </r>
  </si>
  <si>
    <r>
      <rPr>
        <sz val="8"/>
        <color theme="1"/>
        <rFont val="Arial"/>
        <family val="2"/>
      </rPr>
      <t>Ca</t>
    </r>
    <r>
      <rPr>
        <vertAlign val="superscript"/>
        <sz val="9"/>
        <color theme="1"/>
        <rFont val="Arial"/>
        <family val="2"/>
      </rPr>
      <t>2+</t>
    </r>
  </si>
  <si>
    <r>
      <rPr>
        <sz val="8"/>
        <color theme="1"/>
        <rFont val="Arial"/>
        <family val="2"/>
      </rPr>
      <t>Mg</t>
    </r>
    <r>
      <rPr>
        <vertAlign val="superscript"/>
        <sz val="9"/>
        <color theme="1"/>
        <rFont val="Arial"/>
        <family val="2"/>
      </rPr>
      <t>2+</t>
    </r>
  </si>
  <si>
    <r>
      <rPr>
        <sz val="8"/>
        <color theme="1"/>
        <rFont val="Arial"/>
        <family val="2"/>
      </rPr>
      <t>K</t>
    </r>
    <r>
      <rPr>
        <vertAlign val="superscript"/>
        <sz val="9"/>
        <color theme="1"/>
        <rFont val="Arial"/>
        <family val="2"/>
      </rPr>
      <t>+</t>
    </r>
  </si>
  <si>
    <r>
      <rPr>
        <sz val="8"/>
        <color theme="1"/>
        <rFont val="Arial"/>
        <family val="2"/>
      </rPr>
      <t>Na</t>
    </r>
    <r>
      <rPr>
        <vertAlign val="superscript"/>
        <sz val="9"/>
        <color theme="1"/>
        <rFont val="Arial"/>
        <family val="2"/>
      </rPr>
      <t>+</t>
    </r>
  </si>
  <si>
    <r>
      <rPr>
        <sz val="8"/>
        <color theme="1"/>
        <rFont val="Arial"/>
        <family val="2"/>
      </rPr>
      <t>Valor S</t>
    </r>
    <r>
      <rPr>
        <sz val="7"/>
        <color theme="1"/>
        <rFont val="Arial"/>
        <family val="2"/>
      </rPr>
      <t xml:space="preserve"> (soma)</t>
    </r>
  </si>
  <si>
    <r>
      <rPr>
        <sz val="8"/>
        <color theme="1"/>
        <rFont val="Arial"/>
        <family val="2"/>
      </rPr>
      <t>Al</t>
    </r>
    <r>
      <rPr>
        <vertAlign val="superscript"/>
        <sz val="9"/>
        <color theme="1"/>
        <rFont val="Arial"/>
        <family val="2"/>
      </rPr>
      <t>3+</t>
    </r>
  </si>
  <si>
    <r>
      <rPr>
        <sz val="8"/>
        <color theme="1"/>
        <rFont val="Arial"/>
        <family val="2"/>
      </rPr>
      <t>H</t>
    </r>
    <r>
      <rPr>
        <vertAlign val="superscript"/>
        <sz val="9"/>
        <color theme="1"/>
        <rFont val="Arial"/>
        <family val="2"/>
      </rPr>
      <t>+</t>
    </r>
  </si>
  <si>
    <r>
      <rPr>
        <sz val="8"/>
        <color theme="1"/>
        <rFont val="Arial"/>
        <family val="2"/>
      </rPr>
      <t xml:space="preserve">C </t>
    </r>
    <r>
      <rPr>
        <sz val="7"/>
        <color theme="1"/>
        <rFont val="Arial"/>
        <family val="2"/>
      </rPr>
      <t>(orgânico) g/kg</t>
    </r>
  </si>
  <si>
    <r>
      <rPr>
        <sz val="8"/>
        <color theme="1"/>
        <rFont val="Arial"/>
        <family val="2"/>
      </rPr>
      <t xml:space="preserve">N                  </t>
    </r>
    <r>
      <rPr>
        <sz val="7"/>
        <color theme="1"/>
        <rFont val="Arial"/>
        <family val="2"/>
      </rPr>
      <t>g/kg</t>
    </r>
  </si>
  <si>
    <r>
      <rPr>
        <sz val="8"/>
        <color theme="1"/>
        <rFont val="Arial"/>
        <family val="2"/>
      </rPr>
      <t xml:space="preserve">Ataque sulfúrico                                                                </t>
    </r>
    <r>
      <rPr>
        <sz val="7"/>
        <color theme="1"/>
        <rFont val="Arial"/>
        <family val="2"/>
      </rPr>
      <t xml:space="preserve"> g/kg</t>
    </r>
  </si>
  <si>
    <r>
      <rPr>
        <sz val="8"/>
        <color theme="1"/>
        <rFont val="Arial"/>
        <family val="2"/>
      </rPr>
      <t>Fe</t>
    </r>
    <r>
      <rPr>
        <vertAlign val="sub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>O</t>
    </r>
    <r>
      <rPr>
        <vertAlign val="subscript"/>
        <sz val="8"/>
        <color theme="1"/>
        <rFont val="Arial"/>
        <family val="2"/>
      </rPr>
      <t>3</t>
    </r>
    <r>
      <rPr>
        <sz val="8"/>
        <color theme="1"/>
        <rFont val="Arial"/>
        <family val="2"/>
      </rPr>
      <t xml:space="preserve"> livre </t>
    </r>
    <r>
      <rPr>
        <vertAlign val="subscript"/>
        <sz val="8"/>
        <color theme="1"/>
        <rFont val="Arial"/>
        <family val="2"/>
      </rPr>
      <t xml:space="preserve">                                                                       </t>
    </r>
    <r>
      <rPr>
        <sz val="7"/>
        <color theme="1"/>
        <rFont val="Arial"/>
        <family val="2"/>
      </rPr>
      <t xml:space="preserve">                 g/kg</t>
    </r>
  </si>
  <si>
    <r>
      <rPr>
        <sz val="8"/>
        <color theme="1"/>
        <rFont val="Arial"/>
        <family val="2"/>
      </rPr>
      <t>Equivalente          de       CaCO</t>
    </r>
    <r>
      <rPr>
        <vertAlign val="subscript"/>
        <sz val="8"/>
        <color theme="1"/>
        <rFont val="Arial"/>
        <family val="2"/>
      </rPr>
      <t xml:space="preserve">3   </t>
    </r>
    <r>
      <rPr>
        <sz val="7"/>
        <color theme="1"/>
        <rFont val="Arial"/>
        <family val="2"/>
      </rPr>
      <t xml:space="preserve">     g/kg</t>
    </r>
  </si>
  <si>
    <r>
      <rPr>
        <sz val="8"/>
        <color theme="1"/>
        <rFont val="Arial"/>
        <family val="2"/>
      </rPr>
      <t>SiO</t>
    </r>
    <r>
      <rPr>
        <vertAlign val="subscript"/>
        <sz val="8"/>
        <color theme="1"/>
        <rFont val="Arial"/>
        <family val="2"/>
      </rPr>
      <t>2</t>
    </r>
  </si>
  <si>
    <r>
      <rPr>
        <sz val="8"/>
        <color theme="1"/>
        <rFont val="Arial"/>
        <family val="2"/>
      </rPr>
      <t>Al</t>
    </r>
    <r>
      <rPr>
        <vertAlign val="sub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>O</t>
    </r>
    <r>
      <rPr>
        <vertAlign val="subscript"/>
        <sz val="8"/>
        <color theme="1"/>
        <rFont val="Arial"/>
        <family val="2"/>
      </rPr>
      <t>3</t>
    </r>
  </si>
  <si>
    <r>
      <rPr>
        <sz val="8"/>
        <color theme="1"/>
        <rFont val="Arial"/>
        <family val="2"/>
      </rPr>
      <t>Fe</t>
    </r>
    <r>
      <rPr>
        <vertAlign val="sub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>O</t>
    </r>
    <r>
      <rPr>
        <vertAlign val="subscript"/>
        <sz val="8"/>
        <color theme="1"/>
        <rFont val="Arial"/>
        <family val="2"/>
      </rPr>
      <t>3</t>
    </r>
  </si>
  <si>
    <r>
      <rPr>
        <sz val="8"/>
        <color theme="1"/>
        <rFont val="Arial"/>
        <family val="2"/>
      </rPr>
      <t>TiO</t>
    </r>
    <r>
      <rPr>
        <vertAlign val="subscript"/>
        <sz val="8"/>
        <color theme="1"/>
        <rFont val="Arial"/>
        <family val="2"/>
      </rPr>
      <t>2</t>
    </r>
  </si>
  <si>
    <r>
      <rPr>
        <sz val="8"/>
        <color theme="1"/>
        <rFont val="Arial"/>
        <family val="2"/>
      </rPr>
      <t>P</t>
    </r>
    <r>
      <rPr>
        <vertAlign val="sub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>O</t>
    </r>
    <r>
      <rPr>
        <vertAlign val="subscript"/>
        <sz val="8"/>
        <color theme="1"/>
        <rFont val="Arial"/>
        <family val="2"/>
      </rPr>
      <t>5</t>
    </r>
  </si>
  <si>
    <r>
      <rPr>
        <sz val="8"/>
        <color theme="1"/>
        <rFont val="Arial"/>
        <family val="2"/>
      </rPr>
      <t>SiO</t>
    </r>
    <r>
      <rPr>
        <vertAlign val="sub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>/    Al</t>
    </r>
    <r>
      <rPr>
        <vertAlign val="sub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>O</t>
    </r>
    <r>
      <rPr>
        <vertAlign val="subscript"/>
        <sz val="8"/>
        <color theme="1"/>
        <rFont val="Arial"/>
        <family val="2"/>
      </rPr>
      <t>3</t>
    </r>
    <r>
      <rPr>
        <vertAlign val="subscript"/>
        <sz val="7"/>
        <color theme="1"/>
        <rFont val="Arial"/>
        <family val="2"/>
      </rPr>
      <t xml:space="preserve"> </t>
    </r>
    <r>
      <rPr>
        <sz val="7"/>
        <color theme="1"/>
        <rFont val="Arial"/>
        <family val="2"/>
      </rPr>
      <t>(Ki)</t>
    </r>
  </si>
  <si>
    <r>
      <rPr>
        <sz val="8"/>
        <color theme="1"/>
        <rFont val="Arial"/>
        <family val="2"/>
      </rPr>
      <t>SiO</t>
    </r>
    <r>
      <rPr>
        <vertAlign val="sub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>/  R</t>
    </r>
    <r>
      <rPr>
        <vertAlign val="sub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>O</t>
    </r>
    <r>
      <rPr>
        <vertAlign val="subscript"/>
        <sz val="8"/>
        <color theme="1"/>
        <rFont val="Arial"/>
        <family val="2"/>
      </rPr>
      <t>3</t>
    </r>
    <r>
      <rPr>
        <sz val="8"/>
        <color theme="1"/>
        <rFont val="Arial"/>
        <family val="2"/>
      </rPr>
      <t xml:space="preserve">   </t>
    </r>
    <r>
      <rPr>
        <sz val="7"/>
        <color theme="1"/>
        <rFont val="Arial"/>
        <family val="2"/>
      </rPr>
      <t>(Kr)</t>
    </r>
  </si>
  <si>
    <r>
      <rPr>
        <sz val="8"/>
        <color theme="1"/>
        <rFont val="Arial"/>
        <family val="2"/>
      </rPr>
      <t>Al</t>
    </r>
    <r>
      <rPr>
        <vertAlign val="sub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>O</t>
    </r>
    <r>
      <rPr>
        <vertAlign val="subscript"/>
        <sz val="8"/>
        <color theme="1"/>
        <rFont val="Arial"/>
        <family val="2"/>
      </rPr>
      <t>3</t>
    </r>
    <r>
      <rPr>
        <sz val="8"/>
        <color theme="1"/>
        <rFont val="Arial"/>
        <family val="2"/>
      </rPr>
      <t>/ Fe</t>
    </r>
    <r>
      <rPr>
        <vertAlign val="subscript"/>
        <sz val="8"/>
        <color theme="1"/>
        <rFont val="Arial"/>
        <family val="2"/>
      </rPr>
      <t>2</t>
    </r>
    <r>
      <rPr>
        <sz val="8"/>
        <color theme="1"/>
        <rFont val="Arial"/>
        <family val="2"/>
      </rPr>
      <t>O</t>
    </r>
    <r>
      <rPr>
        <vertAlign val="subscript"/>
        <sz val="8"/>
        <color theme="1"/>
        <rFont val="Arial"/>
        <family val="2"/>
      </rPr>
      <t>3</t>
    </r>
  </si>
  <si>
    <r>
      <rPr>
        <u/>
        <sz val="8"/>
        <color theme="1"/>
        <rFont val="Arial"/>
        <family val="2"/>
      </rPr>
      <t>100.Na</t>
    </r>
    <r>
      <rPr>
        <u/>
        <vertAlign val="superscript"/>
        <sz val="8"/>
        <color theme="1"/>
        <rFont val="Arial"/>
        <family val="2"/>
      </rPr>
      <t>+</t>
    </r>
    <r>
      <rPr>
        <u/>
        <sz val="8"/>
        <color theme="1"/>
        <rFont val="Arial"/>
        <family val="2"/>
      </rPr>
      <t xml:space="preserve">      T                </t>
    </r>
    <r>
      <rPr>
        <u/>
        <sz val="7"/>
        <color theme="1"/>
        <rFont val="Arial"/>
        <family val="2"/>
      </rPr>
      <t>%</t>
    </r>
  </si>
  <si>
    <r>
      <rPr>
        <sz val="8"/>
        <color theme="1"/>
        <rFont val="Arial"/>
        <family val="2"/>
      </rPr>
      <t xml:space="preserve">Sais solúveis                                                                                   </t>
    </r>
    <r>
      <rPr>
        <sz val="7"/>
        <color theme="1"/>
        <rFont val="Arial"/>
        <family val="2"/>
      </rPr>
      <t>cmol</t>
    </r>
    <r>
      <rPr>
        <vertAlign val="subscript"/>
        <sz val="8"/>
        <color theme="1"/>
        <rFont val="Arial"/>
        <family val="2"/>
      </rPr>
      <t>c</t>
    </r>
    <r>
      <rPr>
        <sz val="7"/>
        <color theme="1"/>
        <rFont val="Arial"/>
        <family val="2"/>
      </rPr>
      <t>/kg</t>
    </r>
  </si>
  <si>
    <r>
      <rPr>
        <sz val="8"/>
        <color theme="1"/>
        <rFont val="Arial"/>
        <family val="2"/>
      </rPr>
      <t xml:space="preserve">Constantes hídricas                                </t>
    </r>
    <r>
      <rPr>
        <sz val="7"/>
        <color theme="1"/>
        <rFont val="Arial"/>
        <family val="2"/>
      </rPr>
      <t>g/100g</t>
    </r>
  </si>
  <si>
    <r>
      <rPr>
        <sz val="8"/>
        <color theme="1"/>
        <rFont val="Arial"/>
        <family val="2"/>
      </rPr>
      <t xml:space="preserve">C.E. do extrato </t>
    </r>
    <r>
      <rPr>
        <sz val="7"/>
        <color theme="1"/>
        <rFont val="Arial"/>
        <family val="2"/>
      </rPr>
      <t>mS/cm 25</t>
    </r>
    <r>
      <rPr>
        <vertAlign val="superscript"/>
        <sz val="7"/>
        <color theme="1"/>
        <rFont val="Arial"/>
        <family val="2"/>
      </rPr>
      <t>o</t>
    </r>
    <r>
      <rPr>
        <sz val="7"/>
        <color theme="1"/>
        <rFont val="Arial"/>
        <family val="2"/>
      </rPr>
      <t>C</t>
    </r>
  </si>
  <si>
    <r>
      <rPr>
        <sz val="8"/>
        <color theme="1"/>
        <rFont val="Arial"/>
        <family val="2"/>
      </rPr>
      <t xml:space="preserve">Água </t>
    </r>
    <r>
      <rPr>
        <sz val="7"/>
        <color theme="1"/>
        <rFont val="Arial"/>
        <family val="2"/>
      </rPr>
      <t xml:space="preserve"> %</t>
    </r>
  </si>
  <si>
    <r>
      <rPr>
        <sz val="8"/>
        <color theme="1"/>
        <rFont val="Arial"/>
        <family val="2"/>
      </rPr>
      <t>Ca</t>
    </r>
    <r>
      <rPr>
        <vertAlign val="superscript"/>
        <sz val="9"/>
        <color theme="1"/>
        <rFont val="Arial"/>
        <family val="2"/>
      </rPr>
      <t>2+</t>
    </r>
  </si>
  <si>
    <r>
      <rPr>
        <sz val="8"/>
        <color theme="1"/>
        <rFont val="Arial"/>
        <family val="2"/>
      </rPr>
      <t>Mg</t>
    </r>
    <r>
      <rPr>
        <vertAlign val="superscript"/>
        <sz val="9"/>
        <color theme="1"/>
        <rFont val="Arial"/>
        <family val="2"/>
      </rPr>
      <t>2+</t>
    </r>
  </si>
  <si>
    <r>
      <rPr>
        <sz val="8"/>
        <color theme="1"/>
        <rFont val="Arial"/>
        <family val="2"/>
      </rPr>
      <t>K</t>
    </r>
    <r>
      <rPr>
        <vertAlign val="superscript"/>
        <sz val="9"/>
        <color theme="1"/>
        <rFont val="Arial"/>
        <family val="2"/>
      </rPr>
      <t>+</t>
    </r>
  </si>
  <si>
    <r>
      <rPr>
        <sz val="8"/>
        <color theme="1"/>
        <rFont val="Arial"/>
        <family val="2"/>
      </rPr>
      <t>Na</t>
    </r>
    <r>
      <rPr>
        <vertAlign val="superscript"/>
        <sz val="9"/>
        <color theme="1"/>
        <rFont val="Arial"/>
        <family val="2"/>
      </rPr>
      <t>+</t>
    </r>
  </si>
  <si>
    <r>
      <rPr>
        <sz val="8"/>
        <color theme="1"/>
        <rFont val="Arial"/>
        <family val="2"/>
      </rPr>
      <t>HCO</t>
    </r>
    <r>
      <rPr>
        <vertAlign val="subscript"/>
        <sz val="9"/>
        <color theme="1"/>
        <rFont val="Arial"/>
        <family val="2"/>
      </rPr>
      <t>3</t>
    </r>
    <r>
      <rPr>
        <vertAlign val="superscript"/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 xml:space="preserve"> </t>
    </r>
    <r>
      <rPr>
        <sz val="8"/>
        <color theme="1"/>
        <rFont val="Arial"/>
        <family val="2"/>
      </rPr>
      <t>CO</t>
    </r>
    <r>
      <rPr>
        <vertAlign val="subscript"/>
        <sz val="9"/>
        <color theme="1"/>
        <rFont val="Arial"/>
        <family val="2"/>
      </rPr>
      <t>3</t>
    </r>
    <r>
      <rPr>
        <vertAlign val="superscript"/>
        <sz val="9"/>
        <color theme="1"/>
        <rFont val="Arial"/>
        <family val="2"/>
      </rPr>
      <t>2</t>
    </r>
    <r>
      <rPr>
        <vertAlign val="superscript"/>
        <sz val="10"/>
        <color theme="1"/>
        <rFont val="Arial"/>
        <family val="2"/>
      </rPr>
      <t>-</t>
    </r>
  </si>
  <si>
    <r>
      <rPr>
        <sz val="8"/>
        <color theme="1"/>
        <rFont val="Arial"/>
        <family val="2"/>
      </rPr>
      <t>Cl</t>
    </r>
    <r>
      <rPr>
        <vertAlign val="superscript"/>
        <sz val="9"/>
        <color theme="1"/>
        <rFont val="Arial"/>
        <family val="2"/>
      </rPr>
      <t>-</t>
    </r>
  </si>
  <si>
    <r>
      <rPr>
        <sz val="8"/>
        <color theme="1"/>
        <rFont val="Arial"/>
        <family val="2"/>
      </rPr>
      <t>SO</t>
    </r>
    <r>
      <rPr>
        <vertAlign val="subscript"/>
        <sz val="8"/>
        <color theme="1"/>
        <rFont val="Arial"/>
        <family val="2"/>
      </rPr>
      <t>4</t>
    </r>
    <r>
      <rPr>
        <vertAlign val="superscript"/>
        <sz val="9"/>
        <color theme="1"/>
        <rFont val="Arial"/>
        <family val="2"/>
      </rPr>
      <t>2-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</si>
</sst>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"/>
    <numFmt numFmtId="165" formatCode="0####"/>
    <numFmt numFmtId="166" formatCode="#,##0.0"/>
  </numFmts>
  <fonts count="32" x14ac:knownFonts="1">
    <font>
      <sz val="10"/>
      <color rgb="FF000000"/>
      <name val="Calibri"/>
      <scheme val="minor"/>
    </font>
    <font>
      <sz val="11"/>
      <color theme="1"/>
      <name val="Calibri"/>
      <family val="2"/>
    </font>
    <font>
      <sz val="10"/>
      <color rgb="FF000000"/>
      <name val="Calibri"/>
      <family val="2"/>
    </font>
    <font>
      <b/>
      <u/>
      <sz val="16"/>
      <color theme="1"/>
      <name val="Calibri"/>
      <family val="2"/>
    </font>
    <font>
      <b/>
      <u/>
      <sz val="16"/>
      <color theme="1"/>
      <name val="Calibri"/>
      <family val="2"/>
    </font>
    <font>
      <u/>
      <sz val="16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10"/>
      <name val="Calibri"/>
      <family val="2"/>
    </font>
    <font>
      <sz val="10"/>
      <color theme="1"/>
      <name val="Arial"/>
      <family val="2"/>
    </font>
    <font>
      <b/>
      <sz val="8"/>
      <color theme="1"/>
      <name val="Calibri"/>
      <family val="2"/>
    </font>
    <font>
      <b/>
      <sz val="10"/>
      <color theme="1"/>
      <name val="Arial"/>
      <family val="2"/>
    </font>
    <font>
      <sz val="8"/>
      <color rgb="FF0000FF"/>
      <name val="Arial"/>
      <family val="2"/>
    </font>
    <font>
      <sz val="8"/>
      <color rgb="FFFF0000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9"/>
      <color rgb="FF0000FF"/>
      <name val="Arial"/>
      <family val="2"/>
    </font>
    <font>
      <sz val="9"/>
      <color rgb="FFFF0000"/>
      <name val="Arial"/>
      <family val="2"/>
    </font>
    <font>
      <u/>
      <sz val="8"/>
      <color theme="1"/>
      <name val="Arial"/>
      <family val="2"/>
    </font>
    <font>
      <u/>
      <sz val="8"/>
      <color theme="1"/>
      <name val="Arial"/>
      <family val="2"/>
    </font>
    <font>
      <b/>
      <u/>
      <vertAlign val="superscript"/>
      <sz val="10"/>
      <color theme="1"/>
      <name val="Calibri"/>
      <family val="2"/>
    </font>
    <font>
      <b/>
      <vertAlign val="superscript"/>
      <sz val="10"/>
      <color theme="1"/>
      <name val="Calibri"/>
      <family val="2"/>
    </font>
    <font>
      <sz val="7"/>
      <color theme="1"/>
      <name val="Arial"/>
      <family val="2"/>
    </font>
    <font>
      <vertAlign val="superscript"/>
      <sz val="7"/>
      <color theme="1"/>
      <name val="Arial"/>
      <family val="2"/>
    </font>
    <font>
      <vertAlign val="subscript"/>
      <sz val="8"/>
      <color theme="1"/>
      <name val="Arial"/>
      <family val="2"/>
    </font>
    <font>
      <u/>
      <vertAlign val="superscript"/>
      <sz val="9"/>
      <color theme="1"/>
      <name val="Arial"/>
      <family val="2"/>
    </font>
    <font>
      <u/>
      <sz val="7"/>
      <color theme="1"/>
      <name val="Arial"/>
      <family val="2"/>
    </font>
    <font>
      <vertAlign val="superscript"/>
      <sz val="9"/>
      <color theme="1"/>
      <name val="Arial"/>
      <family val="2"/>
    </font>
    <font>
      <vertAlign val="subscript"/>
      <sz val="7"/>
      <color theme="1"/>
      <name val="Arial"/>
      <family val="2"/>
    </font>
    <font>
      <u/>
      <vertAlign val="superscript"/>
      <sz val="8"/>
      <color theme="1"/>
      <name val="Arial"/>
      <family val="2"/>
    </font>
    <font>
      <vertAlign val="subscript"/>
      <sz val="9"/>
      <color theme="1"/>
      <name val="Arial"/>
      <family val="2"/>
    </font>
    <font>
      <vertAlign val="superscript"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</fills>
  <borders count="56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4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right"/>
    </xf>
    <xf numFmtId="49" fontId="6" fillId="0" borderId="0" xfId="0" applyNumberFormat="1" applyFont="1"/>
    <xf numFmtId="49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4" fontId="6" fillId="0" borderId="0" xfId="0" applyNumberFormat="1" applyFont="1" applyAlignment="1">
      <alignment horizontal="left"/>
    </xf>
    <xf numFmtId="14" fontId="1" fillId="0" borderId="0" xfId="0" applyNumberFormat="1" applyFont="1" applyAlignment="1">
      <alignment horizontal="left"/>
    </xf>
    <xf numFmtId="0" fontId="6" fillId="0" borderId="1" xfId="0" applyFont="1" applyBorder="1"/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9" fillId="2" borderId="6" xfId="0" applyFont="1" applyFill="1" applyBorder="1"/>
    <xf numFmtId="0" fontId="7" fillId="2" borderId="9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/>
    </xf>
    <xf numFmtId="0" fontId="7" fillId="2" borderId="19" xfId="0" applyFont="1" applyFill="1" applyBorder="1" applyAlignment="1">
      <alignment horizontal="center"/>
    </xf>
    <xf numFmtId="0" fontId="7" fillId="2" borderId="20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center"/>
    </xf>
    <xf numFmtId="0" fontId="7" fillId="2" borderId="22" xfId="0" applyFont="1" applyFill="1" applyBorder="1" applyAlignment="1">
      <alignment horizontal="center"/>
    </xf>
    <xf numFmtId="0" fontId="7" fillId="2" borderId="23" xfId="0" applyFont="1" applyFill="1" applyBorder="1" applyAlignment="1">
      <alignment horizontal="center"/>
    </xf>
    <xf numFmtId="0" fontId="10" fillId="2" borderId="27" xfId="0" applyFont="1" applyFill="1" applyBorder="1" applyAlignment="1">
      <alignment horizontal="center" vertical="center"/>
    </xf>
    <xf numFmtId="0" fontId="10" fillId="2" borderId="28" xfId="0" applyFont="1" applyFill="1" applyBorder="1" applyAlignment="1">
      <alignment horizontal="center" vertical="center"/>
    </xf>
    <xf numFmtId="0" fontId="10" fillId="2" borderId="29" xfId="0" applyFont="1" applyFill="1" applyBorder="1" applyAlignment="1">
      <alignment horizontal="center" vertical="center"/>
    </xf>
    <xf numFmtId="0" fontId="10" fillId="2" borderId="30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10" fillId="2" borderId="32" xfId="0" applyFont="1" applyFill="1" applyBorder="1" applyAlignment="1">
      <alignment horizontal="center" vertical="center"/>
    </xf>
    <xf numFmtId="0" fontId="9" fillId="2" borderId="31" xfId="0" applyFont="1" applyFill="1" applyBorder="1"/>
    <xf numFmtId="0" fontId="10" fillId="2" borderId="35" xfId="0" applyFont="1" applyFill="1" applyBorder="1" applyAlignment="1">
      <alignment horizontal="center" vertical="center"/>
    </xf>
    <xf numFmtId="1" fontId="9" fillId="3" borderId="36" xfId="0" applyNumberFormat="1" applyFont="1" applyFill="1" applyBorder="1" applyAlignment="1">
      <alignment horizontal="center"/>
    </xf>
    <xf numFmtId="1" fontId="9" fillId="3" borderId="37" xfId="0" applyNumberFormat="1" applyFont="1" applyFill="1" applyBorder="1" applyAlignment="1">
      <alignment horizontal="center"/>
    </xf>
    <xf numFmtId="0" fontId="9" fillId="4" borderId="37" xfId="0" applyFont="1" applyFill="1" applyBorder="1" applyAlignment="1">
      <alignment horizontal="center"/>
    </xf>
    <xf numFmtId="0" fontId="9" fillId="3" borderId="37" xfId="0" applyFont="1" applyFill="1" applyBorder="1" applyAlignment="1">
      <alignment horizontal="center"/>
    </xf>
    <xf numFmtId="0" fontId="9" fillId="4" borderId="38" xfId="0" applyFont="1" applyFill="1" applyBorder="1" applyAlignment="1">
      <alignment horizontal="center"/>
    </xf>
    <xf numFmtId="1" fontId="9" fillId="3" borderId="39" xfId="0" applyNumberFormat="1" applyFont="1" applyFill="1" applyBorder="1" applyAlignment="1">
      <alignment horizontal="center"/>
    </xf>
    <xf numFmtId="2" fontId="9" fillId="3" borderId="39" xfId="0" applyNumberFormat="1" applyFont="1" applyFill="1" applyBorder="1" applyAlignment="1">
      <alignment horizontal="center"/>
    </xf>
    <xf numFmtId="164" fontId="9" fillId="3" borderId="39" xfId="0" applyNumberFormat="1" applyFont="1" applyFill="1" applyBorder="1" applyAlignment="1">
      <alignment horizontal="center"/>
    </xf>
    <xf numFmtId="49" fontId="11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 vertical="center"/>
    </xf>
    <xf numFmtId="49" fontId="15" fillId="0" borderId="0" xfId="0" applyNumberFormat="1" applyFont="1" applyAlignment="1">
      <alignment vertical="center"/>
    </xf>
    <xf numFmtId="49" fontId="15" fillId="0" borderId="0" xfId="0" applyNumberFormat="1" applyFont="1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165" fontId="15" fillId="0" borderId="0" xfId="0" applyNumberFormat="1" applyFont="1" applyAlignment="1">
      <alignment horizontal="left" vertical="center"/>
    </xf>
    <xf numFmtId="49" fontId="15" fillId="0" borderId="0" xfId="0" applyNumberFormat="1" applyFont="1" applyAlignment="1">
      <alignment horizontal="center" vertical="center"/>
    </xf>
    <xf numFmtId="49" fontId="15" fillId="0" borderId="0" xfId="0" applyNumberFormat="1" applyFont="1" applyAlignment="1">
      <alignment horizontal="center" vertical="center" wrapText="1"/>
    </xf>
    <xf numFmtId="0" fontId="12" fillId="0" borderId="0" xfId="0" applyFont="1"/>
    <xf numFmtId="49" fontId="14" fillId="0" borderId="0" xfId="0" applyNumberFormat="1" applyFont="1" applyAlignment="1">
      <alignment horizontal="center" vertical="center" wrapText="1"/>
    </xf>
    <xf numFmtId="49" fontId="14" fillId="0" borderId="46" xfId="0" applyNumberFormat="1" applyFont="1" applyBorder="1" applyAlignment="1">
      <alignment horizontal="center"/>
    </xf>
    <xf numFmtId="4" fontId="14" fillId="0" borderId="46" xfId="0" applyNumberFormat="1" applyFont="1" applyBorder="1" applyAlignment="1">
      <alignment horizontal="center"/>
    </xf>
    <xf numFmtId="3" fontId="14" fillId="0" borderId="0" xfId="0" applyNumberFormat="1" applyFont="1" applyAlignment="1">
      <alignment horizontal="center" vertical="center" wrapText="1"/>
    </xf>
    <xf numFmtId="3" fontId="14" fillId="0" borderId="46" xfId="0" applyNumberFormat="1" applyFont="1" applyBorder="1" applyAlignment="1">
      <alignment horizontal="center" vertical="center" wrapText="1"/>
    </xf>
    <xf numFmtId="3" fontId="14" fillId="0" borderId="43" xfId="0" applyNumberFormat="1" applyFont="1" applyBorder="1" applyAlignment="1">
      <alignment horizontal="center" vertical="center" wrapText="1"/>
    </xf>
    <xf numFmtId="4" fontId="14" fillId="0" borderId="50" xfId="0" applyNumberFormat="1" applyFont="1" applyBorder="1" applyAlignment="1">
      <alignment horizontal="center" vertical="center" wrapText="1"/>
    </xf>
    <xf numFmtId="4" fontId="14" fillId="0" borderId="44" xfId="0" applyNumberFormat="1" applyFont="1" applyBorder="1" applyAlignment="1">
      <alignment horizontal="center" vertical="center" wrapText="1"/>
    </xf>
    <xf numFmtId="4" fontId="14" fillId="0" borderId="46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vertical="center" wrapText="1"/>
    </xf>
    <xf numFmtId="49" fontId="14" fillId="0" borderId="50" xfId="0" applyNumberFormat="1" applyFont="1" applyBorder="1" applyAlignment="1">
      <alignment horizontal="center"/>
    </xf>
    <xf numFmtId="4" fontId="14" fillId="0" borderId="49" xfId="0" applyNumberFormat="1" applyFont="1" applyBorder="1" applyAlignment="1">
      <alignment horizontal="center"/>
    </xf>
    <xf numFmtId="3" fontId="14" fillId="0" borderId="49" xfId="0" applyNumberFormat="1" applyFont="1" applyBorder="1" applyAlignment="1">
      <alignment horizontal="center" vertical="center" wrapText="1"/>
    </xf>
    <xf numFmtId="4" fontId="14" fillId="0" borderId="0" xfId="0" applyNumberFormat="1" applyFont="1" applyAlignment="1">
      <alignment horizontal="center" vertical="center" wrapText="1"/>
    </xf>
    <xf numFmtId="4" fontId="14" fillId="0" borderId="49" xfId="0" applyNumberFormat="1" applyFont="1" applyBorder="1" applyAlignment="1">
      <alignment horizontal="center" vertical="center" wrapText="1"/>
    </xf>
    <xf numFmtId="0" fontId="14" fillId="0" borderId="50" xfId="0" applyFont="1" applyBorder="1" applyAlignment="1">
      <alignment horizontal="center"/>
    </xf>
    <xf numFmtId="0" fontId="14" fillId="0" borderId="52" xfId="0" applyFont="1" applyBorder="1" applyAlignment="1">
      <alignment horizontal="center"/>
    </xf>
    <xf numFmtId="4" fontId="14" fillId="0" borderId="52" xfId="0" applyNumberFormat="1" applyFont="1" applyBorder="1" applyAlignment="1">
      <alignment horizontal="center"/>
    </xf>
    <xf numFmtId="4" fontId="14" fillId="0" borderId="42" xfId="0" applyNumberFormat="1" applyFont="1" applyBorder="1" applyAlignment="1">
      <alignment horizontal="center" vertical="center" wrapText="1"/>
    </xf>
    <xf numFmtId="4" fontId="14" fillId="0" borderId="52" xfId="0" applyNumberFormat="1" applyFont="1" applyBorder="1" applyAlignment="1">
      <alignment horizontal="center" vertical="center" wrapText="1"/>
    </xf>
    <xf numFmtId="4" fontId="14" fillId="0" borderId="47" xfId="0" applyNumberFormat="1" applyFont="1" applyBorder="1" applyAlignment="1">
      <alignment horizontal="center" vertical="center" wrapText="1"/>
    </xf>
    <xf numFmtId="4" fontId="14" fillId="0" borderId="48" xfId="0" applyNumberFormat="1" applyFont="1" applyBorder="1" applyAlignment="1">
      <alignment horizontal="center" vertical="center" wrapText="1"/>
    </xf>
    <xf numFmtId="49" fontId="14" fillId="0" borderId="50" xfId="0" applyNumberFormat="1" applyFont="1" applyBorder="1" applyAlignment="1">
      <alignment horizontal="center" vertical="center" wrapText="1"/>
    </xf>
    <xf numFmtId="166" fontId="14" fillId="0" borderId="49" xfId="0" applyNumberFormat="1" applyFont="1" applyBorder="1" applyAlignment="1">
      <alignment horizontal="center" vertical="center" wrapText="1"/>
    </xf>
    <xf numFmtId="166" fontId="14" fillId="0" borderId="0" xfId="0" applyNumberFormat="1" applyFont="1" applyAlignment="1">
      <alignment horizontal="center" vertical="center" wrapText="1"/>
    </xf>
    <xf numFmtId="3" fontId="14" fillId="0" borderId="51" xfId="0" applyNumberFormat="1" applyFont="1" applyBorder="1" applyAlignment="1">
      <alignment horizontal="center" vertical="center" wrapText="1"/>
    </xf>
    <xf numFmtId="0" fontId="14" fillId="0" borderId="50" xfId="0" applyFont="1" applyBorder="1" applyAlignment="1">
      <alignment horizontal="center" vertical="center" wrapText="1"/>
    </xf>
    <xf numFmtId="0" fontId="14" fillId="0" borderId="47" xfId="0" applyFont="1" applyBorder="1" applyAlignment="1">
      <alignment horizontal="center" vertical="center" wrapText="1"/>
    </xf>
    <xf numFmtId="3" fontId="14" fillId="0" borderId="52" xfId="0" applyNumberFormat="1" applyFont="1" applyBorder="1" applyAlignment="1">
      <alignment horizontal="center" vertical="center" wrapText="1"/>
    </xf>
    <xf numFmtId="49" fontId="14" fillId="0" borderId="0" xfId="0" applyNumberFormat="1" applyFont="1" applyAlignment="1">
      <alignment horizontal="left" vertical="center"/>
    </xf>
    <xf numFmtId="49" fontId="14" fillId="0" borderId="0" xfId="0" applyNumberFormat="1" applyFont="1" applyAlignment="1">
      <alignment horizontal="center" vertical="center"/>
    </xf>
    <xf numFmtId="0" fontId="14" fillId="0" borderId="49" xfId="0" applyFont="1" applyBorder="1" applyAlignment="1">
      <alignment horizontal="center"/>
    </xf>
    <xf numFmtId="166" fontId="12" fillId="0" borderId="0" xfId="0" applyNumberFormat="1" applyFont="1" applyAlignment="1">
      <alignment horizontal="center" vertical="center" wrapText="1"/>
    </xf>
    <xf numFmtId="49" fontId="14" fillId="0" borderId="49" xfId="0" applyNumberFormat="1" applyFont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8" fillId="0" borderId="26" xfId="0" applyFont="1" applyBorder="1"/>
    <xf numFmtId="164" fontId="9" fillId="3" borderId="40" xfId="0" applyNumberFormat="1" applyFont="1" applyFill="1" applyBorder="1" applyAlignment="1">
      <alignment horizontal="center"/>
    </xf>
    <xf numFmtId="0" fontId="8" fillId="0" borderId="41" xfId="0" applyFont="1" applyBorder="1"/>
    <xf numFmtId="0" fontId="7" fillId="2" borderId="2" xfId="0" applyFont="1" applyFill="1" applyBorder="1" applyAlignment="1">
      <alignment horizontal="center"/>
    </xf>
    <xf numFmtId="0" fontId="8" fillId="0" borderId="4" xfId="0" applyFont="1" applyBorder="1"/>
    <xf numFmtId="0" fontId="10" fillId="2" borderId="33" xfId="0" applyFont="1" applyFill="1" applyBorder="1" applyAlignment="1">
      <alignment horizontal="center"/>
    </xf>
    <xf numFmtId="0" fontId="8" fillId="0" borderId="34" xfId="0" applyFont="1" applyBorder="1"/>
    <xf numFmtId="0" fontId="3" fillId="0" borderId="0" xfId="0" applyFont="1" applyAlignment="1">
      <alignment horizontal="center"/>
    </xf>
    <xf numFmtId="0" fontId="0" fillId="0" borderId="0" xfId="0" applyFont="1" applyAlignment="1"/>
    <xf numFmtId="0" fontId="8" fillId="0" borderId="3" xfId="0" applyFont="1" applyBorder="1"/>
    <xf numFmtId="0" fontId="7" fillId="2" borderId="7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 vertical="center"/>
    </xf>
    <xf numFmtId="0" fontId="8" fillId="0" borderId="11" xfId="0" applyFont="1" applyBorder="1"/>
    <xf numFmtId="0" fontId="8" fillId="0" borderId="12" xfId="0" applyFont="1" applyBorder="1"/>
    <xf numFmtId="0" fontId="8" fillId="0" borderId="24" xfId="0" applyFont="1" applyBorder="1"/>
    <xf numFmtId="0" fontId="8" fillId="0" borderId="1" xfId="0" applyFont="1" applyBorder="1"/>
    <xf numFmtId="0" fontId="8" fillId="0" borderId="25" xfId="0" applyFont="1" applyBorder="1"/>
    <xf numFmtId="0" fontId="10" fillId="2" borderId="2" xfId="0" applyFont="1" applyFill="1" applyBorder="1" applyAlignment="1">
      <alignment horizontal="center"/>
    </xf>
    <xf numFmtId="49" fontId="11" fillId="0" borderId="0" xfId="0" applyNumberFormat="1" applyFont="1" applyAlignment="1">
      <alignment horizontal="center" vertical="center" wrapText="1"/>
    </xf>
    <xf numFmtId="49" fontId="15" fillId="0" borderId="0" xfId="0" applyNumberFormat="1" applyFont="1" applyAlignment="1">
      <alignment vertical="center" wrapText="1"/>
    </xf>
    <xf numFmtId="49" fontId="15" fillId="0" borderId="0" xfId="0" applyNumberFormat="1" applyFont="1" applyAlignment="1">
      <alignment horizontal="center" vertical="center" wrapText="1"/>
    </xf>
    <xf numFmtId="49" fontId="14" fillId="0" borderId="46" xfId="0" applyNumberFormat="1" applyFont="1" applyBorder="1" applyAlignment="1">
      <alignment horizontal="center" vertical="center" wrapText="1"/>
    </xf>
    <xf numFmtId="0" fontId="8" fillId="0" borderId="49" xfId="0" applyFont="1" applyBorder="1"/>
    <xf numFmtId="0" fontId="8" fillId="0" borderId="52" xfId="0" applyFont="1" applyBorder="1"/>
    <xf numFmtId="49" fontId="14" fillId="0" borderId="45" xfId="0" applyNumberFormat="1" applyFont="1" applyBorder="1" applyAlignment="1">
      <alignment horizontal="center" vertical="center" wrapText="1"/>
    </xf>
    <xf numFmtId="0" fontId="8" fillId="0" borderId="44" xfId="0" applyFont="1" applyBorder="1"/>
    <xf numFmtId="0" fontId="8" fillId="0" borderId="42" xfId="0" applyFont="1" applyBorder="1"/>
    <xf numFmtId="0" fontId="8" fillId="0" borderId="48" xfId="0" applyFont="1" applyBorder="1"/>
    <xf numFmtId="49" fontId="14" fillId="0" borderId="44" xfId="0" applyNumberFormat="1" applyFont="1" applyBorder="1" applyAlignment="1">
      <alignment horizontal="center" vertical="center" wrapText="1"/>
    </xf>
    <xf numFmtId="0" fontId="8" fillId="0" borderId="51" xfId="0" applyFont="1" applyBorder="1"/>
    <xf numFmtId="3" fontId="14" fillId="0" borderId="50" xfId="0" applyNumberFormat="1" applyFont="1" applyBorder="1" applyAlignment="1">
      <alignment horizontal="center" vertical="center" wrapText="1"/>
    </xf>
    <xf numFmtId="3" fontId="14" fillId="0" borderId="47" xfId="0" applyNumberFormat="1" applyFont="1" applyBorder="1" applyAlignment="1">
      <alignment horizontal="center" vertical="center" wrapText="1"/>
    </xf>
    <xf numFmtId="49" fontId="15" fillId="0" borderId="42" xfId="0" applyNumberFormat="1" applyFont="1" applyBorder="1" applyAlignment="1">
      <alignment horizontal="center" vertical="center"/>
    </xf>
    <xf numFmtId="49" fontId="14" fillId="0" borderId="43" xfId="0" applyNumberFormat="1" applyFont="1" applyBorder="1" applyAlignment="1">
      <alignment horizontal="center" vertical="center" wrapText="1"/>
    </xf>
    <xf numFmtId="0" fontId="8" fillId="0" borderId="50" xfId="0" applyFont="1" applyBorder="1"/>
    <xf numFmtId="0" fontId="8" fillId="0" borderId="47" xfId="0" applyFont="1" applyBorder="1"/>
    <xf numFmtId="3" fontId="14" fillId="0" borderId="43" xfId="0" applyNumberFormat="1" applyFont="1" applyBorder="1" applyAlignment="1">
      <alignment horizontal="center" vertical="center" wrapText="1"/>
    </xf>
    <xf numFmtId="166" fontId="14" fillId="0" borderId="50" xfId="0" applyNumberFormat="1" applyFont="1" applyBorder="1" applyAlignment="1">
      <alignment horizontal="center" vertical="center" wrapText="1"/>
    </xf>
    <xf numFmtId="0" fontId="8" fillId="0" borderId="45" xfId="0" applyFont="1" applyBorder="1"/>
    <xf numFmtId="4" fontId="14" fillId="0" borderId="0" xfId="0" applyNumberFormat="1" applyFont="1" applyAlignment="1">
      <alignment horizontal="center" vertical="center" wrapText="1"/>
    </xf>
    <xf numFmtId="4" fontId="14" fillId="0" borderId="47" xfId="0" applyNumberFormat="1" applyFont="1" applyBorder="1" applyAlignment="1">
      <alignment horizontal="center" vertical="center" wrapText="1"/>
    </xf>
    <xf numFmtId="4" fontId="14" fillId="0" borderId="50" xfId="0" applyNumberFormat="1" applyFont="1" applyBorder="1" applyAlignment="1">
      <alignment horizontal="center" vertical="center" wrapText="1"/>
    </xf>
    <xf numFmtId="4" fontId="14" fillId="0" borderId="46" xfId="0" applyNumberFormat="1" applyFont="1" applyBorder="1" applyAlignment="1">
      <alignment horizontal="center" vertical="center" wrapText="1"/>
    </xf>
    <xf numFmtId="4" fontId="14" fillId="0" borderId="43" xfId="0" applyNumberFormat="1" applyFont="1" applyBorder="1" applyAlignment="1">
      <alignment horizontal="center" vertical="center" wrapText="1"/>
    </xf>
    <xf numFmtId="3" fontId="14" fillId="0" borderId="50" xfId="0" applyNumberFormat="1" applyFont="1" applyBorder="1" applyAlignment="1">
      <alignment horizontal="center" vertical="center"/>
    </xf>
    <xf numFmtId="4" fontId="14" fillId="0" borderId="43" xfId="0" applyNumberFormat="1" applyFont="1" applyBorder="1" applyAlignment="1">
      <alignment horizontal="center" vertical="top" wrapText="1"/>
    </xf>
    <xf numFmtId="4" fontId="14" fillId="0" borderId="53" xfId="0" applyNumberFormat="1" applyFont="1" applyBorder="1" applyAlignment="1">
      <alignment horizontal="center" vertical="center" wrapText="1"/>
    </xf>
    <xf numFmtId="0" fontId="8" fillId="0" borderId="55" xfId="0" applyFont="1" applyBorder="1"/>
    <xf numFmtId="0" fontId="8" fillId="0" borderId="54" xfId="0" applyFont="1" applyBorder="1"/>
    <xf numFmtId="49" fontId="14" fillId="0" borderId="0" xfId="0" applyNumberFormat="1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49" fontId="14" fillId="0" borderId="49" xfId="0" applyNumberFormat="1" applyFont="1" applyBorder="1" applyAlignment="1">
      <alignment horizontal="center" vertical="center" wrapText="1"/>
    </xf>
    <xf numFmtId="4" fontId="18" fillId="0" borderId="49" xfId="0" applyNumberFormat="1" applyFont="1" applyBorder="1" applyAlignment="1">
      <alignment horizontal="center" vertical="center" wrapText="1"/>
    </xf>
    <xf numFmtId="4" fontId="19" fillId="0" borderId="46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24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209550</xdr:colOff>
      <xdr:row>0</xdr:row>
      <xdr:rowOff>180975</xdr:rowOff>
    </xdr:from>
    <xdr:ext cx="1514475" cy="666750"/>
    <xdr:pic>
      <xdr:nvPicPr>
        <xdr:cNvPr id="2" name="image2.jpg" descr="Marca_Sintese-300dpi" title="Imagem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142875</xdr:colOff>
      <xdr:row>1</xdr:row>
      <xdr:rowOff>95250</xdr:rowOff>
    </xdr:from>
    <xdr:ext cx="2276475" cy="628650"/>
    <xdr:pic>
      <xdr:nvPicPr>
        <xdr:cNvPr id="3" name="image1.png" title="Imagem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27</xdr:col>
      <xdr:colOff>66675</xdr:colOff>
      <xdr:row>0</xdr:row>
      <xdr:rowOff>180975</xdr:rowOff>
    </xdr:from>
    <xdr:ext cx="1514475" cy="666750"/>
    <xdr:pic>
      <xdr:nvPicPr>
        <xdr:cNvPr id="4" name="image2.jpg" descr="Marca_Sintese-300dpi" title="Imagem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19050</xdr:colOff>
      <xdr:row>0</xdr:row>
      <xdr:rowOff>161925</xdr:rowOff>
    </xdr:from>
    <xdr:ext cx="2276475" cy="628650"/>
    <xdr:pic>
      <xdr:nvPicPr>
        <xdr:cNvPr id="5" name="image1.png" title="Imagem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000"/>
  <sheetViews>
    <sheetView tabSelected="1" workbookViewId="0">
      <pane xSplit="10" ySplit="15" topLeftCell="K16" activePane="bottomRight" state="frozen"/>
      <selection pane="topRight" activeCell="K1" sqref="K1"/>
      <selection pane="bottomLeft" activeCell="A16" sqref="A16"/>
      <selection pane="bottomRight" activeCell="G14" sqref="G14:G28"/>
    </sheetView>
  </sheetViews>
  <sheetFormatPr defaultColWidth="14.44140625" defaultRowHeight="15" customHeight="1" x14ac:dyDescent="0.3"/>
  <cols>
    <col min="1" max="1" width="3.33203125" customWidth="1"/>
    <col min="2" max="3" width="5" customWidth="1"/>
    <col min="4" max="4" width="7.88671875" customWidth="1"/>
    <col min="5" max="6" width="3.33203125" customWidth="1"/>
    <col min="7" max="7" width="24" customWidth="1"/>
    <col min="8" max="8" width="8.5546875" customWidth="1"/>
    <col min="9" max="10" width="5.88671875" customWidth="1"/>
    <col min="11" max="11" width="7.44140625" customWidth="1"/>
    <col min="12" max="12" width="9.44140625" customWidth="1"/>
    <col min="13" max="13" width="10.88671875" customWidth="1"/>
    <col min="14" max="14" width="8.44140625" customWidth="1"/>
    <col min="15" max="15" width="7.6640625" customWidth="1"/>
    <col min="16" max="16" width="7" customWidth="1"/>
    <col min="17" max="20" width="5.88671875" customWidth="1"/>
    <col min="21" max="21" width="6.6640625" customWidth="1"/>
    <col min="22" max="23" width="5" customWidth="1"/>
    <col min="24" max="24" width="6.33203125" customWidth="1"/>
    <col min="25" max="25" width="6.6640625" customWidth="1"/>
    <col min="26" max="26" width="6.88671875" customWidth="1"/>
    <col min="27" max="27" width="7" customWidth="1"/>
    <col min="28" max="28" width="6.5546875" customWidth="1"/>
    <col min="29" max="29" width="5" customWidth="1"/>
    <col min="30" max="30" width="6.44140625" customWidth="1"/>
    <col min="31" max="31" width="7.44140625" customWidth="1"/>
    <col min="32" max="32" width="5" customWidth="1"/>
    <col min="33" max="33" width="22" customWidth="1"/>
    <col min="34" max="36" width="12.5546875" customWidth="1"/>
  </cols>
  <sheetData>
    <row r="1" spans="1:36" ht="15.7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2"/>
      <c r="AJ1" s="2"/>
    </row>
    <row r="2" spans="1:36" ht="15.7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2"/>
      <c r="AJ2" s="2"/>
    </row>
    <row r="3" spans="1:36" ht="15.7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2"/>
      <c r="AJ3" s="2"/>
    </row>
    <row r="4" spans="1:36" ht="15.75" customHeight="1" x14ac:dyDescent="0.4">
      <c r="A4" s="1"/>
      <c r="B4" s="1"/>
      <c r="C4" s="1"/>
      <c r="D4" s="1"/>
      <c r="E4" s="1"/>
      <c r="F4" s="1"/>
      <c r="G4" s="2"/>
      <c r="H4" s="2"/>
      <c r="I4" s="2"/>
      <c r="J4" s="2"/>
      <c r="K4" s="2"/>
      <c r="L4" s="2"/>
      <c r="M4" s="3"/>
      <c r="N4" s="3"/>
      <c r="O4" s="4"/>
      <c r="P4" s="1"/>
      <c r="Q4" s="1"/>
      <c r="R4" s="1"/>
      <c r="S4" s="1"/>
      <c r="T4" s="1"/>
      <c r="U4" s="1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1"/>
      <c r="AH4" s="1"/>
      <c r="AI4" s="2"/>
      <c r="AJ4" s="2"/>
    </row>
    <row r="5" spans="1:36" ht="15.7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2"/>
      <c r="AJ5" s="2"/>
    </row>
    <row r="6" spans="1:36" ht="15" customHeight="1" x14ac:dyDescent="0.3">
      <c r="A6" s="2"/>
      <c r="B6" s="6"/>
      <c r="C6" s="6"/>
      <c r="D6" s="6"/>
      <c r="E6" s="2"/>
      <c r="F6" s="7" t="s">
        <v>0</v>
      </c>
      <c r="G6" s="8" t="s">
        <v>1</v>
      </c>
      <c r="H6" s="6"/>
      <c r="I6" s="6"/>
      <c r="J6" s="6"/>
      <c r="K6" s="6"/>
      <c r="L6" s="6"/>
      <c r="M6" s="6"/>
      <c r="N6" s="6"/>
      <c r="O6" s="6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2"/>
      <c r="AB6" s="6"/>
      <c r="AC6" s="6"/>
      <c r="AD6" s="6"/>
      <c r="AE6" s="2"/>
      <c r="AF6" s="7" t="s">
        <v>0</v>
      </c>
      <c r="AG6" s="8" t="str">
        <f t="shared" ref="AG6:AG11" si="0">G6</f>
        <v>G. Donagemma - Proj. Filtros</v>
      </c>
      <c r="AH6" s="6"/>
      <c r="AI6" s="6"/>
      <c r="AJ6" s="6"/>
    </row>
    <row r="7" spans="1:36" ht="15" customHeight="1" x14ac:dyDescent="0.3">
      <c r="A7" s="2"/>
      <c r="B7" s="6"/>
      <c r="C7" s="6"/>
      <c r="D7" s="6"/>
      <c r="E7" s="2"/>
      <c r="F7" s="7" t="s">
        <v>2</v>
      </c>
      <c r="G7" s="6" t="s">
        <v>3</v>
      </c>
      <c r="H7" s="6"/>
      <c r="I7" s="6"/>
      <c r="J7" s="6"/>
      <c r="K7" s="6"/>
      <c r="L7" s="6"/>
      <c r="M7" s="6"/>
      <c r="N7" s="6"/>
      <c r="O7" s="6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2"/>
      <c r="AB7" s="6"/>
      <c r="AC7" s="6"/>
      <c r="AD7" s="6"/>
      <c r="AE7" s="2"/>
      <c r="AF7" s="7" t="s">
        <v>2</v>
      </c>
      <c r="AG7" s="8" t="str">
        <f t="shared" si="0"/>
        <v>26.16.05.003.00.04.002</v>
      </c>
      <c r="AH7" s="6"/>
      <c r="AI7" s="6"/>
      <c r="AJ7" s="6"/>
    </row>
    <row r="8" spans="1:36" ht="15.75" customHeight="1" x14ac:dyDescent="0.3">
      <c r="A8" s="2"/>
      <c r="B8" s="6"/>
      <c r="C8" s="6"/>
      <c r="D8" s="6"/>
      <c r="E8" s="2"/>
      <c r="F8" s="7" t="s">
        <v>4</v>
      </c>
      <c r="G8" s="6" t="s">
        <v>5</v>
      </c>
      <c r="H8" s="6"/>
      <c r="I8" s="6"/>
      <c r="J8" s="6"/>
      <c r="K8" s="6"/>
      <c r="L8" s="6"/>
      <c r="M8" s="6"/>
      <c r="N8" s="6"/>
      <c r="O8" s="6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2"/>
      <c r="AB8" s="6"/>
      <c r="AC8" s="6"/>
      <c r="AD8" s="6"/>
      <c r="AE8" s="2"/>
      <c r="AF8" s="7" t="s">
        <v>4</v>
      </c>
      <c r="AG8" s="8" t="str">
        <f t="shared" si="0"/>
        <v>Cachoeiras de Macacu / RJ</v>
      </c>
      <c r="AH8" s="6"/>
      <c r="AI8" s="6"/>
      <c r="AJ8" s="6"/>
    </row>
    <row r="9" spans="1:36" ht="15.75" customHeight="1" x14ac:dyDescent="0.3">
      <c r="A9" s="2"/>
      <c r="B9" s="6"/>
      <c r="C9" s="6"/>
      <c r="D9" s="6"/>
      <c r="E9" s="2"/>
      <c r="F9" s="7" t="s">
        <v>6</v>
      </c>
      <c r="G9" s="9" t="s">
        <v>7</v>
      </c>
      <c r="H9" s="6"/>
      <c r="I9" s="10"/>
      <c r="J9" s="10"/>
      <c r="K9" s="10"/>
      <c r="L9" s="10"/>
      <c r="M9" s="10"/>
      <c r="N9" s="10"/>
      <c r="O9" s="10"/>
      <c r="P9" s="1"/>
      <c r="Q9" s="1"/>
      <c r="R9" s="1"/>
      <c r="S9" s="1"/>
      <c r="T9" s="1"/>
      <c r="U9" s="1"/>
      <c r="V9" s="1"/>
      <c r="W9" s="11"/>
      <c r="X9" s="11"/>
      <c r="Y9" s="11"/>
      <c r="Z9" s="11"/>
      <c r="AA9" s="2"/>
      <c r="AB9" s="6"/>
      <c r="AC9" s="6"/>
      <c r="AD9" s="6"/>
      <c r="AE9" s="2"/>
      <c r="AF9" s="7" t="s">
        <v>6</v>
      </c>
      <c r="AG9" s="8" t="str">
        <f t="shared" si="0"/>
        <v>013/2022</v>
      </c>
      <c r="AH9" s="6"/>
      <c r="AI9" s="10"/>
      <c r="AJ9" s="10"/>
    </row>
    <row r="10" spans="1:36" ht="15.75" customHeight="1" x14ac:dyDescent="0.3">
      <c r="A10" s="2"/>
      <c r="B10" s="6"/>
      <c r="C10" s="6"/>
      <c r="D10" s="6"/>
      <c r="E10" s="2"/>
      <c r="F10" s="7" t="s">
        <v>8</v>
      </c>
      <c r="G10" s="12">
        <v>44663</v>
      </c>
      <c r="H10" s="12"/>
      <c r="I10" s="12"/>
      <c r="J10" s="12"/>
      <c r="K10" s="12"/>
      <c r="L10" s="12"/>
      <c r="M10" s="12"/>
      <c r="N10" s="12"/>
      <c r="O10" s="12"/>
      <c r="P10" s="1"/>
      <c r="Q10" s="1"/>
      <c r="R10" s="1"/>
      <c r="S10" s="1"/>
      <c r="T10" s="1"/>
      <c r="U10" s="1"/>
      <c r="V10" s="1"/>
      <c r="W10" s="13"/>
      <c r="X10" s="13"/>
      <c r="Y10" s="13"/>
      <c r="Z10" s="13"/>
      <c r="AA10" s="2"/>
      <c r="AB10" s="6"/>
      <c r="AC10" s="6"/>
      <c r="AD10" s="6"/>
      <c r="AE10" s="2"/>
      <c r="AF10" s="7" t="s">
        <v>8</v>
      </c>
      <c r="AG10" s="12">
        <f t="shared" si="0"/>
        <v>44663</v>
      </c>
      <c r="AH10" s="12"/>
      <c r="AI10" s="12"/>
      <c r="AJ10" s="12"/>
    </row>
    <row r="11" spans="1:36" ht="15.75" customHeight="1" x14ac:dyDescent="0.3">
      <c r="A11" s="2"/>
      <c r="B11" s="6"/>
      <c r="C11" s="6"/>
      <c r="D11" s="6"/>
      <c r="E11" s="2"/>
      <c r="F11" s="7" t="s">
        <v>9</v>
      </c>
      <c r="G11" s="12">
        <v>44690</v>
      </c>
      <c r="H11" s="10"/>
      <c r="I11" s="10"/>
      <c r="J11" s="10"/>
      <c r="K11" s="10"/>
      <c r="L11" s="10"/>
      <c r="M11" s="10"/>
      <c r="N11" s="10"/>
      <c r="O11" s="10"/>
      <c r="P11" s="1"/>
      <c r="Q11" s="1"/>
      <c r="R11" s="1"/>
      <c r="S11" s="1"/>
      <c r="T11" s="1"/>
      <c r="U11" s="1"/>
      <c r="V11" s="1"/>
      <c r="W11" s="11"/>
      <c r="X11" s="11"/>
      <c r="Y11" s="11"/>
      <c r="Z11" s="11"/>
      <c r="AA11" s="2"/>
      <c r="AB11" s="6"/>
      <c r="AC11" s="6"/>
      <c r="AD11" s="6"/>
      <c r="AE11" s="2"/>
      <c r="AF11" s="7" t="s">
        <v>9</v>
      </c>
      <c r="AG11" s="12">
        <f t="shared" si="0"/>
        <v>44690</v>
      </c>
      <c r="AH11" s="10"/>
      <c r="AI11" s="10"/>
      <c r="AJ11" s="10"/>
    </row>
    <row r="12" spans="1:36" ht="15.75" customHeight="1" x14ac:dyDescent="0.4">
      <c r="A12" s="107" t="s">
        <v>10</v>
      </c>
      <c r="B12" s="108"/>
      <c r="C12" s="108"/>
      <c r="D12" s="108"/>
      <c r="E12" s="108"/>
      <c r="F12" s="108"/>
      <c r="G12" s="108"/>
      <c r="H12" s="108"/>
      <c r="I12" s="108"/>
      <c r="J12" s="108"/>
      <c r="K12" s="10"/>
      <c r="L12" s="10"/>
      <c r="M12" s="10"/>
      <c r="N12" s="10"/>
      <c r="O12" s="10"/>
      <c r="P12" s="1"/>
      <c r="Q12" s="1"/>
      <c r="R12" s="1"/>
      <c r="S12" s="1"/>
      <c r="T12" s="1"/>
      <c r="U12" s="1"/>
      <c r="V12" s="1"/>
      <c r="W12" s="11"/>
      <c r="X12" s="11"/>
      <c r="Y12" s="11"/>
      <c r="Z12" s="11"/>
      <c r="AA12" s="107" t="s">
        <v>10</v>
      </c>
      <c r="AB12" s="108"/>
      <c r="AC12" s="108"/>
      <c r="AD12" s="108"/>
      <c r="AE12" s="108"/>
      <c r="AF12" s="108"/>
      <c r="AG12" s="108"/>
      <c r="AH12" s="108"/>
      <c r="AI12" s="108"/>
      <c r="AJ12" s="108"/>
    </row>
    <row r="13" spans="1:36" ht="1.5" customHeight="1" x14ac:dyDescent="0.3">
      <c r="A13" s="1"/>
      <c r="B13" s="1"/>
      <c r="C13" s="1"/>
      <c r="D13" s="1"/>
      <c r="E13" s="1"/>
      <c r="F13" s="1"/>
      <c r="G13" s="14"/>
      <c r="H13" s="14"/>
      <c r="I13" s="14"/>
      <c r="J13" s="14"/>
      <c r="K13" s="103" t="s">
        <v>11</v>
      </c>
      <c r="L13" s="109"/>
      <c r="M13" s="109"/>
      <c r="N13" s="104"/>
      <c r="O13" s="15" t="s">
        <v>12</v>
      </c>
      <c r="P13" s="16"/>
      <c r="Q13" s="110" t="s">
        <v>13</v>
      </c>
      <c r="R13" s="109"/>
      <c r="S13" s="109"/>
      <c r="T13" s="109"/>
      <c r="U13" s="109"/>
      <c r="V13" s="109"/>
      <c r="W13" s="109"/>
      <c r="X13" s="104"/>
      <c r="Y13" s="17"/>
      <c r="Z13" s="18" t="s">
        <v>14</v>
      </c>
      <c r="AA13" s="17"/>
      <c r="AB13" s="103" t="s">
        <v>15</v>
      </c>
      <c r="AC13" s="104"/>
      <c r="AD13" s="19"/>
      <c r="AE13" s="103" t="s">
        <v>16</v>
      </c>
      <c r="AF13" s="104"/>
      <c r="AG13" s="20" t="s">
        <v>17</v>
      </c>
      <c r="AH13" s="18"/>
      <c r="AI13" s="2"/>
      <c r="AJ13" s="2"/>
    </row>
    <row r="14" spans="1:36" ht="16.5" customHeight="1" x14ac:dyDescent="0.3">
      <c r="A14" s="111" t="s">
        <v>18</v>
      </c>
      <c r="B14" s="112"/>
      <c r="C14" s="112"/>
      <c r="D14" s="112"/>
      <c r="E14" s="112"/>
      <c r="F14" s="113"/>
      <c r="G14" s="99" t="s">
        <v>19</v>
      </c>
      <c r="H14" s="99" t="s">
        <v>20</v>
      </c>
      <c r="I14" s="21" t="s">
        <v>21</v>
      </c>
      <c r="J14" s="21" t="s">
        <v>21</v>
      </c>
      <c r="K14" s="22" t="s">
        <v>22</v>
      </c>
      <c r="L14" s="23" t="s">
        <v>23</v>
      </c>
      <c r="M14" s="23" t="s">
        <v>24</v>
      </c>
      <c r="N14" s="24" t="s">
        <v>25</v>
      </c>
      <c r="O14" s="25" t="s">
        <v>26</v>
      </c>
      <c r="P14" s="26" t="s">
        <v>27</v>
      </c>
      <c r="Q14" s="21" t="s">
        <v>28</v>
      </c>
      <c r="R14" s="21" t="s">
        <v>29</v>
      </c>
      <c r="S14" s="27" t="s">
        <v>30</v>
      </c>
      <c r="T14" s="16" t="s">
        <v>31</v>
      </c>
      <c r="U14" s="16" t="s">
        <v>32</v>
      </c>
      <c r="V14" s="21" t="s">
        <v>33</v>
      </c>
      <c r="W14" s="16" t="s">
        <v>34</v>
      </c>
      <c r="X14" s="27" t="s">
        <v>35</v>
      </c>
      <c r="Y14" s="28" t="s">
        <v>36</v>
      </c>
      <c r="Z14" s="28" t="s">
        <v>37</v>
      </c>
      <c r="AA14" s="28" t="s">
        <v>38</v>
      </c>
      <c r="AB14" s="29" t="s">
        <v>39</v>
      </c>
      <c r="AC14" s="30" t="s">
        <v>40</v>
      </c>
      <c r="AD14" s="21" t="s">
        <v>41</v>
      </c>
      <c r="AE14" s="29" t="s">
        <v>42</v>
      </c>
      <c r="AF14" s="31" t="s">
        <v>40</v>
      </c>
      <c r="AG14" s="32" t="s">
        <v>43</v>
      </c>
      <c r="AH14" s="26" t="s">
        <v>44</v>
      </c>
      <c r="AI14" s="2"/>
      <c r="AJ14" s="2"/>
    </row>
    <row r="15" spans="1:36" ht="15.75" customHeight="1" x14ac:dyDescent="0.3">
      <c r="A15" s="114"/>
      <c r="B15" s="115"/>
      <c r="C15" s="115"/>
      <c r="D15" s="115"/>
      <c r="E15" s="115"/>
      <c r="F15" s="116"/>
      <c r="G15" s="100"/>
      <c r="H15" s="100"/>
      <c r="I15" s="26" t="s">
        <v>45</v>
      </c>
      <c r="J15" s="26" t="s">
        <v>46</v>
      </c>
      <c r="K15" s="33" t="s">
        <v>47</v>
      </c>
      <c r="L15" s="34" t="s">
        <v>48</v>
      </c>
      <c r="M15" s="34" t="s">
        <v>49</v>
      </c>
      <c r="N15" s="35" t="s">
        <v>50</v>
      </c>
      <c r="O15" s="36"/>
      <c r="P15" s="37" t="s">
        <v>51</v>
      </c>
      <c r="Q15" s="117" t="s">
        <v>52</v>
      </c>
      <c r="R15" s="109"/>
      <c r="S15" s="109"/>
      <c r="T15" s="109"/>
      <c r="U15" s="109"/>
      <c r="V15" s="109"/>
      <c r="W15" s="109"/>
      <c r="X15" s="104"/>
      <c r="Y15" s="38" t="s">
        <v>53</v>
      </c>
      <c r="Z15" s="38" t="s">
        <v>54</v>
      </c>
      <c r="AA15" s="38" t="s">
        <v>55</v>
      </c>
      <c r="AB15" s="105" t="s">
        <v>56</v>
      </c>
      <c r="AC15" s="106"/>
      <c r="AD15" s="39"/>
      <c r="AE15" s="105" t="s">
        <v>53</v>
      </c>
      <c r="AF15" s="106"/>
      <c r="AG15" s="40"/>
      <c r="AH15" s="37"/>
      <c r="AI15" s="2"/>
      <c r="AJ15" s="2"/>
    </row>
    <row r="16" spans="1:36" ht="15.75" customHeight="1" x14ac:dyDescent="0.3">
      <c r="A16" s="41">
        <v>2</v>
      </c>
      <c r="B16" s="42" t="s">
        <v>57</v>
      </c>
      <c r="C16" s="42">
        <v>2022</v>
      </c>
      <c r="D16" s="42" t="s">
        <v>58</v>
      </c>
      <c r="E16" s="42">
        <v>1</v>
      </c>
      <c r="F16" s="42">
        <v>12</v>
      </c>
      <c r="G16" s="43" t="s">
        <v>59</v>
      </c>
      <c r="H16" s="44" t="s">
        <v>60</v>
      </c>
      <c r="I16" s="43">
        <v>0</v>
      </c>
      <c r="J16" s="45">
        <v>20</v>
      </c>
      <c r="K16" s="46">
        <v>53</v>
      </c>
      <c r="L16" s="46">
        <v>44</v>
      </c>
      <c r="M16" s="46">
        <v>219</v>
      </c>
      <c r="N16" s="46">
        <v>684</v>
      </c>
      <c r="O16" s="47">
        <v>0.32017543859649122</v>
      </c>
      <c r="P16" s="48">
        <v>4.0999999999999996</v>
      </c>
      <c r="Q16" s="101">
        <v>0.6</v>
      </c>
      <c r="R16" s="102"/>
      <c r="S16" s="47">
        <v>0.08</v>
      </c>
      <c r="T16" s="47">
        <v>0.02</v>
      </c>
      <c r="U16" s="48">
        <v>0.7</v>
      </c>
      <c r="V16" s="48">
        <v>5.5</v>
      </c>
      <c r="W16" s="48">
        <v>6.1</v>
      </c>
      <c r="X16" s="48">
        <v>12.3</v>
      </c>
      <c r="Y16" s="46">
        <v>6</v>
      </c>
      <c r="Z16" s="46">
        <v>89</v>
      </c>
      <c r="AA16" s="46">
        <v>7</v>
      </c>
      <c r="AB16" s="48">
        <v>17.8</v>
      </c>
      <c r="AC16" s="48">
        <v>2</v>
      </c>
      <c r="AD16" s="46">
        <v>9</v>
      </c>
      <c r="AE16" s="47">
        <v>2.17</v>
      </c>
      <c r="AF16" s="47">
        <v>0.2</v>
      </c>
      <c r="AG16" s="46" t="s">
        <v>61</v>
      </c>
      <c r="AH16" s="46" t="s">
        <v>62</v>
      </c>
      <c r="AI16" s="2"/>
      <c r="AJ16" s="2"/>
    </row>
    <row r="17" spans="1:36" ht="15.75" customHeight="1" x14ac:dyDescent="0.3">
      <c r="A17" s="41">
        <v>2</v>
      </c>
      <c r="B17" s="42" t="s">
        <v>63</v>
      </c>
      <c r="C17" s="42">
        <v>2022</v>
      </c>
      <c r="D17" s="42" t="s">
        <v>58</v>
      </c>
      <c r="E17" s="42">
        <v>2</v>
      </c>
      <c r="F17" s="42">
        <v>12</v>
      </c>
      <c r="G17" s="43" t="s">
        <v>64</v>
      </c>
      <c r="H17" s="44" t="s">
        <v>60</v>
      </c>
      <c r="I17" s="43">
        <v>20</v>
      </c>
      <c r="J17" s="45">
        <v>40</v>
      </c>
      <c r="K17" s="46">
        <v>42</v>
      </c>
      <c r="L17" s="46">
        <v>39</v>
      </c>
      <c r="M17" s="46">
        <v>215</v>
      </c>
      <c r="N17" s="46">
        <v>704</v>
      </c>
      <c r="O17" s="47">
        <v>0.30539772727272729</v>
      </c>
      <c r="P17" s="48">
        <v>4.2</v>
      </c>
      <c r="Q17" s="101">
        <v>0.1</v>
      </c>
      <c r="R17" s="102"/>
      <c r="S17" s="47">
        <v>0.03</v>
      </c>
      <c r="T17" s="47">
        <v>0.01</v>
      </c>
      <c r="U17" s="48">
        <v>0.1</v>
      </c>
      <c r="V17" s="48">
        <v>5.7</v>
      </c>
      <c r="W17" s="48">
        <v>6.1</v>
      </c>
      <c r="X17" s="48">
        <v>11.9</v>
      </c>
      <c r="Y17" s="46">
        <v>1</v>
      </c>
      <c r="Z17" s="46">
        <v>98</v>
      </c>
      <c r="AA17" s="46">
        <v>1</v>
      </c>
      <c r="AB17" s="48">
        <v>11</v>
      </c>
      <c r="AC17" s="48">
        <v>1.6</v>
      </c>
      <c r="AD17" s="46">
        <v>7</v>
      </c>
      <c r="AE17" s="47">
        <v>1.47</v>
      </c>
      <c r="AF17" s="47">
        <v>0.15</v>
      </c>
      <c r="AG17" s="46" t="s">
        <v>61</v>
      </c>
      <c r="AH17" s="46" t="s">
        <v>62</v>
      </c>
      <c r="AI17" s="2"/>
      <c r="AJ17" s="2"/>
    </row>
    <row r="18" spans="1:36" ht="15.75" customHeight="1" x14ac:dyDescent="0.3">
      <c r="A18" s="41">
        <v>2</v>
      </c>
      <c r="B18" s="42" t="s">
        <v>65</v>
      </c>
      <c r="C18" s="42">
        <v>2022</v>
      </c>
      <c r="D18" s="42" t="s">
        <v>58</v>
      </c>
      <c r="E18" s="42">
        <v>3</v>
      </c>
      <c r="F18" s="42">
        <v>12</v>
      </c>
      <c r="G18" s="43" t="s">
        <v>66</v>
      </c>
      <c r="H18" s="44" t="s">
        <v>67</v>
      </c>
      <c r="I18" s="43">
        <v>0</v>
      </c>
      <c r="J18" s="45">
        <v>20</v>
      </c>
      <c r="K18" s="46">
        <v>151</v>
      </c>
      <c r="L18" s="46">
        <v>112</v>
      </c>
      <c r="M18" s="46">
        <v>305</v>
      </c>
      <c r="N18" s="46">
        <v>432</v>
      </c>
      <c r="O18" s="47">
        <v>0.70601851851851849</v>
      </c>
      <c r="P18" s="48">
        <v>4.7</v>
      </c>
      <c r="Q18" s="48">
        <v>2.2999999999999998</v>
      </c>
      <c r="R18" s="48">
        <v>2</v>
      </c>
      <c r="S18" s="47">
        <v>0.09</v>
      </c>
      <c r="T18" s="47">
        <v>0.04</v>
      </c>
      <c r="U18" s="48">
        <v>4.4000000000000004</v>
      </c>
      <c r="V18" s="48">
        <v>0.8</v>
      </c>
      <c r="W18" s="48">
        <v>4.9000000000000004</v>
      </c>
      <c r="X18" s="48">
        <v>10.1</v>
      </c>
      <c r="Y18" s="46">
        <v>44</v>
      </c>
      <c r="Z18" s="46">
        <v>15</v>
      </c>
      <c r="AA18" s="46">
        <v>4</v>
      </c>
      <c r="AB18" s="48">
        <v>14.3</v>
      </c>
      <c r="AC18" s="48">
        <v>2</v>
      </c>
      <c r="AD18" s="46">
        <v>7</v>
      </c>
      <c r="AE18" s="47">
        <v>1.96</v>
      </c>
      <c r="AF18" s="47">
        <v>0.2</v>
      </c>
      <c r="AG18" s="46" t="s">
        <v>68</v>
      </c>
      <c r="AH18" s="46" t="s">
        <v>69</v>
      </c>
      <c r="AI18" s="2"/>
      <c r="AJ18" s="2"/>
    </row>
    <row r="19" spans="1:36" ht="15.75" customHeight="1" x14ac:dyDescent="0.3">
      <c r="A19" s="41">
        <v>2</v>
      </c>
      <c r="B19" s="42" t="s">
        <v>70</v>
      </c>
      <c r="C19" s="42">
        <v>2022</v>
      </c>
      <c r="D19" s="42" t="s">
        <v>58</v>
      </c>
      <c r="E19" s="42">
        <v>4</v>
      </c>
      <c r="F19" s="42">
        <v>12</v>
      </c>
      <c r="G19" s="43" t="s">
        <v>64</v>
      </c>
      <c r="H19" s="44" t="s">
        <v>67</v>
      </c>
      <c r="I19" s="43">
        <v>20</v>
      </c>
      <c r="J19" s="45">
        <v>40</v>
      </c>
      <c r="K19" s="46">
        <v>127</v>
      </c>
      <c r="L19" s="46">
        <v>112</v>
      </c>
      <c r="M19" s="46">
        <v>268</v>
      </c>
      <c r="N19" s="46">
        <v>493</v>
      </c>
      <c r="O19" s="47">
        <v>0.54361054766734285</v>
      </c>
      <c r="P19" s="48">
        <v>4.7</v>
      </c>
      <c r="Q19" s="48">
        <v>1.1000000000000001</v>
      </c>
      <c r="R19" s="48">
        <v>1</v>
      </c>
      <c r="S19" s="47">
        <v>0.06</v>
      </c>
      <c r="T19" s="47">
        <v>0.03</v>
      </c>
      <c r="U19" s="48">
        <v>2.2000000000000002</v>
      </c>
      <c r="V19" s="48">
        <v>1.3</v>
      </c>
      <c r="W19" s="48">
        <v>2.9</v>
      </c>
      <c r="X19" s="48">
        <v>6.4</v>
      </c>
      <c r="Y19" s="46">
        <v>34</v>
      </c>
      <c r="Z19" s="46">
        <v>37</v>
      </c>
      <c r="AA19" s="46">
        <v>2</v>
      </c>
      <c r="AB19" s="48">
        <v>7.1</v>
      </c>
      <c r="AC19" s="48">
        <v>1</v>
      </c>
      <c r="AD19" s="46">
        <v>7</v>
      </c>
      <c r="AE19" s="47">
        <v>0.84</v>
      </c>
      <c r="AF19" s="47">
        <v>0.1</v>
      </c>
      <c r="AG19" s="46" t="s">
        <v>68</v>
      </c>
      <c r="AH19" s="46" t="s">
        <v>69</v>
      </c>
      <c r="AI19" s="2"/>
      <c r="AJ19" s="2"/>
    </row>
    <row r="20" spans="1:36" ht="15.75" customHeight="1" x14ac:dyDescent="0.3">
      <c r="A20" s="41">
        <v>2</v>
      </c>
      <c r="B20" s="42" t="s">
        <v>71</v>
      </c>
      <c r="C20" s="42">
        <v>2022</v>
      </c>
      <c r="D20" s="42" t="s">
        <v>58</v>
      </c>
      <c r="E20" s="42">
        <v>5</v>
      </c>
      <c r="F20" s="42">
        <v>12</v>
      </c>
      <c r="G20" s="43" t="s">
        <v>72</v>
      </c>
      <c r="H20" s="44" t="s">
        <v>60</v>
      </c>
      <c r="I20" s="43">
        <v>0</v>
      </c>
      <c r="J20" s="45">
        <v>20</v>
      </c>
      <c r="K20" s="46">
        <v>289</v>
      </c>
      <c r="L20" s="46">
        <v>154</v>
      </c>
      <c r="M20" s="46">
        <v>107</v>
      </c>
      <c r="N20" s="46">
        <v>450</v>
      </c>
      <c r="O20" s="47">
        <v>0.23777777777777778</v>
      </c>
      <c r="P20" s="48">
        <v>4.3</v>
      </c>
      <c r="Q20" s="101">
        <v>0.3</v>
      </c>
      <c r="R20" s="102"/>
      <c r="S20" s="47">
        <v>0.08</v>
      </c>
      <c r="T20" s="47">
        <v>0.01</v>
      </c>
      <c r="U20" s="48">
        <v>0.4</v>
      </c>
      <c r="V20" s="48">
        <v>1.9</v>
      </c>
      <c r="W20" s="48">
        <v>4.3</v>
      </c>
      <c r="X20" s="48">
        <v>6.6</v>
      </c>
      <c r="Y20" s="46">
        <v>6</v>
      </c>
      <c r="Z20" s="46">
        <v>83</v>
      </c>
      <c r="AA20" s="46">
        <v>2</v>
      </c>
      <c r="AB20" s="48">
        <v>11.7</v>
      </c>
      <c r="AC20" s="48">
        <v>1.2</v>
      </c>
      <c r="AD20" s="46">
        <v>10</v>
      </c>
      <c r="AE20" s="47">
        <v>1.42</v>
      </c>
      <c r="AF20" s="47">
        <v>0.11</v>
      </c>
      <c r="AG20" s="46" t="s">
        <v>68</v>
      </c>
      <c r="AH20" s="46" t="s">
        <v>73</v>
      </c>
      <c r="AI20" s="2"/>
      <c r="AJ20" s="2"/>
    </row>
    <row r="21" spans="1:36" ht="15.75" customHeight="1" x14ac:dyDescent="0.3">
      <c r="A21" s="41">
        <v>2</v>
      </c>
      <c r="B21" s="42" t="s">
        <v>74</v>
      </c>
      <c r="C21" s="42">
        <v>2022</v>
      </c>
      <c r="D21" s="42" t="s">
        <v>58</v>
      </c>
      <c r="E21" s="42">
        <v>6</v>
      </c>
      <c r="F21" s="42">
        <v>12</v>
      </c>
      <c r="G21" s="43" t="s">
        <v>64</v>
      </c>
      <c r="H21" s="44" t="s">
        <v>60</v>
      </c>
      <c r="I21" s="43">
        <v>20</v>
      </c>
      <c r="J21" s="45">
        <v>40</v>
      </c>
      <c r="K21" s="46">
        <v>243</v>
      </c>
      <c r="L21" s="46">
        <v>146</v>
      </c>
      <c r="M21" s="46">
        <v>120</v>
      </c>
      <c r="N21" s="46">
        <v>491</v>
      </c>
      <c r="O21" s="47">
        <v>0.24439918533604887</v>
      </c>
      <c r="P21" s="48">
        <v>4.4000000000000004</v>
      </c>
      <c r="Q21" s="101">
        <v>0</v>
      </c>
      <c r="R21" s="102"/>
      <c r="S21" s="47">
        <v>0.03</v>
      </c>
      <c r="T21" s="47">
        <v>0.01</v>
      </c>
      <c r="U21" s="48">
        <v>0</v>
      </c>
      <c r="V21" s="48">
        <v>1.8</v>
      </c>
      <c r="W21" s="48">
        <v>3.6</v>
      </c>
      <c r="X21" s="48">
        <v>5.4</v>
      </c>
      <c r="Y21" s="46">
        <v>0</v>
      </c>
      <c r="Z21" s="46">
        <v>100</v>
      </c>
      <c r="AA21" s="46">
        <v>1</v>
      </c>
      <c r="AB21" s="48">
        <v>7.7</v>
      </c>
      <c r="AC21" s="48">
        <v>0.8</v>
      </c>
      <c r="AD21" s="46">
        <v>10</v>
      </c>
      <c r="AE21" s="47">
        <v>0.89</v>
      </c>
      <c r="AF21" s="47">
        <v>7.0000000000000007E-2</v>
      </c>
      <c r="AG21" s="46" t="s">
        <v>68</v>
      </c>
      <c r="AH21" s="46" t="s">
        <v>73</v>
      </c>
      <c r="AI21" s="2"/>
      <c r="AJ21" s="2"/>
    </row>
    <row r="22" spans="1:36" ht="15.75" customHeight="1" x14ac:dyDescent="0.3">
      <c r="A22" s="41">
        <v>2</v>
      </c>
      <c r="B22" s="42" t="s">
        <v>75</v>
      </c>
      <c r="C22" s="42">
        <v>2022</v>
      </c>
      <c r="D22" s="42" t="s">
        <v>58</v>
      </c>
      <c r="E22" s="42">
        <v>7</v>
      </c>
      <c r="F22" s="42">
        <v>12</v>
      </c>
      <c r="G22" s="43" t="s">
        <v>76</v>
      </c>
      <c r="H22" s="44" t="s">
        <v>77</v>
      </c>
      <c r="I22" s="43">
        <v>0</v>
      </c>
      <c r="J22" s="45">
        <v>20</v>
      </c>
      <c r="K22" s="46">
        <v>369</v>
      </c>
      <c r="L22" s="46">
        <v>166</v>
      </c>
      <c r="M22" s="46">
        <v>114</v>
      </c>
      <c r="N22" s="46">
        <v>351</v>
      </c>
      <c r="O22" s="47">
        <v>0.3247863247863248</v>
      </c>
      <c r="P22" s="48">
        <v>4.8</v>
      </c>
      <c r="Q22" s="48">
        <v>3.5</v>
      </c>
      <c r="R22" s="48">
        <v>3.2</v>
      </c>
      <c r="S22" s="47">
        <v>0.31</v>
      </c>
      <c r="T22" s="47">
        <v>0.04</v>
      </c>
      <c r="U22" s="48">
        <v>7</v>
      </c>
      <c r="V22" s="48">
        <v>2.7</v>
      </c>
      <c r="W22" s="48">
        <v>3.9</v>
      </c>
      <c r="X22" s="48">
        <v>13.6</v>
      </c>
      <c r="Y22" s="46">
        <v>51</v>
      </c>
      <c r="Z22" s="46">
        <v>28</v>
      </c>
      <c r="AA22" s="46">
        <v>13</v>
      </c>
      <c r="AB22" s="48">
        <v>9.6</v>
      </c>
      <c r="AC22" s="48">
        <v>0.8</v>
      </c>
      <c r="AD22" s="46">
        <v>12</v>
      </c>
      <c r="AE22" s="47">
        <v>1.06</v>
      </c>
      <c r="AF22" s="47">
        <v>0.08</v>
      </c>
      <c r="AG22" s="46" t="s">
        <v>78</v>
      </c>
      <c r="AH22" s="46" t="s">
        <v>79</v>
      </c>
      <c r="AI22" s="2"/>
      <c r="AJ22" s="2"/>
    </row>
    <row r="23" spans="1:36" ht="15.75" customHeight="1" x14ac:dyDescent="0.3">
      <c r="A23" s="41">
        <v>2</v>
      </c>
      <c r="B23" s="42" t="s">
        <v>80</v>
      </c>
      <c r="C23" s="42">
        <v>2022</v>
      </c>
      <c r="D23" s="42" t="s">
        <v>58</v>
      </c>
      <c r="E23" s="42">
        <v>8</v>
      </c>
      <c r="F23" s="42">
        <v>12</v>
      </c>
      <c r="G23" s="43" t="s">
        <v>64</v>
      </c>
      <c r="H23" s="44" t="s">
        <v>81</v>
      </c>
      <c r="I23" s="43">
        <v>20</v>
      </c>
      <c r="J23" s="45">
        <v>40</v>
      </c>
      <c r="K23" s="46">
        <v>386</v>
      </c>
      <c r="L23" s="46">
        <v>158</v>
      </c>
      <c r="M23" s="46">
        <v>103</v>
      </c>
      <c r="N23" s="46">
        <v>353</v>
      </c>
      <c r="O23" s="47">
        <v>0.29178470254957506</v>
      </c>
      <c r="P23" s="48">
        <v>4.9000000000000004</v>
      </c>
      <c r="Q23" s="48">
        <v>2.4</v>
      </c>
      <c r="R23" s="48">
        <v>3.4</v>
      </c>
      <c r="S23" s="47">
        <v>0.19</v>
      </c>
      <c r="T23" s="47">
        <v>0.05</v>
      </c>
      <c r="U23" s="48">
        <v>6</v>
      </c>
      <c r="V23" s="48">
        <v>6.5</v>
      </c>
      <c r="W23" s="48">
        <v>2.4</v>
      </c>
      <c r="X23" s="48">
        <v>14.9</v>
      </c>
      <c r="Y23" s="46">
        <v>40</v>
      </c>
      <c r="Z23" s="46">
        <v>52</v>
      </c>
      <c r="AA23" s="46">
        <v>4</v>
      </c>
      <c r="AB23" s="48">
        <v>2.2999999999999998</v>
      </c>
      <c r="AC23" s="48">
        <v>0.1</v>
      </c>
      <c r="AD23" s="46">
        <v>23</v>
      </c>
      <c r="AE23" s="47">
        <v>0.17</v>
      </c>
      <c r="AF23" s="47">
        <v>0.02</v>
      </c>
      <c r="AG23" s="46" t="s">
        <v>78</v>
      </c>
      <c r="AH23" s="46" t="s">
        <v>62</v>
      </c>
      <c r="AI23" s="2"/>
      <c r="AJ23" s="2"/>
    </row>
    <row r="24" spans="1:36" ht="15.75" customHeight="1" x14ac:dyDescent="0.3">
      <c r="A24" s="41">
        <v>2</v>
      </c>
      <c r="B24" s="42" t="s">
        <v>82</v>
      </c>
      <c r="C24" s="42">
        <v>2022</v>
      </c>
      <c r="D24" s="42" t="s">
        <v>58</v>
      </c>
      <c r="E24" s="42">
        <v>9</v>
      </c>
      <c r="F24" s="42">
        <v>12</v>
      </c>
      <c r="G24" s="43" t="s">
        <v>83</v>
      </c>
      <c r="H24" s="44" t="s">
        <v>77</v>
      </c>
      <c r="I24" s="43">
        <v>0</v>
      </c>
      <c r="J24" s="45">
        <v>20</v>
      </c>
      <c r="K24" s="46">
        <v>381</v>
      </c>
      <c r="L24" s="46">
        <v>200</v>
      </c>
      <c r="M24" s="46">
        <v>154</v>
      </c>
      <c r="N24" s="46">
        <v>265</v>
      </c>
      <c r="O24" s="47">
        <v>0.5811320754716981</v>
      </c>
      <c r="P24" s="48">
        <v>5.3</v>
      </c>
      <c r="Q24" s="48">
        <v>1.9</v>
      </c>
      <c r="R24" s="48">
        <v>2.5</v>
      </c>
      <c r="S24" s="47">
        <v>0.52</v>
      </c>
      <c r="T24" s="47">
        <v>0.04</v>
      </c>
      <c r="U24" s="48">
        <v>5</v>
      </c>
      <c r="V24" s="48">
        <v>0.2</v>
      </c>
      <c r="W24" s="48">
        <v>3.9</v>
      </c>
      <c r="X24" s="48">
        <v>9.1</v>
      </c>
      <c r="Y24" s="46">
        <v>55</v>
      </c>
      <c r="Z24" s="46">
        <v>4</v>
      </c>
      <c r="AA24" s="46">
        <v>3</v>
      </c>
      <c r="AB24" s="48">
        <v>13.5</v>
      </c>
      <c r="AC24" s="48">
        <v>1.3</v>
      </c>
      <c r="AD24" s="46">
        <v>10</v>
      </c>
      <c r="AE24" s="47">
        <v>1.23</v>
      </c>
      <c r="AF24" s="47">
        <v>0.11</v>
      </c>
      <c r="AG24" s="46" t="s">
        <v>84</v>
      </c>
      <c r="AH24" s="46" t="s">
        <v>79</v>
      </c>
      <c r="AI24" s="2"/>
      <c r="AJ24" s="2"/>
    </row>
    <row r="25" spans="1:36" ht="15.75" customHeight="1" x14ac:dyDescent="0.3">
      <c r="A25" s="41">
        <v>2</v>
      </c>
      <c r="B25" s="42" t="s">
        <v>85</v>
      </c>
      <c r="C25" s="42">
        <v>2022</v>
      </c>
      <c r="D25" s="42" t="s">
        <v>58</v>
      </c>
      <c r="E25" s="42">
        <v>10</v>
      </c>
      <c r="F25" s="42">
        <v>12</v>
      </c>
      <c r="G25" s="43" t="s">
        <v>64</v>
      </c>
      <c r="H25" s="44" t="s">
        <v>81</v>
      </c>
      <c r="I25" s="43">
        <v>20</v>
      </c>
      <c r="J25" s="45">
        <v>40</v>
      </c>
      <c r="K25" s="46">
        <v>421</v>
      </c>
      <c r="L25" s="46">
        <v>157</v>
      </c>
      <c r="M25" s="46">
        <v>157</v>
      </c>
      <c r="N25" s="46">
        <v>265</v>
      </c>
      <c r="O25" s="47">
        <v>0.59245283018867922</v>
      </c>
      <c r="P25" s="48">
        <v>5.2</v>
      </c>
      <c r="Q25" s="48">
        <v>1.6</v>
      </c>
      <c r="R25" s="48">
        <v>2.2000000000000002</v>
      </c>
      <c r="S25" s="47">
        <v>0.45</v>
      </c>
      <c r="T25" s="47">
        <v>0.04</v>
      </c>
      <c r="U25" s="48">
        <v>4.3</v>
      </c>
      <c r="V25" s="48">
        <v>0.2</v>
      </c>
      <c r="W25" s="48">
        <v>2.8</v>
      </c>
      <c r="X25" s="48">
        <v>7.3</v>
      </c>
      <c r="Y25" s="46">
        <v>59</v>
      </c>
      <c r="Z25" s="46">
        <v>4</v>
      </c>
      <c r="AA25" s="46">
        <v>2</v>
      </c>
      <c r="AB25" s="48">
        <v>9.5</v>
      </c>
      <c r="AC25" s="48">
        <v>1</v>
      </c>
      <c r="AD25" s="46">
        <v>9</v>
      </c>
      <c r="AE25" s="47">
        <v>0.9</v>
      </c>
      <c r="AF25" s="47">
        <v>0.09</v>
      </c>
      <c r="AG25" s="46" t="s">
        <v>84</v>
      </c>
      <c r="AH25" s="46" t="s">
        <v>79</v>
      </c>
      <c r="AI25" s="2"/>
      <c r="AJ25" s="2"/>
    </row>
    <row r="26" spans="1:36" ht="15.75" customHeight="1" x14ac:dyDescent="0.3">
      <c r="A26" s="41">
        <v>2</v>
      </c>
      <c r="B26" s="42" t="s">
        <v>86</v>
      </c>
      <c r="C26" s="42">
        <v>2022</v>
      </c>
      <c r="D26" s="42" t="s">
        <v>58</v>
      </c>
      <c r="E26" s="42">
        <v>11</v>
      </c>
      <c r="F26" s="42">
        <v>12</v>
      </c>
      <c r="G26" s="43" t="s">
        <v>87</v>
      </c>
      <c r="H26" s="44" t="s">
        <v>77</v>
      </c>
      <c r="I26" s="43">
        <v>0</v>
      </c>
      <c r="J26" s="45">
        <v>20</v>
      </c>
      <c r="K26" s="46">
        <v>409</v>
      </c>
      <c r="L26" s="46">
        <v>179</v>
      </c>
      <c r="M26" s="46">
        <v>168</v>
      </c>
      <c r="N26" s="46">
        <v>244</v>
      </c>
      <c r="O26" s="47">
        <v>0.68852459016393441</v>
      </c>
      <c r="P26" s="48">
        <v>5.5</v>
      </c>
      <c r="Q26" s="48">
        <v>1.7</v>
      </c>
      <c r="R26" s="48">
        <v>2.4</v>
      </c>
      <c r="S26" s="47">
        <v>0.46</v>
      </c>
      <c r="T26" s="47">
        <v>0.04</v>
      </c>
      <c r="U26" s="48">
        <v>4.5999999999999996</v>
      </c>
      <c r="V26" s="48">
        <v>0.1</v>
      </c>
      <c r="W26" s="48">
        <v>2.2000000000000002</v>
      </c>
      <c r="X26" s="48">
        <v>6.9</v>
      </c>
      <c r="Y26" s="46">
        <v>67</v>
      </c>
      <c r="Z26" s="46">
        <v>2</v>
      </c>
      <c r="AA26" s="46">
        <v>2</v>
      </c>
      <c r="AB26" s="48">
        <v>11.2</v>
      </c>
      <c r="AC26" s="48">
        <v>1.2</v>
      </c>
      <c r="AD26" s="46">
        <v>9</v>
      </c>
      <c r="AE26" s="47">
        <v>1.5</v>
      </c>
      <c r="AF26" s="47">
        <v>0.14000000000000001</v>
      </c>
      <c r="AG26" s="46" t="s">
        <v>84</v>
      </c>
      <c r="AH26" s="46" t="s">
        <v>79</v>
      </c>
      <c r="AI26" s="2"/>
      <c r="AJ26" s="2"/>
    </row>
    <row r="27" spans="1:36" ht="15.75" customHeight="1" x14ac:dyDescent="0.3">
      <c r="A27" s="41">
        <v>2</v>
      </c>
      <c r="B27" s="42" t="s">
        <v>88</v>
      </c>
      <c r="C27" s="42">
        <v>2022</v>
      </c>
      <c r="D27" s="42" t="s">
        <v>58</v>
      </c>
      <c r="E27" s="42">
        <v>12</v>
      </c>
      <c r="F27" s="42">
        <v>12</v>
      </c>
      <c r="G27" s="43" t="s">
        <v>64</v>
      </c>
      <c r="H27" s="44" t="s">
        <v>81</v>
      </c>
      <c r="I27" s="43">
        <v>20</v>
      </c>
      <c r="J27" s="45">
        <v>40</v>
      </c>
      <c r="K27" s="46">
        <v>401</v>
      </c>
      <c r="L27" s="46">
        <v>168</v>
      </c>
      <c r="M27" s="46">
        <v>146</v>
      </c>
      <c r="N27" s="46">
        <v>285</v>
      </c>
      <c r="O27" s="47">
        <v>0.512280701754386</v>
      </c>
      <c r="P27" s="48">
        <v>5.0999999999999996</v>
      </c>
      <c r="Q27" s="48">
        <v>1</v>
      </c>
      <c r="R27" s="48">
        <v>1.8</v>
      </c>
      <c r="S27" s="47">
        <v>0.34</v>
      </c>
      <c r="T27" s="47">
        <v>0.03</v>
      </c>
      <c r="U27" s="48">
        <v>3.2</v>
      </c>
      <c r="V27" s="48">
        <v>0.4</v>
      </c>
      <c r="W27" s="48">
        <v>1.9</v>
      </c>
      <c r="X27" s="48">
        <v>5.5</v>
      </c>
      <c r="Y27" s="46">
        <v>58</v>
      </c>
      <c r="Z27" s="46">
        <v>11</v>
      </c>
      <c r="AA27" s="46">
        <v>1</v>
      </c>
      <c r="AB27" s="48">
        <v>7.3</v>
      </c>
      <c r="AC27" s="48">
        <v>1.2</v>
      </c>
      <c r="AD27" s="46">
        <v>6</v>
      </c>
      <c r="AE27" s="47">
        <v>0.79</v>
      </c>
      <c r="AF27" s="47">
        <v>0.08</v>
      </c>
      <c r="AG27" s="46" t="s">
        <v>84</v>
      </c>
      <c r="AH27" s="46" t="s">
        <v>79</v>
      </c>
      <c r="AI27" s="2"/>
      <c r="AJ27" s="2"/>
    </row>
    <row r="28" spans="1:36" ht="15.7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2"/>
      <c r="AJ28" s="2"/>
    </row>
    <row r="29" spans="1:36" ht="15.7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2"/>
      <c r="AJ29" s="2"/>
    </row>
    <row r="30" spans="1:36" ht="15.7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2"/>
      <c r="AJ30" s="2"/>
    </row>
    <row r="31" spans="1:36" ht="15.7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2"/>
      <c r="AJ31" s="2"/>
    </row>
    <row r="32" spans="1:36" ht="15.7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2"/>
      <c r="AJ32" s="2"/>
    </row>
    <row r="33" spans="1:36" ht="15.7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2"/>
      <c r="AJ33" s="2"/>
    </row>
    <row r="34" spans="1:36" ht="15.7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2"/>
      <c r="AJ34" s="2"/>
    </row>
    <row r="35" spans="1:36" ht="15.7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2"/>
      <c r="AJ35" s="2"/>
    </row>
    <row r="36" spans="1:36" ht="15.7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2"/>
      <c r="AJ36" s="2"/>
    </row>
    <row r="37" spans="1:36" ht="15.7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2"/>
      <c r="AJ37" s="2"/>
    </row>
    <row r="38" spans="1:36" ht="15.7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2"/>
      <c r="AJ38" s="2"/>
    </row>
    <row r="39" spans="1:36" ht="15.7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2"/>
      <c r="AJ39" s="2"/>
    </row>
    <row r="40" spans="1:36" ht="15.7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2"/>
      <c r="AJ40" s="2"/>
    </row>
    <row r="41" spans="1:36" ht="15.7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2"/>
      <c r="AJ41" s="2"/>
    </row>
    <row r="42" spans="1:36" ht="15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2"/>
      <c r="AJ42" s="2"/>
    </row>
    <row r="43" spans="1:36" ht="15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2"/>
      <c r="AJ43" s="2"/>
    </row>
    <row r="44" spans="1:36" ht="15.7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2"/>
      <c r="AJ44" s="2"/>
    </row>
    <row r="45" spans="1:36" ht="15.7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2"/>
      <c r="AJ45" s="2"/>
    </row>
    <row r="46" spans="1:36" ht="15.7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2"/>
      <c r="AJ46" s="2"/>
    </row>
    <row r="47" spans="1:36" ht="15.7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2"/>
      <c r="AJ47" s="2"/>
    </row>
    <row r="48" spans="1:36" ht="15.7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2"/>
      <c r="AJ48" s="2"/>
    </row>
    <row r="49" spans="1:36" ht="15.7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2"/>
      <c r="AJ49" s="2"/>
    </row>
    <row r="50" spans="1:36" ht="15.7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2"/>
      <c r="AJ50" s="2"/>
    </row>
    <row r="51" spans="1:36" ht="15.7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2"/>
      <c r="AJ51" s="2"/>
    </row>
    <row r="52" spans="1:36" ht="15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2"/>
      <c r="AJ52" s="2"/>
    </row>
    <row r="53" spans="1:36" ht="15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2"/>
      <c r="AJ53" s="2"/>
    </row>
    <row r="54" spans="1:36" ht="15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2"/>
      <c r="AJ54" s="2"/>
    </row>
    <row r="55" spans="1:36" ht="15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2"/>
      <c r="AJ55" s="2"/>
    </row>
    <row r="56" spans="1:36" ht="15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2"/>
      <c r="AJ56" s="2"/>
    </row>
    <row r="57" spans="1:36" ht="15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2"/>
      <c r="AJ57" s="2"/>
    </row>
    <row r="58" spans="1:36" ht="15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2"/>
      <c r="AJ58" s="2"/>
    </row>
    <row r="59" spans="1:36" ht="15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2"/>
      <c r="AJ59" s="2"/>
    </row>
    <row r="60" spans="1:36" ht="15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2"/>
      <c r="AJ60" s="2"/>
    </row>
    <row r="61" spans="1:36" ht="15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2"/>
      <c r="AJ61" s="2"/>
    </row>
    <row r="62" spans="1:36" ht="15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2"/>
      <c r="AJ62" s="2"/>
    </row>
    <row r="63" spans="1:36" ht="15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2"/>
      <c r="AJ63" s="2"/>
    </row>
    <row r="64" spans="1:36" ht="15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2"/>
      <c r="AJ64" s="2"/>
    </row>
    <row r="65" spans="1:36" ht="15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2"/>
      <c r="AJ65" s="2"/>
    </row>
    <row r="66" spans="1:36" ht="15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2"/>
      <c r="AJ66" s="2"/>
    </row>
    <row r="67" spans="1:36" ht="15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2"/>
      <c r="AJ67" s="2"/>
    </row>
    <row r="68" spans="1:36" ht="15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2"/>
      <c r="AJ68" s="2"/>
    </row>
    <row r="69" spans="1:36" ht="15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2"/>
      <c r="AJ69" s="2"/>
    </row>
    <row r="70" spans="1:36" ht="15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2"/>
      <c r="AJ70" s="2"/>
    </row>
    <row r="71" spans="1:36" ht="15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2"/>
      <c r="AJ71" s="2"/>
    </row>
    <row r="72" spans="1:36" ht="15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2"/>
      <c r="AJ72" s="2"/>
    </row>
    <row r="73" spans="1:36" ht="15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2"/>
      <c r="AJ73" s="2"/>
    </row>
    <row r="74" spans="1:36" ht="15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2"/>
      <c r="AJ74" s="2"/>
    </row>
    <row r="75" spans="1:36" ht="15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2"/>
      <c r="AJ75" s="2"/>
    </row>
    <row r="76" spans="1:36" ht="15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2"/>
      <c r="AJ76" s="2"/>
    </row>
    <row r="77" spans="1:36" ht="15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2"/>
      <c r="AJ77" s="2"/>
    </row>
    <row r="78" spans="1:36" ht="15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2"/>
      <c r="AJ78" s="2"/>
    </row>
    <row r="79" spans="1:36" ht="15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2"/>
      <c r="AJ79" s="2"/>
    </row>
    <row r="80" spans="1:36" ht="15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2"/>
      <c r="AJ80" s="2"/>
    </row>
    <row r="81" spans="1:36" ht="15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2"/>
      <c r="AJ81" s="2"/>
    </row>
    <row r="82" spans="1:36" ht="15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2"/>
      <c r="AJ82" s="2"/>
    </row>
    <row r="83" spans="1:36" ht="15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2"/>
      <c r="AJ83" s="2"/>
    </row>
    <row r="84" spans="1:36" ht="15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2"/>
      <c r="AJ84" s="2"/>
    </row>
    <row r="85" spans="1:36" ht="15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2"/>
      <c r="AJ85" s="2"/>
    </row>
    <row r="86" spans="1:36" ht="15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2"/>
      <c r="AJ86" s="2"/>
    </row>
    <row r="87" spans="1:36" ht="15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2"/>
      <c r="AJ87" s="2"/>
    </row>
    <row r="88" spans="1:36" ht="15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2"/>
      <c r="AJ88" s="2"/>
    </row>
    <row r="89" spans="1:36" ht="15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2"/>
      <c r="AJ89" s="2"/>
    </row>
    <row r="90" spans="1:36" ht="15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2"/>
      <c r="AJ90" s="2"/>
    </row>
    <row r="91" spans="1:36" ht="15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2"/>
      <c r="AJ91" s="2"/>
    </row>
    <row r="92" spans="1:36" ht="15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2"/>
      <c r="AJ92" s="2"/>
    </row>
    <row r="93" spans="1:36" ht="15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2"/>
      <c r="AJ93" s="2"/>
    </row>
    <row r="94" spans="1:36" ht="15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2"/>
      <c r="AJ94" s="2"/>
    </row>
    <row r="95" spans="1:36" ht="15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2"/>
      <c r="AJ95" s="2"/>
    </row>
    <row r="96" spans="1:36" ht="15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2"/>
      <c r="AJ96" s="2"/>
    </row>
    <row r="97" spans="1:36" ht="15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2"/>
      <c r="AJ97" s="2"/>
    </row>
    <row r="98" spans="1:36" ht="15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2"/>
      <c r="AJ98" s="2"/>
    </row>
    <row r="99" spans="1:36" ht="15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2"/>
      <c r="AJ99" s="2"/>
    </row>
    <row r="100" spans="1:36" ht="15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2"/>
      <c r="AJ100" s="2"/>
    </row>
    <row r="101" spans="1:36" ht="15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2"/>
      <c r="AJ101" s="2"/>
    </row>
    <row r="102" spans="1:36" ht="15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2"/>
      <c r="AJ102" s="2"/>
    </row>
    <row r="103" spans="1:36" ht="15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2"/>
      <c r="AJ103" s="2"/>
    </row>
    <row r="104" spans="1:36" ht="15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2"/>
      <c r="AJ104" s="2"/>
    </row>
    <row r="105" spans="1:36" ht="15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2"/>
      <c r="AJ105" s="2"/>
    </row>
    <row r="106" spans="1:36" ht="15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2"/>
      <c r="AJ106" s="2"/>
    </row>
    <row r="107" spans="1:36" ht="15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2"/>
      <c r="AJ107" s="2"/>
    </row>
    <row r="108" spans="1:36" ht="15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2"/>
      <c r="AJ108" s="2"/>
    </row>
    <row r="109" spans="1:36" ht="15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2"/>
      <c r="AJ109" s="2"/>
    </row>
    <row r="110" spans="1:36" ht="15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2"/>
      <c r="AJ110" s="2"/>
    </row>
    <row r="111" spans="1:36" ht="15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2"/>
      <c r="AJ111" s="2"/>
    </row>
    <row r="112" spans="1:36" ht="15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2"/>
      <c r="AJ112" s="2"/>
    </row>
    <row r="113" spans="1:36" ht="15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2"/>
      <c r="AJ113" s="2"/>
    </row>
    <row r="114" spans="1:36" ht="15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2"/>
      <c r="AJ114" s="2"/>
    </row>
    <row r="115" spans="1:36" ht="15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2"/>
      <c r="AJ115" s="2"/>
    </row>
    <row r="116" spans="1:36" ht="15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2"/>
      <c r="AJ116" s="2"/>
    </row>
    <row r="117" spans="1:36" ht="15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2"/>
      <c r="AJ117" s="2"/>
    </row>
    <row r="118" spans="1:36" ht="15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2"/>
      <c r="AJ118" s="2"/>
    </row>
    <row r="119" spans="1:36" ht="15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2"/>
      <c r="AJ119" s="2"/>
    </row>
    <row r="120" spans="1:36" ht="15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2"/>
      <c r="AJ120" s="2"/>
    </row>
    <row r="121" spans="1:36" ht="15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2"/>
      <c r="AJ121" s="2"/>
    </row>
    <row r="122" spans="1:36" ht="15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2"/>
      <c r="AJ122" s="2"/>
    </row>
    <row r="123" spans="1:36" ht="15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2"/>
      <c r="AJ123" s="2"/>
    </row>
    <row r="124" spans="1:36" ht="15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2"/>
      <c r="AJ124" s="2"/>
    </row>
    <row r="125" spans="1:36" ht="15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2"/>
      <c r="AJ125" s="2"/>
    </row>
    <row r="126" spans="1:36" ht="15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2"/>
      <c r="AJ126" s="2"/>
    </row>
    <row r="127" spans="1:36" ht="15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2"/>
      <c r="AJ127" s="2"/>
    </row>
    <row r="128" spans="1:36" ht="15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2"/>
      <c r="AJ128" s="2"/>
    </row>
    <row r="129" spans="1:36" ht="15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2"/>
      <c r="AJ129" s="2"/>
    </row>
    <row r="130" spans="1:36" ht="15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2"/>
      <c r="AJ130" s="2"/>
    </row>
    <row r="131" spans="1:36" ht="15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2"/>
      <c r="AJ131" s="2"/>
    </row>
    <row r="132" spans="1:36" ht="15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2"/>
      <c r="AJ132" s="2"/>
    </row>
    <row r="133" spans="1:36" ht="15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2"/>
      <c r="AJ133" s="2"/>
    </row>
    <row r="134" spans="1:36" ht="15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2"/>
      <c r="AJ134" s="2"/>
    </row>
    <row r="135" spans="1:36" ht="15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2"/>
      <c r="AJ135" s="2"/>
    </row>
    <row r="136" spans="1:36" ht="15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2"/>
      <c r="AJ136" s="2"/>
    </row>
    <row r="137" spans="1:36" ht="15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2"/>
      <c r="AJ137" s="2"/>
    </row>
    <row r="138" spans="1:36" ht="15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2"/>
      <c r="AJ138" s="2"/>
    </row>
    <row r="139" spans="1:36" ht="15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2"/>
      <c r="AJ139" s="2"/>
    </row>
    <row r="140" spans="1:36" ht="15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2"/>
      <c r="AJ140" s="2"/>
    </row>
    <row r="141" spans="1:36" ht="15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2"/>
      <c r="AJ141" s="2"/>
    </row>
    <row r="142" spans="1:36" ht="15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2"/>
      <c r="AJ142" s="2"/>
    </row>
    <row r="143" spans="1:36" ht="15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2"/>
      <c r="AJ143" s="2"/>
    </row>
    <row r="144" spans="1:36" ht="15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2"/>
      <c r="AJ144" s="2"/>
    </row>
    <row r="145" spans="1:36" ht="15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2"/>
      <c r="AJ145" s="2"/>
    </row>
    <row r="146" spans="1:36" ht="15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2"/>
      <c r="AJ146" s="2"/>
    </row>
    <row r="147" spans="1:36" ht="15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2"/>
      <c r="AJ147" s="2"/>
    </row>
    <row r="148" spans="1:36" ht="15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2"/>
      <c r="AJ148" s="2"/>
    </row>
    <row r="149" spans="1:36" ht="15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2"/>
      <c r="AJ149" s="2"/>
    </row>
    <row r="150" spans="1:36" ht="15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2"/>
      <c r="AJ150" s="2"/>
    </row>
    <row r="151" spans="1:36" ht="15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2"/>
      <c r="AJ151" s="2"/>
    </row>
    <row r="152" spans="1:36" ht="15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2"/>
      <c r="AJ152" s="2"/>
    </row>
    <row r="153" spans="1:36" ht="15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2"/>
      <c r="AJ153" s="2"/>
    </row>
    <row r="154" spans="1:36" ht="15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2"/>
      <c r="AJ154" s="2"/>
    </row>
    <row r="155" spans="1:36" ht="15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2"/>
      <c r="AJ155" s="2"/>
    </row>
    <row r="156" spans="1:36" ht="15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2"/>
      <c r="AJ156" s="2"/>
    </row>
    <row r="157" spans="1:36" ht="15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2"/>
      <c r="AJ157" s="2"/>
    </row>
    <row r="158" spans="1:36" ht="15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2"/>
      <c r="AJ158" s="2"/>
    </row>
    <row r="159" spans="1:36" ht="15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2"/>
      <c r="AJ159" s="2"/>
    </row>
    <row r="160" spans="1:36" ht="15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2"/>
      <c r="AJ160" s="2"/>
    </row>
    <row r="161" spans="1:36" ht="15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2"/>
      <c r="AJ161" s="2"/>
    </row>
    <row r="162" spans="1:36" ht="15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2"/>
      <c r="AJ162" s="2"/>
    </row>
    <row r="163" spans="1:36" ht="15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2"/>
      <c r="AJ163" s="2"/>
    </row>
    <row r="164" spans="1:36" ht="15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2"/>
      <c r="AJ164" s="2"/>
    </row>
    <row r="165" spans="1:36" ht="15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2"/>
      <c r="AJ165" s="2"/>
    </row>
    <row r="166" spans="1:36" ht="15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2"/>
      <c r="AJ166" s="2"/>
    </row>
    <row r="167" spans="1:36" ht="15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2"/>
      <c r="AJ167" s="2"/>
    </row>
    <row r="168" spans="1:36" ht="15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2"/>
      <c r="AJ168" s="2"/>
    </row>
    <row r="169" spans="1:36" ht="15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2"/>
      <c r="AJ169" s="2"/>
    </row>
    <row r="170" spans="1:36" ht="15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2"/>
      <c r="AJ170" s="2"/>
    </row>
    <row r="171" spans="1:36" ht="15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2"/>
      <c r="AJ171" s="2"/>
    </row>
    <row r="172" spans="1:36" ht="15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2"/>
      <c r="AJ172" s="2"/>
    </row>
    <row r="173" spans="1:36" ht="15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2"/>
      <c r="AJ173" s="2"/>
    </row>
    <row r="174" spans="1:36" ht="15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2"/>
      <c r="AJ174" s="2"/>
    </row>
    <row r="175" spans="1:36" ht="15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2"/>
      <c r="AJ175" s="2"/>
    </row>
    <row r="176" spans="1:36" ht="15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2"/>
      <c r="AJ176" s="2"/>
    </row>
    <row r="177" spans="1:36" ht="15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2"/>
      <c r="AJ177" s="2"/>
    </row>
    <row r="178" spans="1:36" ht="15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2"/>
      <c r="AJ178" s="2"/>
    </row>
    <row r="179" spans="1:36" ht="15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2"/>
      <c r="AJ179" s="2"/>
    </row>
    <row r="180" spans="1:36" ht="15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2"/>
      <c r="AJ180" s="2"/>
    </row>
    <row r="181" spans="1:36" ht="15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2"/>
      <c r="AJ181" s="2"/>
    </row>
    <row r="182" spans="1:36" ht="15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2"/>
      <c r="AJ182" s="2"/>
    </row>
    <row r="183" spans="1:36" ht="15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2"/>
      <c r="AJ183" s="2"/>
    </row>
    <row r="184" spans="1:36" ht="15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2"/>
      <c r="AJ184" s="2"/>
    </row>
    <row r="185" spans="1:36" ht="15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2"/>
      <c r="AJ185" s="2"/>
    </row>
    <row r="186" spans="1:36" ht="15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2"/>
      <c r="AJ186" s="2"/>
    </row>
    <row r="187" spans="1:36" ht="15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2"/>
      <c r="AJ187" s="2"/>
    </row>
    <row r="188" spans="1:36" ht="15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2"/>
      <c r="AJ188" s="2"/>
    </row>
    <row r="189" spans="1:36" ht="15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2"/>
      <c r="AJ189" s="2"/>
    </row>
    <row r="190" spans="1:36" ht="15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2"/>
      <c r="AJ190" s="2"/>
    </row>
    <row r="191" spans="1:36" ht="15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2"/>
      <c r="AJ191" s="2"/>
    </row>
    <row r="192" spans="1:36" ht="15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2"/>
      <c r="AJ192" s="2"/>
    </row>
    <row r="193" spans="1:36" ht="15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2"/>
      <c r="AJ193" s="2"/>
    </row>
    <row r="194" spans="1:36" ht="15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2"/>
      <c r="AJ194" s="2"/>
    </row>
    <row r="195" spans="1:36" ht="15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2"/>
      <c r="AJ195" s="2"/>
    </row>
    <row r="196" spans="1:36" ht="15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2"/>
      <c r="AJ196" s="2"/>
    </row>
    <row r="197" spans="1:36" ht="15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2"/>
      <c r="AJ197" s="2"/>
    </row>
    <row r="198" spans="1:36" ht="15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2"/>
      <c r="AJ198" s="2"/>
    </row>
    <row r="199" spans="1:36" ht="15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2"/>
      <c r="AJ199" s="2"/>
    </row>
    <row r="200" spans="1:36" ht="15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2"/>
      <c r="AJ200" s="2"/>
    </row>
    <row r="201" spans="1:36" ht="15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2"/>
      <c r="AJ201" s="2"/>
    </row>
    <row r="202" spans="1:36" ht="15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2"/>
      <c r="AJ202" s="2"/>
    </row>
    <row r="203" spans="1:36" ht="15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2"/>
      <c r="AJ203" s="2"/>
    </row>
    <row r="204" spans="1:36" ht="15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2"/>
      <c r="AJ204" s="2"/>
    </row>
    <row r="205" spans="1:36" ht="15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2"/>
      <c r="AJ205" s="2"/>
    </row>
    <row r="206" spans="1:36" ht="15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2"/>
      <c r="AJ206" s="2"/>
    </row>
    <row r="207" spans="1:36" ht="15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2"/>
      <c r="AJ207" s="2"/>
    </row>
    <row r="208" spans="1:36" ht="15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2"/>
      <c r="AJ208" s="2"/>
    </row>
    <row r="209" spans="1:36" ht="15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2"/>
      <c r="AJ209" s="2"/>
    </row>
    <row r="210" spans="1:36" ht="15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2"/>
      <c r="AJ210" s="2"/>
    </row>
    <row r="211" spans="1:36" ht="15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2"/>
      <c r="AJ211" s="2"/>
    </row>
    <row r="212" spans="1:36" ht="15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2"/>
      <c r="AJ212" s="2"/>
    </row>
    <row r="213" spans="1:36" ht="15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2"/>
      <c r="AJ213" s="2"/>
    </row>
    <row r="214" spans="1:36" ht="15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2"/>
      <c r="AJ214" s="2"/>
    </row>
    <row r="215" spans="1:36" ht="15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2"/>
      <c r="AJ215" s="2"/>
    </row>
    <row r="216" spans="1:36" ht="15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2"/>
      <c r="AJ216" s="2"/>
    </row>
    <row r="217" spans="1:36" ht="15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2"/>
      <c r="AJ217" s="2"/>
    </row>
    <row r="218" spans="1:36" ht="15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2"/>
      <c r="AJ218" s="2"/>
    </row>
    <row r="219" spans="1:36" ht="15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2"/>
      <c r="AJ219" s="2"/>
    </row>
    <row r="220" spans="1:36" ht="15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2"/>
      <c r="AJ220" s="2"/>
    </row>
    <row r="221" spans="1:36" ht="15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2"/>
      <c r="AJ221" s="2"/>
    </row>
    <row r="222" spans="1:36" ht="15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2"/>
      <c r="AJ222" s="2"/>
    </row>
    <row r="223" spans="1:36" ht="15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2"/>
      <c r="AJ223" s="2"/>
    </row>
    <row r="224" spans="1:36" ht="15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2"/>
      <c r="AJ224" s="2"/>
    </row>
    <row r="225" spans="1:36" ht="15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2"/>
      <c r="AJ225" s="2"/>
    </row>
    <row r="226" spans="1:36" ht="15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2"/>
      <c r="AJ226" s="2"/>
    </row>
    <row r="227" spans="1:36" ht="15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2"/>
      <c r="AJ227" s="2"/>
    </row>
    <row r="228" spans="1:3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</row>
    <row r="229" spans="1:3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</row>
    <row r="230" spans="1:3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</row>
    <row r="231" spans="1:3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</row>
    <row r="232" spans="1:3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</row>
    <row r="233" spans="1:3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</row>
    <row r="234" spans="1:3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</row>
    <row r="235" spans="1:3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</row>
    <row r="236" spans="1:3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</row>
    <row r="237" spans="1:3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</row>
    <row r="238" spans="1:3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</row>
    <row r="239" spans="1:3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</row>
    <row r="240" spans="1:3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</row>
    <row r="241" spans="1:3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</row>
    <row r="242" spans="1:3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</row>
    <row r="243" spans="1:3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</row>
    <row r="244" spans="1:3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</row>
    <row r="245" spans="1:3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</row>
    <row r="246" spans="1:3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</row>
    <row r="247" spans="1:3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</row>
    <row r="248" spans="1:3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</row>
    <row r="249" spans="1:3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</row>
    <row r="250" spans="1:3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</row>
    <row r="251" spans="1:3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</row>
    <row r="252" spans="1:3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</row>
    <row r="253" spans="1:3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</row>
    <row r="254" spans="1:3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</row>
    <row r="255" spans="1:3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</row>
    <row r="256" spans="1:3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</row>
    <row r="257" spans="1:3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</row>
    <row r="258" spans="1:3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</row>
    <row r="259" spans="1:3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</row>
    <row r="260" spans="1:3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</row>
    <row r="261" spans="1:3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</row>
    <row r="262" spans="1:3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</row>
    <row r="263" spans="1:3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</row>
    <row r="264" spans="1:3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</row>
    <row r="265" spans="1:3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</row>
    <row r="266" spans="1:3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</row>
    <row r="267" spans="1:3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</row>
    <row r="268" spans="1:3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</row>
    <row r="269" spans="1:3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</row>
    <row r="270" spans="1:3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</row>
    <row r="271" spans="1:3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</row>
    <row r="272" spans="1:3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</row>
    <row r="273" spans="1:3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</row>
    <row r="274" spans="1:3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</row>
    <row r="275" spans="1:3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</row>
    <row r="276" spans="1:3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</row>
    <row r="277" spans="1:3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</row>
    <row r="278" spans="1:3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</row>
    <row r="279" spans="1:3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</row>
    <row r="280" spans="1:3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</row>
    <row r="281" spans="1:3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</row>
    <row r="282" spans="1:3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</row>
    <row r="283" spans="1:3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</row>
    <row r="284" spans="1:3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</row>
    <row r="285" spans="1:3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</row>
    <row r="286" spans="1:3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</row>
    <row r="287" spans="1:3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</row>
    <row r="288" spans="1:3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</row>
    <row r="289" spans="1:3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</row>
    <row r="290" spans="1:3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</row>
    <row r="291" spans="1:3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</row>
    <row r="292" spans="1:3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</row>
    <row r="293" spans="1:3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</row>
    <row r="294" spans="1:3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</row>
    <row r="295" spans="1:3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</row>
    <row r="296" spans="1:3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</row>
    <row r="297" spans="1:3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</row>
    <row r="298" spans="1:3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</row>
    <row r="299" spans="1:3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</row>
    <row r="300" spans="1:3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</row>
    <row r="301" spans="1:3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</row>
    <row r="302" spans="1:3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</row>
    <row r="303" spans="1:3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</row>
    <row r="304" spans="1:3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</row>
    <row r="305" spans="1:3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</row>
    <row r="306" spans="1:3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</row>
    <row r="307" spans="1:3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</row>
    <row r="308" spans="1:3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</row>
    <row r="309" spans="1:3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</row>
    <row r="310" spans="1:3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</row>
    <row r="311" spans="1:3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</row>
    <row r="312" spans="1:3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</row>
    <row r="313" spans="1:3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</row>
    <row r="314" spans="1:3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</row>
    <row r="315" spans="1:3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</row>
    <row r="316" spans="1:3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</row>
    <row r="317" spans="1:3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</row>
    <row r="318" spans="1:3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</row>
    <row r="319" spans="1:3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</row>
    <row r="320" spans="1:3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</row>
    <row r="321" spans="1:3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</row>
    <row r="322" spans="1:3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</row>
    <row r="323" spans="1:3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</row>
    <row r="324" spans="1:3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</row>
    <row r="325" spans="1:3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</row>
    <row r="326" spans="1:3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</row>
    <row r="327" spans="1:3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</row>
    <row r="328" spans="1:3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</row>
    <row r="329" spans="1:3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</row>
    <row r="330" spans="1:3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</row>
    <row r="331" spans="1:3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</row>
    <row r="332" spans="1:3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</row>
    <row r="333" spans="1:3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</row>
    <row r="334" spans="1:3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</row>
    <row r="335" spans="1:3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</row>
    <row r="336" spans="1:3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</row>
    <row r="337" spans="1:3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</row>
    <row r="338" spans="1:3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</row>
    <row r="339" spans="1:3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</row>
    <row r="340" spans="1:3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</row>
    <row r="341" spans="1:3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</row>
    <row r="342" spans="1:3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</row>
    <row r="343" spans="1:3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</row>
    <row r="344" spans="1:3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</row>
    <row r="345" spans="1:3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</row>
    <row r="346" spans="1:3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</row>
    <row r="347" spans="1:3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</row>
    <row r="348" spans="1:3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</row>
    <row r="349" spans="1:3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</row>
    <row r="350" spans="1:3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</row>
    <row r="351" spans="1:3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</row>
    <row r="352" spans="1:3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</row>
    <row r="353" spans="1:3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</row>
    <row r="354" spans="1:3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</row>
    <row r="355" spans="1:3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</row>
    <row r="356" spans="1:3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</row>
    <row r="357" spans="1:3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</row>
    <row r="358" spans="1:3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</row>
    <row r="359" spans="1:3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</row>
    <row r="360" spans="1:3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</row>
    <row r="361" spans="1:3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</row>
    <row r="362" spans="1:3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</row>
    <row r="363" spans="1:3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</row>
    <row r="364" spans="1:3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</row>
    <row r="365" spans="1:3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</row>
    <row r="366" spans="1:3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</row>
    <row r="367" spans="1:3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</row>
    <row r="368" spans="1:3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</row>
    <row r="369" spans="1:3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</row>
    <row r="370" spans="1:3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</row>
    <row r="371" spans="1:3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</row>
    <row r="372" spans="1:3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</row>
    <row r="373" spans="1:3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</row>
    <row r="374" spans="1:3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</row>
    <row r="375" spans="1:3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</row>
    <row r="376" spans="1:3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</row>
    <row r="377" spans="1:3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</row>
    <row r="378" spans="1:3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</row>
    <row r="379" spans="1:3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</row>
    <row r="380" spans="1:3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</row>
    <row r="381" spans="1:3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</row>
    <row r="382" spans="1:3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</row>
    <row r="383" spans="1:3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</row>
    <row r="384" spans="1:3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</row>
    <row r="385" spans="1:3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</row>
    <row r="386" spans="1:3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</row>
    <row r="387" spans="1:3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</row>
    <row r="388" spans="1:3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</row>
    <row r="389" spans="1:3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</row>
    <row r="390" spans="1:3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</row>
    <row r="391" spans="1:3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</row>
    <row r="392" spans="1:3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</row>
    <row r="393" spans="1:3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</row>
    <row r="394" spans="1:3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</row>
    <row r="395" spans="1:3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</row>
    <row r="396" spans="1:3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</row>
    <row r="397" spans="1:3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</row>
    <row r="398" spans="1:3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</row>
    <row r="399" spans="1:3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</row>
    <row r="400" spans="1:3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</row>
    <row r="401" spans="1:3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</row>
    <row r="402" spans="1:3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</row>
    <row r="403" spans="1:3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</row>
    <row r="404" spans="1:3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</row>
    <row r="405" spans="1:3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</row>
    <row r="406" spans="1:3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</row>
    <row r="407" spans="1:3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</row>
    <row r="408" spans="1:3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</row>
    <row r="409" spans="1:3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</row>
    <row r="410" spans="1:3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</row>
    <row r="411" spans="1:3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</row>
    <row r="412" spans="1:3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</row>
    <row r="413" spans="1:3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</row>
    <row r="414" spans="1:3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</row>
    <row r="415" spans="1:3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</row>
    <row r="416" spans="1:3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</row>
    <row r="417" spans="1:3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</row>
    <row r="418" spans="1:3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</row>
    <row r="419" spans="1:3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</row>
    <row r="420" spans="1:3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</row>
    <row r="421" spans="1:3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</row>
    <row r="422" spans="1:3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</row>
    <row r="423" spans="1:3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</row>
    <row r="424" spans="1:3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</row>
    <row r="425" spans="1:3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</row>
    <row r="426" spans="1:3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</row>
    <row r="427" spans="1:3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</row>
    <row r="428" spans="1:3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</row>
    <row r="429" spans="1:3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</row>
    <row r="430" spans="1:3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</row>
    <row r="431" spans="1:3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</row>
    <row r="432" spans="1:3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</row>
    <row r="433" spans="1:3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</row>
    <row r="434" spans="1:3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</row>
    <row r="435" spans="1:3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</row>
    <row r="436" spans="1:3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</row>
    <row r="437" spans="1:3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</row>
    <row r="438" spans="1:3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</row>
    <row r="439" spans="1:3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</row>
    <row r="440" spans="1:3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</row>
    <row r="441" spans="1:3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</row>
    <row r="442" spans="1:3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</row>
    <row r="443" spans="1:3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</row>
    <row r="444" spans="1:3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</row>
    <row r="445" spans="1:3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</row>
    <row r="446" spans="1:3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</row>
    <row r="447" spans="1:3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</row>
    <row r="448" spans="1:3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</row>
    <row r="449" spans="1:3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</row>
    <row r="450" spans="1:3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</row>
    <row r="451" spans="1:3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</row>
    <row r="452" spans="1:3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</row>
    <row r="453" spans="1:3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</row>
    <row r="454" spans="1:3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</row>
    <row r="455" spans="1:3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</row>
    <row r="456" spans="1:3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</row>
    <row r="457" spans="1:3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</row>
    <row r="458" spans="1:3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</row>
    <row r="459" spans="1:3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</row>
    <row r="460" spans="1:3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</row>
    <row r="461" spans="1:3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</row>
    <row r="462" spans="1:3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</row>
    <row r="463" spans="1:3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</row>
    <row r="464" spans="1:3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</row>
    <row r="465" spans="1:3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</row>
    <row r="466" spans="1:3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</row>
    <row r="467" spans="1:3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</row>
    <row r="468" spans="1:3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</row>
    <row r="469" spans="1:3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</row>
    <row r="470" spans="1:3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</row>
    <row r="471" spans="1:3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</row>
    <row r="472" spans="1:3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</row>
    <row r="473" spans="1:3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</row>
    <row r="474" spans="1:3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</row>
    <row r="475" spans="1:3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</row>
    <row r="476" spans="1:3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</row>
    <row r="477" spans="1:3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</row>
    <row r="478" spans="1:3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</row>
    <row r="479" spans="1:3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</row>
    <row r="480" spans="1:3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</row>
    <row r="481" spans="1:3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</row>
    <row r="482" spans="1:3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</row>
    <row r="483" spans="1:3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</row>
    <row r="484" spans="1:3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</row>
    <row r="485" spans="1:3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</row>
    <row r="486" spans="1:3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</row>
    <row r="487" spans="1:3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</row>
    <row r="488" spans="1:3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</row>
    <row r="489" spans="1:3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</row>
    <row r="490" spans="1:3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</row>
    <row r="491" spans="1:3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</row>
    <row r="492" spans="1:3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</row>
    <row r="493" spans="1:3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</row>
    <row r="494" spans="1:3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</row>
    <row r="495" spans="1:3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</row>
    <row r="496" spans="1:3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</row>
    <row r="497" spans="1:3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</row>
    <row r="498" spans="1:3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</row>
    <row r="499" spans="1:3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</row>
    <row r="500" spans="1:3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</row>
    <row r="501" spans="1:3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</row>
    <row r="502" spans="1:3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</row>
    <row r="503" spans="1:3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</row>
    <row r="504" spans="1:3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</row>
    <row r="505" spans="1:3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</row>
    <row r="506" spans="1:3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</row>
    <row r="507" spans="1:3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</row>
    <row r="508" spans="1:3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</row>
    <row r="509" spans="1:3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</row>
    <row r="510" spans="1:3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</row>
    <row r="511" spans="1:3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</row>
    <row r="512" spans="1:3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</row>
    <row r="513" spans="1:3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</row>
    <row r="514" spans="1:3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</row>
    <row r="515" spans="1:3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</row>
    <row r="516" spans="1:3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</row>
    <row r="517" spans="1:3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</row>
    <row r="518" spans="1:3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</row>
    <row r="519" spans="1:3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</row>
    <row r="520" spans="1:3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</row>
    <row r="521" spans="1:3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</row>
    <row r="522" spans="1:3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</row>
    <row r="523" spans="1:3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</row>
    <row r="524" spans="1:3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</row>
    <row r="525" spans="1:3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</row>
    <row r="526" spans="1:3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</row>
    <row r="527" spans="1:3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</row>
    <row r="528" spans="1:3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</row>
    <row r="529" spans="1:3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</row>
    <row r="530" spans="1:3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</row>
    <row r="531" spans="1:3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</row>
    <row r="532" spans="1:3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</row>
    <row r="533" spans="1:3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</row>
    <row r="534" spans="1:3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</row>
    <row r="535" spans="1:3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</row>
    <row r="536" spans="1:3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</row>
    <row r="537" spans="1:3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</row>
    <row r="538" spans="1:3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</row>
    <row r="539" spans="1:3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</row>
    <row r="540" spans="1:3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</row>
    <row r="541" spans="1:3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</row>
    <row r="542" spans="1:3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</row>
    <row r="543" spans="1:3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</row>
    <row r="544" spans="1:3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</row>
    <row r="545" spans="1:3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</row>
    <row r="546" spans="1:3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</row>
    <row r="547" spans="1:3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</row>
    <row r="548" spans="1:3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</row>
    <row r="549" spans="1:3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</row>
    <row r="550" spans="1:3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</row>
    <row r="551" spans="1:3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</row>
    <row r="552" spans="1:3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</row>
    <row r="553" spans="1:3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</row>
    <row r="554" spans="1:3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</row>
    <row r="555" spans="1:3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</row>
    <row r="556" spans="1:3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</row>
    <row r="557" spans="1:3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</row>
    <row r="558" spans="1:3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</row>
    <row r="559" spans="1:3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</row>
    <row r="560" spans="1:3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</row>
    <row r="561" spans="1:3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</row>
    <row r="562" spans="1:3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</row>
    <row r="563" spans="1:3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</row>
    <row r="564" spans="1:3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</row>
    <row r="565" spans="1:3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</row>
    <row r="566" spans="1:3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</row>
    <row r="567" spans="1:3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</row>
    <row r="568" spans="1:3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</row>
    <row r="569" spans="1:3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</row>
    <row r="570" spans="1:3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</row>
    <row r="571" spans="1:3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</row>
    <row r="572" spans="1:3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</row>
    <row r="573" spans="1:3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</row>
    <row r="574" spans="1:3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</row>
    <row r="575" spans="1:3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</row>
    <row r="576" spans="1:3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</row>
    <row r="577" spans="1:3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</row>
    <row r="578" spans="1:3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</row>
    <row r="579" spans="1:3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</row>
    <row r="580" spans="1:3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</row>
    <row r="581" spans="1:3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</row>
    <row r="582" spans="1:3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</row>
    <row r="583" spans="1:3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</row>
    <row r="584" spans="1:3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</row>
    <row r="585" spans="1:3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</row>
    <row r="586" spans="1:3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</row>
    <row r="587" spans="1:3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</row>
    <row r="588" spans="1:3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</row>
    <row r="589" spans="1:3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</row>
    <row r="590" spans="1:3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</row>
    <row r="591" spans="1:3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</row>
    <row r="592" spans="1:3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</row>
    <row r="593" spans="1:3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</row>
    <row r="594" spans="1:3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</row>
    <row r="595" spans="1:3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</row>
    <row r="596" spans="1:3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</row>
    <row r="597" spans="1:3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</row>
    <row r="598" spans="1:3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</row>
    <row r="599" spans="1:3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</row>
    <row r="600" spans="1:3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</row>
    <row r="601" spans="1:3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</row>
    <row r="602" spans="1:3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</row>
    <row r="603" spans="1:3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</row>
    <row r="604" spans="1:3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</row>
    <row r="605" spans="1:3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</row>
    <row r="606" spans="1:3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</row>
    <row r="607" spans="1:3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</row>
    <row r="608" spans="1:3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</row>
    <row r="609" spans="1:3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</row>
    <row r="610" spans="1:3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</row>
    <row r="611" spans="1:3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</row>
    <row r="612" spans="1:3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</row>
    <row r="613" spans="1:3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</row>
    <row r="614" spans="1:3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</row>
    <row r="615" spans="1:3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</row>
    <row r="616" spans="1:3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</row>
    <row r="617" spans="1:3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</row>
    <row r="618" spans="1:3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</row>
    <row r="619" spans="1:3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</row>
    <row r="620" spans="1:3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</row>
    <row r="621" spans="1:3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</row>
    <row r="622" spans="1:3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</row>
    <row r="623" spans="1:3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</row>
    <row r="624" spans="1:3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</row>
    <row r="625" spans="1:3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</row>
    <row r="626" spans="1:3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</row>
    <row r="627" spans="1:3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</row>
    <row r="628" spans="1:3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</row>
    <row r="629" spans="1:3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</row>
    <row r="630" spans="1:3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</row>
    <row r="631" spans="1:3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</row>
    <row r="632" spans="1:3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</row>
    <row r="633" spans="1:3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</row>
    <row r="634" spans="1:3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</row>
    <row r="635" spans="1:3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</row>
    <row r="636" spans="1:3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</row>
    <row r="637" spans="1:3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</row>
    <row r="638" spans="1:3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</row>
    <row r="639" spans="1:3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</row>
    <row r="640" spans="1:3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</row>
    <row r="641" spans="1:3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</row>
    <row r="642" spans="1:3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</row>
    <row r="643" spans="1:3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</row>
    <row r="644" spans="1:3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</row>
    <row r="645" spans="1:3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</row>
    <row r="646" spans="1:3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</row>
    <row r="647" spans="1:3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</row>
    <row r="648" spans="1:3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</row>
    <row r="649" spans="1:3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</row>
    <row r="650" spans="1:3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</row>
    <row r="651" spans="1:3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</row>
    <row r="652" spans="1:3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</row>
    <row r="653" spans="1:3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</row>
    <row r="654" spans="1:3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</row>
    <row r="655" spans="1:3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</row>
    <row r="656" spans="1:3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</row>
    <row r="657" spans="1:3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</row>
    <row r="658" spans="1:3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</row>
    <row r="659" spans="1:3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</row>
    <row r="660" spans="1:3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</row>
    <row r="661" spans="1:3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</row>
    <row r="662" spans="1:3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</row>
    <row r="663" spans="1:3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</row>
    <row r="664" spans="1:3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</row>
    <row r="665" spans="1:3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</row>
    <row r="666" spans="1:3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</row>
    <row r="667" spans="1:3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</row>
    <row r="668" spans="1:3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</row>
    <row r="669" spans="1:3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</row>
    <row r="670" spans="1:3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</row>
    <row r="671" spans="1:3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</row>
    <row r="672" spans="1:3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</row>
    <row r="673" spans="1:3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</row>
    <row r="674" spans="1:3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</row>
    <row r="675" spans="1:3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</row>
    <row r="676" spans="1:3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</row>
    <row r="677" spans="1:3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</row>
    <row r="678" spans="1:3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</row>
    <row r="679" spans="1:3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</row>
    <row r="680" spans="1:3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</row>
    <row r="681" spans="1:3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</row>
    <row r="682" spans="1:3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</row>
    <row r="683" spans="1:3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</row>
    <row r="684" spans="1:3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</row>
    <row r="685" spans="1:3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</row>
    <row r="686" spans="1:3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</row>
    <row r="687" spans="1:3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</row>
    <row r="688" spans="1:3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</row>
    <row r="689" spans="1:3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</row>
    <row r="690" spans="1:3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</row>
    <row r="691" spans="1:3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</row>
    <row r="692" spans="1:3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</row>
    <row r="693" spans="1:3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</row>
    <row r="694" spans="1:3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</row>
    <row r="695" spans="1:3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</row>
    <row r="696" spans="1:3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</row>
    <row r="697" spans="1:3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</row>
    <row r="698" spans="1:3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</row>
    <row r="699" spans="1:3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</row>
    <row r="700" spans="1:3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</row>
    <row r="701" spans="1:3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</row>
    <row r="702" spans="1:3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</row>
    <row r="703" spans="1:3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</row>
    <row r="704" spans="1:3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</row>
    <row r="705" spans="1:3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</row>
    <row r="706" spans="1:3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</row>
    <row r="707" spans="1:3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</row>
    <row r="708" spans="1:3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</row>
    <row r="709" spans="1:3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</row>
    <row r="710" spans="1:3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</row>
    <row r="711" spans="1:3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</row>
    <row r="712" spans="1:3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</row>
    <row r="713" spans="1:3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</row>
    <row r="714" spans="1:3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</row>
    <row r="715" spans="1:3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</row>
    <row r="716" spans="1:3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</row>
    <row r="717" spans="1:3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</row>
    <row r="718" spans="1:3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</row>
    <row r="719" spans="1:3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</row>
    <row r="720" spans="1:3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</row>
    <row r="721" spans="1:3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</row>
    <row r="722" spans="1:3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</row>
    <row r="723" spans="1:3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</row>
    <row r="724" spans="1:3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</row>
    <row r="725" spans="1:3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</row>
    <row r="726" spans="1:3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</row>
    <row r="727" spans="1:3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</row>
    <row r="728" spans="1:3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</row>
    <row r="729" spans="1:3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</row>
    <row r="730" spans="1:3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</row>
    <row r="731" spans="1:3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</row>
    <row r="732" spans="1:3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</row>
    <row r="733" spans="1:3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</row>
    <row r="734" spans="1:3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</row>
    <row r="735" spans="1:3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</row>
    <row r="736" spans="1:3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</row>
    <row r="737" spans="1:3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</row>
    <row r="738" spans="1:3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</row>
    <row r="739" spans="1:3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</row>
    <row r="740" spans="1:3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</row>
    <row r="741" spans="1:3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</row>
    <row r="742" spans="1:3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</row>
    <row r="743" spans="1:3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</row>
    <row r="744" spans="1:3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</row>
    <row r="745" spans="1:3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</row>
    <row r="746" spans="1:3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</row>
    <row r="747" spans="1:3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</row>
    <row r="748" spans="1:3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</row>
    <row r="749" spans="1:3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</row>
    <row r="750" spans="1:3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</row>
    <row r="751" spans="1:3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</row>
    <row r="752" spans="1:3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</row>
    <row r="753" spans="1:3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</row>
    <row r="754" spans="1:3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</row>
    <row r="755" spans="1:3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</row>
    <row r="756" spans="1:3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</row>
    <row r="757" spans="1:3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</row>
    <row r="758" spans="1:3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</row>
    <row r="759" spans="1:3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</row>
    <row r="760" spans="1:3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</row>
    <row r="761" spans="1:3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</row>
    <row r="762" spans="1:3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</row>
    <row r="763" spans="1:3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</row>
    <row r="764" spans="1:3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</row>
    <row r="765" spans="1:3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</row>
    <row r="766" spans="1:3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</row>
    <row r="767" spans="1:3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</row>
    <row r="768" spans="1:3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</row>
    <row r="769" spans="1:3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</row>
    <row r="770" spans="1:3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</row>
    <row r="771" spans="1:3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</row>
    <row r="772" spans="1:3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</row>
    <row r="773" spans="1:3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</row>
    <row r="774" spans="1:3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</row>
    <row r="775" spans="1:3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</row>
    <row r="776" spans="1:3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</row>
    <row r="777" spans="1:3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</row>
    <row r="778" spans="1:3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</row>
    <row r="779" spans="1:3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</row>
    <row r="780" spans="1:3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</row>
    <row r="781" spans="1:3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</row>
    <row r="782" spans="1:3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</row>
    <row r="783" spans="1:3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</row>
    <row r="784" spans="1:3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</row>
    <row r="785" spans="1:3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</row>
    <row r="786" spans="1:3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</row>
    <row r="787" spans="1:3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</row>
    <row r="788" spans="1:3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</row>
    <row r="789" spans="1:3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</row>
    <row r="790" spans="1:3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</row>
    <row r="791" spans="1:3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</row>
    <row r="792" spans="1:3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</row>
    <row r="793" spans="1:3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</row>
    <row r="794" spans="1:3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</row>
    <row r="795" spans="1:3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</row>
    <row r="796" spans="1:3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</row>
    <row r="797" spans="1:3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</row>
    <row r="798" spans="1:3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</row>
    <row r="799" spans="1:3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</row>
    <row r="800" spans="1:3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</row>
    <row r="801" spans="1:3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</row>
    <row r="802" spans="1:3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</row>
    <row r="803" spans="1:3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</row>
    <row r="804" spans="1:3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</row>
    <row r="805" spans="1:3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</row>
    <row r="806" spans="1:3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</row>
    <row r="807" spans="1:3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</row>
    <row r="808" spans="1:3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</row>
    <row r="809" spans="1:3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</row>
    <row r="810" spans="1:3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</row>
    <row r="811" spans="1:3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</row>
    <row r="812" spans="1:3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</row>
    <row r="813" spans="1:3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</row>
    <row r="814" spans="1:3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</row>
    <row r="815" spans="1:3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</row>
    <row r="816" spans="1:3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</row>
    <row r="817" spans="1:3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</row>
    <row r="818" spans="1:3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</row>
    <row r="819" spans="1:3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</row>
    <row r="820" spans="1:3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</row>
    <row r="821" spans="1:3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</row>
    <row r="822" spans="1:3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</row>
    <row r="823" spans="1:3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</row>
    <row r="824" spans="1:3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</row>
    <row r="825" spans="1:3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</row>
    <row r="826" spans="1:3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</row>
    <row r="827" spans="1:3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</row>
    <row r="828" spans="1:3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</row>
    <row r="829" spans="1:3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</row>
    <row r="830" spans="1:3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</row>
    <row r="831" spans="1:3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</row>
    <row r="832" spans="1:3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</row>
    <row r="833" spans="1:3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</row>
    <row r="834" spans="1:3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</row>
    <row r="835" spans="1:3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</row>
    <row r="836" spans="1:3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</row>
    <row r="837" spans="1:3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</row>
    <row r="838" spans="1:3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</row>
    <row r="839" spans="1:3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</row>
    <row r="840" spans="1:3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</row>
    <row r="841" spans="1:3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</row>
    <row r="842" spans="1:3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</row>
    <row r="843" spans="1:3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</row>
    <row r="844" spans="1:3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</row>
    <row r="845" spans="1:3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</row>
    <row r="846" spans="1:3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</row>
    <row r="847" spans="1:3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</row>
    <row r="848" spans="1:3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</row>
    <row r="849" spans="1:3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</row>
    <row r="850" spans="1:3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</row>
    <row r="851" spans="1:3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</row>
    <row r="852" spans="1:3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</row>
    <row r="853" spans="1:3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</row>
    <row r="854" spans="1:3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</row>
    <row r="855" spans="1:3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</row>
    <row r="856" spans="1:3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</row>
    <row r="857" spans="1:3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</row>
    <row r="858" spans="1:3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</row>
    <row r="859" spans="1:3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</row>
    <row r="860" spans="1:3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</row>
    <row r="861" spans="1:3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</row>
    <row r="862" spans="1:3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</row>
    <row r="863" spans="1:3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</row>
    <row r="864" spans="1:3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</row>
    <row r="865" spans="1:3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</row>
    <row r="866" spans="1:3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</row>
    <row r="867" spans="1:3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</row>
    <row r="868" spans="1:3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</row>
    <row r="869" spans="1:3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</row>
    <row r="870" spans="1:3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</row>
    <row r="871" spans="1:3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</row>
    <row r="872" spans="1:3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</row>
    <row r="873" spans="1:3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</row>
    <row r="874" spans="1:3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</row>
    <row r="875" spans="1:3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</row>
    <row r="876" spans="1:3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</row>
    <row r="877" spans="1:3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</row>
    <row r="878" spans="1:3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</row>
    <row r="879" spans="1:3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</row>
    <row r="880" spans="1:3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</row>
    <row r="881" spans="1:3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</row>
    <row r="882" spans="1:3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</row>
    <row r="883" spans="1:3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</row>
    <row r="884" spans="1:3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</row>
    <row r="885" spans="1:3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</row>
    <row r="886" spans="1:3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</row>
    <row r="887" spans="1:3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</row>
    <row r="888" spans="1:3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</row>
    <row r="889" spans="1:3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</row>
    <row r="890" spans="1:3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</row>
    <row r="891" spans="1:3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</row>
    <row r="892" spans="1:3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</row>
    <row r="893" spans="1:3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</row>
    <row r="894" spans="1:3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</row>
    <row r="895" spans="1:3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</row>
    <row r="896" spans="1:3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</row>
    <row r="897" spans="1:3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</row>
    <row r="898" spans="1:3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</row>
    <row r="899" spans="1:3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</row>
    <row r="900" spans="1:3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</row>
    <row r="901" spans="1:3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</row>
    <row r="902" spans="1:3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</row>
    <row r="903" spans="1:3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</row>
    <row r="904" spans="1:3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</row>
    <row r="905" spans="1:3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</row>
    <row r="906" spans="1:3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</row>
    <row r="907" spans="1:3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</row>
    <row r="908" spans="1:3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</row>
    <row r="909" spans="1:3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</row>
    <row r="910" spans="1:3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</row>
    <row r="911" spans="1:3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</row>
    <row r="912" spans="1:3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</row>
    <row r="913" spans="1:3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</row>
    <row r="914" spans="1:3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</row>
    <row r="915" spans="1:3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</row>
    <row r="916" spans="1:3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</row>
    <row r="917" spans="1:3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</row>
    <row r="918" spans="1:3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</row>
    <row r="919" spans="1:3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</row>
    <row r="920" spans="1:3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</row>
    <row r="921" spans="1:3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</row>
    <row r="922" spans="1:3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</row>
    <row r="923" spans="1:3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</row>
    <row r="924" spans="1:3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</row>
    <row r="925" spans="1:3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</row>
    <row r="926" spans="1:3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</row>
    <row r="927" spans="1:3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</row>
    <row r="928" spans="1:3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</row>
    <row r="929" spans="1:3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</row>
    <row r="930" spans="1:3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</row>
    <row r="931" spans="1:3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</row>
    <row r="932" spans="1:3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</row>
    <row r="933" spans="1:3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</row>
    <row r="934" spans="1:3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</row>
    <row r="935" spans="1:3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</row>
    <row r="936" spans="1:3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</row>
    <row r="937" spans="1:3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</row>
    <row r="938" spans="1:3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</row>
    <row r="939" spans="1:3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</row>
    <row r="940" spans="1:3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</row>
    <row r="941" spans="1:3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</row>
    <row r="942" spans="1:3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</row>
    <row r="943" spans="1:3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</row>
    <row r="944" spans="1:3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</row>
    <row r="945" spans="1:3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</row>
    <row r="946" spans="1:3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</row>
    <row r="947" spans="1:3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</row>
    <row r="948" spans="1:3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</row>
    <row r="949" spans="1:3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</row>
    <row r="950" spans="1:3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</row>
    <row r="951" spans="1:3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</row>
    <row r="952" spans="1:3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</row>
    <row r="953" spans="1:3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</row>
    <row r="954" spans="1:3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</row>
    <row r="955" spans="1:3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</row>
    <row r="956" spans="1:3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</row>
    <row r="957" spans="1:3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</row>
    <row r="958" spans="1:3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</row>
    <row r="959" spans="1:3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</row>
    <row r="960" spans="1:3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</row>
    <row r="961" spans="1:3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</row>
    <row r="962" spans="1:3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</row>
    <row r="963" spans="1:3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</row>
    <row r="964" spans="1:3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</row>
    <row r="965" spans="1:3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</row>
    <row r="966" spans="1:3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</row>
    <row r="967" spans="1:3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</row>
    <row r="968" spans="1:3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</row>
    <row r="969" spans="1:3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</row>
    <row r="970" spans="1:3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</row>
    <row r="971" spans="1:3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</row>
    <row r="972" spans="1:3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</row>
    <row r="973" spans="1:3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</row>
    <row r="974" spans="1:3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</row>
    <row r="975" spans="1:3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</row>
    <row r="976" spans="1:3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</row>
    <row r="977" spans="1:3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</row>
    <row r="978" spans="1:3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</row>
    <row r="979" spans="1:3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</row>
    <row r="980" spans="1:3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</row>
    <row r="981" spans="1:3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</row>
    <row r="982" spans="1:3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</row>
    <row r="983" spans="1:3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</row>
    <row r="984" spans="1:3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</row>
    <row r="985" spans="1:3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</row>
    <row r="986" spans="1:3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</row>
    <row r="987" spans="1:3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</row>
    <row r="988" spans="1:3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</row>
    <row r="989" spans="1:3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</row>
    <row r="990" spans="1:3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</row>
    <row r="991" spans="1:3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</row>
    <row r="992" spans="1:3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</row>
    <row r="993" spans="1:3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</row>
    <row r="994" spans="1:3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</row>
    <row r="995" spans="1:36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</row>
    <row r="996" spans="1:36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</row>
    <row r="997" spans="1:36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</row>
    <row r="998" spans="1:36" ht="15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</row>
    <row r="999" spans="1:36" ht="15.7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</row>
    <row r="1000" spans="1:36" ht="15.7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</row>
  </sheetData>
  <mergeCells count="16">
    <mergeCell ref="Q21:R21"/>
    <mergeCell ref="AB13:AC13"/>
    <mergeCell ref="AB15:AC15"/>
    <mergeCell ref="A12:J12"/>
    <mergeCell ref="AA12:AJ12"/>
    <mergeCell ref="K13:N13"/>
    <mergeCell ref="Q13:X13"/>
    <mergeCell ref="AE13:AF13"/>
    <mergeCell ref="A14:F15"/>
    <mergeCell ref="Q15:X15"/>
    <mergeCell ref="AE15:AF15"/>
    <mergeCell ref="G14:G15"/>
    <mergeCell ref="H14:H15"/>
    <mergeCell ref="Q16:R16"/>
    <mergeCell ref="Q17:R17"/>
    <mergeCell ref="Q20:R20"/>
  </mergeCells>
  <pageMargins left="0.511811024" right="0.511811024" top="0.78740157499999996" bottom="0.78740157499999996" header="0" footer="0"/>
  <pageSetup paperSize="9" scale="8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 x14ac:dyDescent="0.3"/>
  <cols>
    <col min="1" max="1" width="8" customWidth="1"/>
    <col min="2" max="2" width="7" customWidth="1"/>
    <col min="3" max="3" width="6.33203125" customWidth="1"/>
    <col min="4" max="4" width="5.109375" customWidth="1"/>
    <col min="5" max="5" width="5.33203125" customWidth="1"/>
    <col min="6" max="6" width="5.6640625" customWidth="1"/>
    <col min="7" max="7" width="5.88671875" customWidth="1"/>
    <col min="8" max="8" width="6.109375" customWidth="1"/>
    <col min="9" max="9" width="5.88671875" customWidth="1"/>
    <col min="10" max="10" width="6.88671875" customWidth="1"/>
    <col min="11" max="11" width="4.6640625" customWidth="1"/>
    <col min="12" max="12" width="1.109375" customWidth="1"/>
    <col min="13" max="13" width="3.88671875" customWidth="1"/>
    <col min="14" max="14" width="2.44140625" customWidth="1"/>
    <col min="15" max="15" width="4.109375" customWidth="1"/>
    <col min="16" max="16" width="7" customWidth="1"/>
    <col min="17" max="17" width="2.33203125" customWidth="1"/>
    <col min="18" max="18" width="6.109375" customWidth="1"/>
    <col min="19" max="21" width="11.44140625" hidden="1" customWidth="1"/>
    <col min="22" max="26" width="11.44140625" customWidth="1"/>
  </cols>
  <sheetData>
    <row r="1" spans="1:26" ht="12" customHeight="1" x14ac:dyDescent="0.3">
      <c r="A1" s="118" t="s">
        <v>89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50"/>
      <c r="T1" s="50"/>
      <c r="U1" s="50"/>
      <c r="V1" s="51"/>
      <c r="W1" s="51"/>
      <c r="X1" s="52"/>
      <c r="Y1" s="52"/>
      <c r="Z1" s="52"/>
    </row>
    <row r="2" spans="1:26" ht="5.25" customHeight="1" x14ac:dyDescent="0.3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50"/>
      <c r="T2" s="50"/>
      <c r="U2" s="50"/>
      <c r="V2" s="51"/>
      <c r="W2" s="51"/>
      <c r="X2" s="52"/>
      <c r="Y2" s="52"/>
      <c r="Z2" s="52"/>
    </row>
    <row r="3" spans="1:26" ht="12" customHeight="1" x14ac:dyDescent="0.3">
      <c r="A3" s="53" t="s">
        <v>90</v>
      </c>
      <c r="B3" s="54"/>
      <c r="C3" s="54"/>
      <c r="D3" s="55"/>
      <c r="E3" s="55"/>
      <c r="F3" s="55"/>
      <c r="G3" s="55"/>
      <c r="H3" s="55"/>
      <c r="I3" s="55"/>
      <c r="J3" s="55"/>
      <c r="K3" s="119"/>
      <c r="L3" s="108"/>
      <c r="M3" s="119"/>
      <c r="N3" s="108"/>
      <c r="O3" s="55"/>
      <c r="P3" s="55"/>
      <c r="Q3" s="119"/>
      <c r="R3" s="108"/>
      <c r="S3" s="56"/>
      <c r="T3" s="56"/>
      <c r="U3" s="56"/>
      <c r="V3" s="57"/>
      <c r="W3" s="57"/>
      <c r="X3" s="58"/>
      <c r="Y3" s="58"/>
      <c r="Z3" s="58"/>
    </row>
    <row r="4" spans="1:26" ht="12" customHeight="1" x14ac:dyDescent="0.3">
      <c r="A4" s="59" t="s">
        <v>91</v>
      </c>
      <c r="B4" s="60"/>
      <c r="C4" s="60"/>
      <c r="D4" s="61"/>
      <c r="E4" s="61"/>
      <c r="F4" s="61"/>
      <c r="G4" s="61"/>
      <c r="H4" s="61"/>
      <c r="I4" s="61"/>
      <c r="J4" s="61"/>
      <c r="K4" s="120"/>
      <c r="L4" s="108"/>
      <c r="M4" s="120"/>
      <c r="N4" s="108"/>
      <c r="O4" s="61"/>
      <c r="P4" s="61"/>
      <c r="Q4" s="120"/>
      <c r="R4" s="108"/>
      <c r="S4" s="56"/>
      <c r="T4" s="56"/>
      <c r="U4" s="56"/>
      <c r="V4" s="57"/>
      <c r="W4" s="57"/>
      <c r="X4" s="58"/>
      <c r="Y4" s="58"/>
      <c r="Z4" s="58"/>
    </row>
    <row r="5" spans="1:26" ht="12" customHeight="1" x14ac:dyDescent="0.3">
      <c r="A5" s="53" t="s">
        <v>92</v>
      </c>
      <c r="B5" s="61"/>
      <c r="C5" s="61"/>
      <c r="D5" s="61"/>
      <c r="E5" s="61"/>
      <c r="F5" s="61"/>
      <c r="G5" s="61"/>
      <c r="H5" s="61"/>
      <c r="I5" s="61"/>
      <c r="J5" s="61"/>
      <c r="K5" s="120"/>
      <c r="L5" s="108"/>
      <c r="M5" s="120"/>
      <c r="N5" s="108"/>
      <c r="O5" s="60"/>
      <c r="P5" s="60"/>
      <c r="Q5" s="132"/>
      <c r="R5" s="126"/>
      <c r="S5" s="56"/>
      <c r="T5" s="56"/>
      <c r="U5" s="56"/>
      <c r="V5" s="57"/>
      <c r="W5" s="57"/>
      <c r="X5" s="58"/>
      <c r="Y5" s="58"/>
      <c r="Z5" s="58"/>
    </row>
    <row r="6" spans="1:26" ht="12" customHeight="1" x14ac:dyDescent="0.3">
      <c r="A6" s="133" t="s">
        <v>93</v>
      </c>
      <c r="B6" s="125"/>
      <c r="C6" s="133" t="s">
        <v>94</v>
      </c>
      <c r="D6" s="138"/>
      <c r="E6" s="125"/>
      <c r="F6" s="133" t="s">
        <v>95</v>
      </c>
      <c r="G6" s="138"/>
      <c r="H6" s="138"/>
      <c r="I6" s="125"/>
      <c r="J6" s="121" t="s">
        <v>96</v>
      </c>
      <c r="K6" s="133" t="s">
        <v>97</v>
      </c>
      <c r="L6" s="125"/>
      <c r="M6" s="133" t="s">
        <v>98</v>
      </c>
      <c r="N6" s="125"/>
      <c r="O6" s="124" t="s">
        <v>99</v>
      </c>
      <c r="P6" s="125"/>
      <c r="Q6" s="133" t="s">
        <v>100</v>
      </c>
      <c r="R6" s="125"/>
      <c r="S6" s="50"/>
      <c r="T6" s="50"/>
      <c r="U6" s="50"/>
      <c r="V6" s="51"/>
      <c r="W6" s="51"/>
      <c r="X6" s="52"/>
      <c r="Y6" s="52"/>
      <c r="Z6" s="52"/>
    </row>
    <row r="7" spans="1:26" ht="19.5" customHeight="1" x14ac:dyDescent="0.3">
      <c r="A7" s="135"/>
      <c r="B7" s="127"/>
      <c r="C7" s="135"/>
      <c r="D7" s="126"/>
      <c r="E7" s="127"/>
      <c r="F7" s="135"/>
      <c r="G7" s="126"/>
      <c r="H7" s="126"/>
      <c r="I7" s="127"/>
      <c r="J7" s="122"/>
      <c r="K7" s="134"/>
      <c r="L7" s="129"/>
      <c r="M7" s="134"/>
      <c r="N7" s="129"/>
      <c r="O7" s="126"/>
      <c r="P7" s="127"/>
      <c r="Q7" s="134"/>
      <c r="R7" s="129"/>
      <c r="S7" s="62"/>
      <c r="T7" s="50"/>
      <c r="U7" s="50"/>
      <c r="V7" s="51"/>
      <c r="W7" s="51"/>
      <c r="X7" s="52"/>
      <c r="Y7" s="52"/>
      <c r="Z7" s="52"/>
    </row>
    <row r="8" spans="1:26" ht="12" customHeight="1" x14ac:dyDescent="0.3">
      <c r="A8" s="121" t="s">
        <v>101</v>
      </c>
      <c r="B8" s="121" t="s">
        <v>102</v>
      </c>
      <c r="C8" s="121" t="s">
        <v>103</v>
      </c>
      <c r="D8" s="121" t="s">
        <v>104</v>
      </c>
      <c r="E8" s="121" t="s">
        <v>105</v>
      </c>
      <c r="F8" s="121" t="s">
        <v>106</v>
      </c>
      <c r="G8" s="121" t="s">
        <v>107</v>
      </c>
      <c r="H8" s="121" t="s">
        <v>108</v>
      </c>
      <c r="I8" s="121" t="s">
        <v>109</v>
      </c>
      <c r="J8" s="122"/>
      <c r="K8" s="134"/>
      <c r="L8" s="129"/>
      <c r="M8" s="134"/>
      <c r="N8" s="129"/>
      <c r="O8" s="128" t="s">
        <v>110</v>
      </c>
      <c r="P8" s="121" t="s">
        <v>111</v>
      </c>
      <c r="Q8" s="134"/>
      <c r="R8" s="129"/>
      <c r="S8" s="62"/>
      <c r="T8" s="62"/>
      <c r="U8" s="62"/>
      <c r="V8" s="51"/>
      <c r="W8" s="51"/>
      <c r="X8" s="52"/>
      <c r="Y8" s="52"/>
      <c r="Z8" s="52"/>
    </row>
    <row r="9" spans="1:26" ht="12" customHeight="1" x14ac:dyDescent="0.3">
      <c r="A9" s="122"/>
      <c r="B9" s="122"/>
      <c r="C9" s="122"/>
      <c r="D9" s="122"/>
      <c r="E9" s="122"/>
      <c r="F9" s="122"/>
      <c r="G9" s="122"/>
      <c r="H9" s="122"/>
      <c r="I9" s="122"/>
      <c r="J9" s="122"/>
      <c r="K9" s="134"/>
      <c r="L9" s="129"/>
      <c r="M9" s="134"/>
      <c r="N9" s="129"/>
      <c r="O9" s="129"/>
      <c r="P9" s="122"/>
      <c r="Q9" s="134"/>
      <c r="R9" s="129"/>
      <c r="S9" s="62"/>
      <c r="T9" s="50"/>
      <c r="U9" s="62"/>
      <c r="V9" s="51"/>
      <c r="W9" s="51"/>
      <c r="X9" s="52"/>
      <c r="Y9" s="52"/>
      <c r="Z9" s="63"/>
    </row>
    <row r="10" spans="1:26" ht="14.25" customHeight="1" x14ac:dyDescent="0.3">
      <c r="A10" s="123"/>
      <c r="B10" s="123"/>
      <c r="C10" s="123"/>
      <c r="D10" s="123"/>
      <c r="E10" s="123"/>
      <c r="F10" s="123"/>
      <c r="G10" s="123"/>
      <c r="H10" s="123"/>
      <c r="I10" s="123"/>
      <c r="J10" s="123"/>
      <c r="K10" s="135"/>
      <c r="L10" s="127"/>
      <c r="M10" s="135"/>
      <c r="N10" s="127"/>
      <c r="O10" s="127"/>
      <c r="P10" s="123"/>
      <c r="Q10" s="135"/>
      <c r="R10" s="127"/>
      <c r="S10" s="50" t="s">
        <v>112</v>
      </c>
      <c r="T10" s="50" t="s">
        <v>112</v>
      </c>
      <c r="U10" s="50" t="s">
        <v>112</v>
      </c>
      <c r="V10" s="51"/>
      <c r="W10" s="51"/>
      <c r="X10" s="52"/>
      <c r="Y10" s="52"/>
      <c r="Z10" s="63"/>
    </row>
    <row r="11" spans="1:26" ht="12" customHeight="1" x14ac:dyDescent="0.3">
      <c r="A11" s="64" t="s">
        <v>60</v>
      </c>
      <c r="B11" s="65" t="s">
        <v>113</v>
      </c>
      <c r="C11" s="66" t="s">
        <v>114</v>
      </c>
      <c r="D11" s="67" t="s">
        <v>114</v>
      </c>
      <c r="E11" s="66" t="s">
        <v>114</v>
      </c>
      <c r="F11" s="67">
        <v>53</v>
      </c>
      <c r="G11" s="66">
        <v>44</v>
      </c>
      <c r="H11" s="67">
        <v>219</v>
      </c>
      <c r="I11" s="66">
        <v>684</v>
      </c>
      <c r="J11" s="68" t="s">
        <v>114</v>
      </c>
      <c r="K11" s="130" t="s">
        <v>114</v>
      </c>
      <c r="L11" s="108"/>
      <c r="M11" s="141">
        <v>0.32</v>
      </c>
      <c r="N11" s="129"/>
      <c r="O11" s="70" t="s">
        <v>114</v>
      </c>
      <c r="P11" s="71" t="s">
        <v>114</v>
      </c>
      <c r="Q11" s="136" t="s">
        <v>114</v>
      </c>
      <c r="R11" s="125"/>
      <c r="S11" s="72" t="s">
        <v>61</v>
      </c>
      <c r="T11" s="72" t="s">
        <v>61</v>
      </c>
      <c r="U11" s="72" t="s">
        <v>61</v>
      </c>
      <c r="V11" s="73" t="s">
        <v>61</v>
      </c>
      <c r="W11" s="74"/>
      <c r="X11" s="52"/>
      <c r="Y11" s="52"/>
      <c r="Z11" s="63"/>
    </row>
    <row r="12" spans="1:26" ht="12" customHeight="1" x14ac:dyDescent="0.3">
      <c r="A12" s="75" t="s">
        <v>60</v>
      </c>
      <c r="B12" s="76" t="s">
        <v>115</v>
      </c>
      <c r="C12" s="66" t="s">
        <v>114</v>
      </c>
      <c r="D12" s="77" t="s">
        <v>114</v>
      </c>
      <c r="E12" s="77" t="s">
        <v>114</v>
      </c>
      <c r="F12" s="66">
        <v>42</v>
      </c>
      <c r="G12" s="77">
        <v>39</v>
      </c>
      <c r="H12" s="66">
        <v>215</v>
      </c>
      <c r="I12" s="77">
        <v>704</v>
      </c>
      <c r="J12" s="66" t="s">
        <v>114</v>
      </c>
      <c r="K12" s="130" t="s">
        <v>114</v>
      </c>
      <c r="L12" s="129"/>
      <c r="M12" s="139">
        <v>0.31</v>
      </c>
      <c r="N12" s="108"/>
      <c r="O12" s="79" t="s">
        <v>114</v>
      </c>
      <c r="P12" s="78" t="s">
        <v>114</v>
      </c>
      <c r="Q12" s="130" t="s">
        <v>114</v>
      </c>
      <c r="R12" s="129"/>
      <c r="S12" s="72" t="s">
        <v>61</v>
      </c>
      <c r="T12" s="72" t="s">
        <v>61</v>
      </c>
      <c r="U12" s="72" t="s">
        <v>61</v>
      </c>
      <c r="V12" s="73" t="s">
        <v>61</v>
      </c>
      <c r="W12" s="51"/>
      <c r="X12" s="52"/>
      <c r="Y12" s="52"/>
      <c r="Z12" s="63"/>
    </row>
    <row r="13" spans="1:26" ht="12" customHeight="1" x14ac:dyDescent="0.3">
      <c r="A13" s="80" t="s">
        <v>114</v>
      </c>
      <c r="B13" s="76" t="s">
        <v>114</v>
      </c>
      <c r="C13" s="66" t="s">
        <v>114</v>
      </c>
      <c r="D13" s="77" t="s">
        <v>114</v>
      </c>
      <c r="E13" s="77" t="s">
        <v>114</v>
      </c>
      <c r="F13" s="66" t="s">
        <v>114</v>
      </c>
      <c r="G13" s="77" t="s">
        <v>114</v>
      </c>
      <c r="H13" s="66" t="s">
        <v>114</v>
      </c>
      <c r="I13" s="77" t="s">
        <v>114</v>
      </c>
      <c r="J13" s="66" t="s">
        <v>114</v>
      </c>
      <c r="K13" s="130" t="s">
        <v>114</v>
      </c>
      <c r="L13" s="129"/>
      <c r="M13" s="139" t="s">
        <v>114</v>
      </c>
      <c r="N13" s="108"/>
      <c r="O13" s="79" t="s">
        <v>114</v>
      </c>
      <c r="P13" s="78" t="s">
        <v>114</v>
      </c>
      <c r="Q13" s="130" t="s">
        <v>114</v>
      </c>
      <c r="R13" s="129"/>
      <c r="S13" s="72" t="s">
        <v>114</v>
      </c>
      <c r="T13" s="72" t="s">
        <v>114</v>
      </c>
      <c r="U13" s="72" t="s">
        <v>114</v>
      </c>
      <c r="V13" s="73" t="s">
        <v>114</v>
      </c>
      <c r="W13" s="51"/>
      <c r="X13" s="52"/>
      <c r="Y13" s="52"/>
      <c r="Z13" s="63"/>
    </row>
    <row r="14" spans="1:26" ht="12" customHeight="1" x14ac:dyDescent="0.3">
      <c r="A14" s="80" t="s">
        <v>114</v>
      </c>
      <c r="B14" s="76" t="s">
        <v>114</v>
      </c>
      <c r="C14" s="66" t="s">
        <v>114</v>
      </c>
      <c r="D14" s="77" t="s">
        <v>114</v>
      </c>
      <c r="E14" s="77" t="s">
        <v>114</v>
      </c>
      <c r="F14" s="66" t="s">
        <v>114</v>
      </c>
      <c r="G14" s="77" t="s">
        <v>114</v>
      </c>
      <c r="H14" s="66" t="s">
        <v>114</v>
      </c>
      <c r="I14" s="77" t="s">
        <v>114</v>
      </c>
      <c r="J14" s="66" t="s">
        <v>114</v>
      </c>
      <c r="K14" s="130" t="s">
        <v>114</v>
      </c>
      <c r="L14" s="129"/>
      <c r="M14" s="139" t="s">
        <v>114</v>
      </c>
      <c r="N14" s="108"/>
      <c r="O14" s="79" t="s">
        <v>114</v>
      </c>
      <c r="P14" s="78" t="s">
        <v>114</v>
      </c>
      <c r="Q14" s="130" t="s">
        <v>114</v>
      </c>
      <c r="R14" s="129"/>
      <c r="S14" s="72" t="s">
        <v>114</v>
      </c>
      <c r="T14" s="72" t="s">
        <v>114</v>
      </c>
      <c r="U14" s="72" t="s">
        <v>114</v>
      </c>
      <c r="V14" s="73" t="s">
        <v>114</v>
      </c>
      <c r="W14" s="51"/>
      <c r="X14" s="52"/>
      <c r="Y14" s="52"/>
      <c r="Z14" s="63"/>
    </row>
    <row r="15" spans="1:26" ht="12" customHeight="1" x14ac:dyDescent="0.3">
      <c r="A15" s="80" t="s">
        <v>114</v>
      </c>
      <c r="B15" s="76" t="s">
        <v>114</v>
      </c>
      <c r="C15" s="66" t="s">
        <v>114</v>
      </c>
      <c r="D15" s="77" t="s">
        <v>114</v>
      </c>
      <c r="E15" s="77" t="s">
        <v>114</v>
      </c>
      <c r="F15" s="66" t="s">
        <v>114</v>
      </c>
      <c r="G15" s="77" t="s">
        <v>114</v>
      </c>
      <c r="H15" s="66" t="s">
        <v>114</v>
      </c>
      <c r="I15" s="77" t="s">
        <v>114</v>
      </c>
      <c r="J15" s="66" t="s">
        <v>114</v>
      </c>
      <c r="K15" s="130" t="s">
        <v>114</v>
      </c>
      <c r="L15" s="129"/>
      <c r="M15" s="139" t="s">
        <v>114</v>
      </c>
      <c r="N15" s="108"/>
      <c r="O15" s="79" t="s">
        <v>114</v>
      </c>
      <c r="P15" s="78" t="s">
        <v>114</v>
      </c>
      <c r="Q15" s="130" t="s">
        <v>114</v>
      </c>
      <c r="R15" s="129"/>
      <c r="S15" s="72" t="s">
        <v>114</v>
      </c>
      <c r="T15" s="72" t="s">
        <v>114</v>
      </c>
      <c r="U15" s="72" t="s">
        <v>114</v>
      </c>
      <c r="V15" s="73" t="s">
        <v>114</v>
      </c>
      <c r="W15" s="51"/>
      <c r="X15" s="52"/>
      <c r="Y15" s="52"/>
      <c r="Z15" s="63"/>
    </row>
    <row r="16" spans="1:26" ht="12" customHeight="1" x14ac:dyDescent="0.3">
      <c r="A16" s="80" t="s">
        <v>114</v>
      </c>
      <c r="B16" s="76" t="s">
        <v>114</v>
      </c>
      <c r="C16" s="66" t="s">
        <v>114</v>
      </c>
      <c r="D16" s="77" t="s">
        <v>114</v>
      </c>
      <c r="E16" s="77" t="s">
        <v>114</v>
      </c>
      <c r="F16" s="66" t="s">
        <v>114</v>
      </c>
      <c r="G16" s="77" t="s">
        <v>114</v>
      </c>
      <c r="H16" s="66" t="s">
        <v>114</v>
      </c>
      <c r="I16" s="77" t="s">
        <v>114</v>
      </c>
      <c r="J16" s="66" t="s">
        <v>114</v>
      </c>
      <c r="K16" s="130" t="s">
        <v>114</v>
      </c>
      <c r="L16" s="129"/>
      <c r="M16" s="139" t="s">
        <v>114</v>
      </c>
      <c r="N16" s="108"/>
      <c r="O16" s="79" t="s">
        <v>114</v>
      </c>
      <c r="P16" s="78" t="s">
        <v>114</v>
      </c>
      <c r="Q16" s="130" t="s">
        <v>114</v>
      </c>
      <c r="R16" s="129"/>
      <c r="S16" s="72" t="s">
        <v>114</v>
      </c>
      <c r="T16" s="72" t="s">
        <v>114</v>
      </c>
      <c r="U16" s="72" t="s">
        <v>114</v>
      </c>
      <c r="V16" s="73" t="s">
        <v>114</v>
      </c>
      <c r="W16" s="51"/>
      <c r="X16" s="52"/>
      <c r="Y16" s="52"/>
      <c r="Z16" s="63"/>
    </row>
    <row r="17" spans="1:26" ht="12" customHeight="1" x14ac:dyDescent="0.3">
      <c r="A17" s="80" t="s">
        <v>114</v>
      </c>
      <c r="B17" s="76" t="s">
        <v>114</v>
      </c>
      <c r="C17" s="78" t="s">
        <v>114</v>
      </c>
      <c r="D17" s="79" t="s">
        <v>114</v>
      </c>
      <c r="E17" s="79" t="s">
        <v>114</v>
      </c>
      <c r="F17" s="78" t="s">
        <v>114</v>
      </c>
      <c r="G17" s="79" t="s">
        <v>114</v>
      </c>
      <c r="H17" s="78" t="s">
        <v>114</v>
      </c>
      <c r="I17" s="79" t="s">
        <v>114</v>
      </c>
      <c r="J17" s="78" t="s">
        <v>114</v>
      </c>
      <c r="K17" s="130" t="s">
        <v>114</v>
      </c>
      <c r="L17" s="129"/>
      <c r="M17" s="139" t="s">
        <v>114</v>
      </c>
      <c r="N17" s="108"/>
      <c r="O17" s="79" t="s">
        <v>114</v>
      </c>
      <c r="P17" s="78" t="s">
        <v>114</v>
      </c>
      <c r="Q17" s="130" t="s">
        <v>114</v>
      </c>
      <c r="R17" s="129"/>
      <c r="S17" s="72" t="s">
        <v>114</v>
      </c>
      <c r="T17" s="72" t="s">
        <v>114</v>
      </c>
      <c r="U17" s="72" t="s">
        <v>114</v>
      </c>
      <c r="V17" s="73" t="s">
        <v>114</v>
      </c>
      <c r="W17" s="51"/>
      <c r="X17" s="52"/>
      <c r="Y17" s="52"/>
      <c r="Z17" s="63"/>
    </row>
    <row r="18" spans="1:26" ht="12" customHeight="1" x14ac:dyDescent="0.3">
      <c r="A18" s="80" t="s">
        <v>114</v>
      </c>
      <c r="B18" s="76" t="s">
        <v>114</v>
      </c>
      <c r="C18" s="78" t="s">
        <v>114</v>
      </c>
      <c r="D18" s="79" t="s">
        <v>114</v>
      </c>
      <c r="E18" s="79" t="s">
        <v>114</v>
      </c>
      <c r="F18" s="78" t="s">
        <v>114</v>
      </c>
      <c r="G18" s="79" t="s">
        <v>114</v>
      </c>
      <c r="H18" s="78" t="s">
        <v>114</v>
      </c>
      <c r="I18" s="79" t="s">
        <v>114</v>
      </c>
      <c r="J18" s="78" t="s">
        <v>114</v>
      </c>
      <c r="K18" s="130" t="s">
        <v>114</v>
      </c>
      <c r="L18" s="129"/>
      <c r="M18" s="139" t="s">
        <v>114</v>
      </c>
      <c r="N18" s="108"/>
      <c r="O18" s="79" t="s">
        <v>114</v>
      </c>
      <c r="P18" s="78" t="s">
        <v>114</v>
      </c>
      <c r="Q18" s="130" t="s">
        <v>114</v>
      </c>
      <c r="R18" s="129"/>
      <c r="S18" s="72" t="s">
        <v>114</v>
      </c>
      <c r="T18" s="72" t="s">
        <v>114</v>
      </c>
      <c r="U18" s="72" t="s">
        <v>114</v>
      </c>
      <c r="V18" s="73" t="s">
        <v>114</v>
      </c>
      <c r="W18" s="51"/>
      <c r="X18" s="52"/>
      <c r="Y18" s="52"/>
      <c r="Z18" s="63"/>
    </row>
    <row r="19" spans="1:26" ht="12" customHeight="1" x14ac:dyDescent="0.3">
      <c r="A19" s="81" t="s">
        <v>114</v>
      </c>
      <c r="B19" s="82" t="s">
        <v>114</v>
      </c>
      <c r="C19" s="83" t="s">
        <v>114</v>
      </c>
      <c r="D19" s="84" t="s">
        <v>114</v>
      </c>
      <c r="E19" s="83" t="s">
        <v>114</v>
      </c>
      <c r="F19" s="84" t="s">
        <v>114</v>
      </c>
      <c r="G19" s="83" t="s">
        <v>114</v>
      </c>
      <c r="H19" s="84" t="s">
        <v>114</v>
      </c>
      <c r="I19" s="83" t="s">
        <v>114</v>
      </c>
      <c r="J19" s="85" t="s">
        <v>114</v>
      </c>
      <c r="K19" s="131" t="s">
        <v>114</v>
      </c>
      <c r="L19" s="126"/>
      <c r="M19" s="140" t="s">
        <v>114</v>
      </c>
      <c r="N19" s="127"/>
      <c r="O19" s="86" t="s">
        <v>114</v>
      </c>
      <c r="P19" s="84" t="s">
        <v>114</v>
      </c>
      <c r="Q19" s="131" t="s">
        <v>114</v>
      </c>
      <c r="R19" s="127"/>
      <c r="S19" s="72" t="s">
        <v>114</v>
      </c>
      <c r="T19" s="72" t="s">
        <v>114</v>
      </c>
      <c r="U19" s="72" t="s">
        <v>114</v>
      </c>
      <c r="V19" s="73" t="s">
        <v>114</v>
      </c>
      <c r="W19" s="51"/>
      <c r="X19" s="52"/>
      <c r="Y19" s="52"/>
      <c r="Z19" s="63"/>
    </row>
    <row r="20" spans="1:26" ht="12" customHeight="1" x14ac:dyDescent="0.3">
      <c r="A20" s="151" t="s">
        <v>93</v>
      </c>
      <c r="B20" s="141" t="s">
        <v>116</v>
      </c>
      <c r="C20" s="129"/>
      <c r="D20" s="141" t="s">
        <v>117</v>
      </c>
      <c r="E20" s="108"/>
      <c r="F20" s="108"/>
      <c r="G20" s="108"/>
      <c r="H20" s="108"/>
      <c r="I20" s="108"/>
      <c r="J20" s="108"/>
      <c r="K20" s="108"/>
      <c r="L20" s="129"/>
      <c r="M20" s="141" t="s">
        <v>118</v>
      </c>
      <c r="N20" s="108"/>
      <c r="O20" s="129"/>
      <c r="P20" s="152" t="s">
        <v>119</v>
      </c>
      <c r="Q20" s="141" t="s">
        <v>120</v>
      </c>
      <c r="R20" s="129"/>
      <c r="S20" s="50"/>
      <c r="T20" s="50"/>
      <c r="U20" s="62"/>
      <c r="V20" s="51"/>
      <c r="W20" s="51"/>
      <c r="X20" s="52"/>
      <c r="Y20" s="52"/>
      <c r="Z20" s="63"/>
    </row>
    <row r="21" spans="1:26" ht="9.75" customHeight="1" x14ac:dyDescent="0.3">
      <c r="A21" s="122"/>
      <c r="B21" s="135"/>
      <c r="C21" s="127"/>
      <c r="D21" s="135"/>
      <c r="E21" s="126"/>
      <c r="F21" s="126"/>
      <c r="G21" s="126"/>
      <c r="H21" s="126"/>
      <c r="I21" s="126"/>
      <c r="J21" s="126"/>
      <c r="K21" s="126"/>
      <c r="L21" s="127"/>
      <c r="M21" s="134"/>
      <c r="N21" s="108"/>
      <c r="O21" s="129"/>
      <c r="P21" s="122"/>
      <c r="Q21" s="134"/>
      <c r="R21" s="129"/>
      <c r="S21" s="50"/>
      <c r="T21" s="50"/>
      <c r="U21" s="62"/>
      <c r="V21" s="51"/>
      <c r="W21" s="51"/>
      <c r="X21" s="52"/>
      <c r="Y21" s="52"/>
      <c r="Z21" s="52"/>
    </row>
    <row r="22" spans="1:26" ht="9.75" customHeight="1" x14ac:dyDescent="0.3">
      <c r="A22" s="122"/>
      <c r="B22" s="142" t="s">
        <v>121</v>
      </c>
      <c r="C22" s="142" t="s">
        <v>122</v>
      </c>
      <c r="D22" s="142" t="s">
        <v>123</v>
      </c>
      <c r="E22" s="142" t="s">
        <v>124</v>
      </c>
      <c r="F22" s="142" t="s">
        <v>125</v>
      </c>
      <c r="G22" s="142" t="s">
        <v>126</v>
      </c>
      <c r="H22" s="142" t="s">
        <v>127</v>
      </c>
      <c r="I22" s="142" t="s">
        <v>128</v>
      </c>
      <c r="J22" s="142" t="s">
        <v>129</v>
      </c>
      <c r="K22" s="143" t="s">
        <v>130</v>
      </c>
      <c r="L22" s="125"/>
      <c r="M22" s="134"/>
      <c r="N22" s="108"/>
      <c r="O22" s="129"/>
      <c r="P22" s="122"/>
      <c r="Q22" s="134"/>
      <c r="R22" s="129"/>
      <c r="S22" s="50"/>
      <c r="T22" s="50"/>
      <c r="U22" s="50"/>
      <c r="V22" s="51"/>
      <c r="W22" s="51"/>
      <c r="X22" s="52"/>
      <c r="Y22" s="52"/>
      <c r="Z22" s="63"/>
    </row>
    <row r="23" spans="1:26" ht="11.25" customHeight="1" x14ac:dyDescent="0.3">
      <c r="A23" s="123"/>
      <c r="B23" s="123"/>
      <c r="C23" s="123"/>
      <c r="D23" s="123"/>
      <c r="E23" s="123"/>
      <c r="F23" s="123"/>
      <c r="G23" s="123"/>
      <c r="H23" s="123"/>
      <c r="I23" s="123"/>
      <c r="J23" s="123"/>
      <c r="K23" s="135"/>
      <c r="L23" s="127"/>
      <c r="M23" s="135"/>
      <c r="N23" s="126"/>
      <c r="O23" s="127"/>
      <c r="P23" s="123"/>
      <c r="Q23" s="135"/>
      <c r="R23" s="127"/>
      <c r="S23" s="50" t="s">
        <v>112</v>
      </c>
      <c r="T23" s="50" t="s">
        <v>112</v>
      </c>
      <c r="U23" s="50"/>
      <c r="V23" s="51"/>
      <c r="W23" s="51"/>
      <c r="X23" s="52"/>
      <c r="Y23" s="52"/>
      <c r="Z23" s="63"/>
    </row>
    <row r="24" spans="1:26" ht="12" customHeight="1" x14ac:dyDescent="0.3">
      <c r="A24" s="87" t="s">
        <v>60</v>
      </c>
      <c r="B24" s="88">
        <v>4.0999999999999996</v>
      </c>
      <c r="C24" s="89" t="s">
        <v>114</v>
      </c>
      <c r="D24" s="88">
        <v>0.6</v>
      </c>
      <c r="E24" s="89" t="s">
        <v>114</v>
      </c>
      <c r="F24" s="79">
        <v>0.08</v>
      </c>
      <c r="G24" s="79">
        <v>0.02</v>
      </c>
      <c r="H24" s="88">
        <v>0.7</v>
      </c>
      <c r="I24" s="89">
        <v>5.5</v>
      </c>
      <c r="J24" s="88">
        <v>6.1</v>
      </c>
      <c r="K24" s="137">
        <v>12.3</v>
      </c>
      <c r="L24" s="129"/>
      <c r="M24" s="144">
        <v>6</v>
      </c>
      <c r="N24" s="108"/>
      <c r="O24" s="129"/>
      <c r="P24" s="90">
        <v>89</v>
      </c>
      <c r="Q24" s="130">
        <v>7</v>
      </c>
      <c r="R24" s="129"/>
      <c r="S24" s="50" t="s">
        <v>40</v>
      </c>
      <c r="T24" s="50">
        <v>0.7</v>
      </c>
      <c r="U24" s="50"/>
      <c r="V24" s="51" t="s">
        <v>62</v>
      </c>
      <c r="W24" s="51" t="str">
        <f t="shared" ref="W24:W32" si="0">IF(OR(H24="",I24="",I11="",M24=""),"",IF(1000*(H24+I24)/I11&gt;1.5,"",IF(C24&gt;=5,"ácrico",IF(C24-B24&gt;=0,"ácrico",""))))</f>
        <v/>
      </c>
      <c r="X24" s="52"/>
      <c r="Y24" s="52"/>
      <c r="Z24" s="63"/>
    </row>
    <row r="25" spans="1:26" ht="12" customHeight="1" x14ac:dyDescent="0.3">
      <c r="A25" s="87" t="s">
        <v>60</v>
      </c>
      <c r="B25" s="88">
        <v>4.2</v>
      </c>
      <c r="C25" s="89" t="s">
        <v>114</v>
      </c>
      <c r="D25" s="88">
        <v>0.1</v>
      </c>
      <c r="E25" s="89" t="s">
        <v>114</v>
      </c>
      <c r="F25" s="79">
        <v>0.03</v>
      </c>
      <c r="G25" s="79">
        <v>0.01</v>
      </c>
      <c r="H25" s="88">
        <v>0.1</v>
      </c>
      <c r="I25" s="89">
        <v>5.7</v>
      </c>
      <c r="J25" s="88">
        <v>6.1</v>
      </c>
      <c r="K25" s="137">
        <v>11.9</v>
      </c>
      <c r="L25" s="129"/>
      <c r="M25" s="144">
        <v>1</v>
      </c>
      <c r="N25" s="108"/>
      <c r="O25" s="129"/>
      <c r="P25" s="90">
        <v>98</v>
      </c>
      <c r="Q25" s="130">
        <v>1</v>
      </c>
      <c r="R25" s="129"/>
      <c r="S25" s="50" t="s">
        <v>40</v>
      </c>
      <c r="T25" s="50">
        <v>0.1</v>
      </c>
      <c r="U25" s="50"/>
      <c r="V25" s="51" t="s">
        <v>62</v>
      </c>
      <c r="W25" s="51" t="str">
        <f t="shared" si="0"/>
        <v/>
      </c>
      <c r="X25" s="52"/>
      <c r="Y25" s="52"/>
      <c r="Z25" s="63"/>
    </row>
    <row r="26" spans="1:26" ht="12" customHeight="1" x14ac:dyDescent="0.3">
      <c r="A26" s="91" t="s">
        <v>114</v>
      </c>
      <c r="B26" s="88" t="s">
        <v>114</v>
      </c>
      <c r="C26" s="89" t="s">
        <v>114</v>
      </c>
      <c r="D26" s="88" t="s">
        <v>114</v>
      </c>
      <c r="E26" s="89" t="s">
        <v>114</v>
      </c>
      <c r="F26" s="79" t="s">
        <v>114</v>
      </c>
      <c r="G26" s="79" t="s">
        <v>114</v>
      </c>
      <c r="H26" s="88" t="s">
        <v>114</v>
      </c>
      <c r="I26" s="89" t="s">
        <v>114</v>
      </c>
      <c r="J26" s="88" t="s">
        <v>114</v>
      </c>
      <c r="K26" s="137" t="s">
        <v>114</v>
      </c>
      <c r="L26" s="129"/>
      <c r="M26" s="144" t="s">
        <v>114</v>
      </c>
      <c r="N26" s="108"/>
      <c r="O26" s="129"/>
      <c r="P26" s="90" t="s">
        <v>114</v>
      </c>
      <c r="Q26" s="130" t="s">
        <v>114</v>
      </c>
      <c r="R26" s="129"/>
      <c r="S26" s="50" t="s">
        <v>114</v>
      </c>
      <c r="T26" s="50" t="s">
        <v>114</v>
      </c>
      <c r="U26" s="50"/>
      <c r="V26" s="51" t="s">
        <v>114</v>
      </c>
      <c r="W26" s="51" t="str">
        <f t="shared" si="0"/>
        <v/>
      </c>
      <c r="X26" s="52"/>
      <c r="Y26" s="52"/>
      <c r="Z26" s="63"/>
    </row>
    <row r="27" spans="1:26" ht="12" customHeight="1" x14ac:dyDescent="0.3">
      <c r="A27" s="91" t="s">
        <v>114</v>
      </c>
      <c r="B27" s="88" t="s">
        <v>114</v>
      </c>
      <c r="C27" s="89" t="s">
        <v>114</v>
      </c>
      <c r="D27" s="88" t="s">
        <v>114</v>
      </c>
      <c r="E27" s="89" t="s">
        <v>114</v>
      </c>
      <c r="F27" s="79" t="s">
        <v>114</v>
      </c>
      <c r="G27" s="79" t="s">
        <v>114</v>
      </c>
      <c r="H27" s="88" t="s">
        <v>114</v>
      </c>
      <c r="I27" s="89" t="s">
        <v>114</v>
      </c>
      <c r="J27" s="88" t="s">
        <v>114</v>
      </c>
      <c r="K27" s="137" t="s">
        <v>114</v>
      </c>
      <c r="L27" s="129"/>
      <c r="M27" s="144" t="s">
        <v>114</v>
      </c>
      <c r="N27" s="108"/>
      <c r="O27" s="129"/>
      <c r="P27" s="90" t="s">
        <v>114</v>
      </c>
      <c r="Q27" s="130" t="s">
        <v>114</v>
      </c>
      <c r="R27" s="129"/>
      <c r="S27" s="50" t="s">
        <v>114</v>
      </c>
      <c r="T27" s="50" t="s">
        <v>114</v>
      </c>
      <c r="U27" s="50"/>
      <c r="V27" s="51" t="s">
        <v>114</v>
      </c>
      <c r="W27" s="51" t="str">
        <f t="shared" si="0"/>
        <v/>
      </c>
      <c r="X27" s="52"/>
      <c r="Y27" s="52"/>
      <c r="Z27" s="63"/>
    </row>
    <row r="28" spans="1:26" ht="12" customHeight="1" x14ac:dyDescent="0.3">
      <c r="A28" s="91" t="s">
        <v>114</v>
      </c>
      <c r="B28" s="88" t="s">
        <v>114</v>
      </c>
      <c r="C28" s="89" t="s">
        <v>114</v>
      </c>
      <c r="D28" s="88" t="s">
        <v>114</v>
      </c>
      <c r="E28" s="89" t="s">
        <v>114</v>
      </c>
      <c r="F28" s="79" t="s">
        <v>114</v>
      </c>
      <c r="G28" s="79" t="s">
        <v>114</v>
      </c>
      <c r="H28" s="88" t="s">
        <v>114</v>
      </c>
      <c r="I28" s="89" t="s">
        <v>114</v>
      </c>
      <c r="J28" s="88" t="s">
        <v>114</v>
      </c>
      <c r="K28" s="137" t="s">
        <v>114</v>
      </c>
      <c r="L28" s="129"/>
      <c r="M28" s="144" t="s">
        <v>114</v>
      </c>
      <c r="N28" s="108"/>
      <c r="O28" s="129"/>
      <c r="P28" s="90" t="s">
        <v>114</v>
      </c>
      <c r="Q28" s="130" t="s">
        <v>114</v>
      </c>
      <c r="R28" s="129"/>
      <c r="S28" s="50" t="s">
        <v>114</v>
      </c>
      <c r="T28" s="50" t="s">
        <v>114</v>
      </c>
      <c r="U28" s="50"/>
      <c r="V28" s="51" t="s">
        <v>114</v>
      </c>
      <c r="W28" s="51" t="str">
        <f t="shared" si="0"/>
        <v/>
      </c>
      <c r="X28" s="52"/>
      <c r="Y28" s="52"/>
      <c r="Z28" s="63"/>
    </row>
    <row r="29" spans="1:26" ht="12" customHeight="1" x14ac:dyDescent="0.3">
      <c r="A29" s="91" t="s">
        <v>114</v>
      </c>
      <c r="B29" s="88" t="s">
        <v>114</v>
      </c>
      <c r="C29" s="89" t="s">
        <v>114</v>
      </c>
      <c r="D29" s="88" t="s">
        <v>114</v>
      </c>
      <c r="E29" s="89" t="s">
        <v>114</v>
      </c>
      <c r="F29" s="79" t="s">
        <v>114</v>
      </c>
      <c r="G29" s="79" t="s">
        <v>114</v>
      </c>
      <c r="H29" s="88" t="s">
        <v>114</v>
      </c>
      <c r="I29" s="89" t="s">
        <v>114</v>
      </c>
      <c r="J29" s="88" t="s">
        <v>114</v>
      </c>
      <c r="K29" s="137" t="s">
        <v>114</v>
      </c>
      <c r="L29" s="129"/>
      <c r="M29" s="144" t="s">
        <v>114</v>
      </c>
      <c r="N29" s="108"/>
      <c r="O29" s="129"/>
      <c r="P29" s="90" t="s">
        <v>114</v>
      </c>
      <c r="Q29" s="130" t="s">
        <v>114</v>
      </c>
      <c r="R29" s="129"/>
      <c r="S29" s="50" t="s">
        <v>114</v>
      </c>
      <c r="T29" s="50" t="s">
        <v>114</v>
      </c>
      <c r="U29" s="50"/>
      <c r="V29" s="51" t="s">
        <v>114</v>
      </c>
      <c r="W29" s="51" t="str">
        <f t="shared" si="0"/>
        <v/>
      </c>
      <c r="X29" s="52"/>
      <c r="Y29" s="52"/>
      <c r="Z29" s="63"/>
    </row>
    <row r="30" spans="1:26" ht="12" customHeight="1" x14ac:dyDescent="0.3">
      <c r="A30" s="91" t="s">
        <v>114</v>
      </c>
      <c r="B30" s="88" t="s">
        <v>114</v>
      </c>
      <c r="C30" s="89" t="s">
        <v>114</v>
      </c>
      <c r="D30" s="88" t="s">
        <v>114</v>
      </c>
      <c r="E30" s="89" t="s">
        <v>114</v>
      </c>
      <c r="F30" s="79" t="s">
        <v>114</v>
      </c>
      <c r="G30" s="79" t="s">
        <v>114</v>
      </c>
      <c r="H30" s="88" t="s">
        <v>114</v>
      </c>
      <c r="I30" s="89" t="s">
        <v>114</v>
      </c>
      <c r="J30" s="88" t="s">
        <v>114</v>
      </c>
      <c r="K30" s="137" t="s">
        <v>114</v>
      </c>
      <c r="L30" s="129"/>
      <c r="M30" s="144" t="s">
        <v>114</v>
      </c>
      <c r="N30" s="108"/>
      <c r="O30" s="129"/>
      <c r="P30" s="90" t="s">
        <v>114</v>
      </c>
      <c r="Q30" s="130" t="s">
        <v>114</v>
      </c>
      <c r="R30" s="129"/>
      <c r="S30" s="50" t="s">
        <v>114</v>
      </c>
      <c r="T30" s="50" t="s">
        <v>114</v>
      </c>
      <c r="U30" s="50"/>
      <c r="V30" s="51" t="s">
        <v>114</v>
      </c>
      <c r="W30" s="51" t="str">
        <f t="shared" si="0"/>
        <v/>
      </c>
      <c r="X30" s="52"/>
      <c r="Y30" s="52"/>
      <c r="Z30" s="63"/>
    </row>
    <row r="31" spans="1:26" ht="12" customHeight="1" x14ac:dyDescent="0.3">
      <c r="A31" s="91" t="s">
        <v>114</v>
      </c>
      <c r="B31" s="88" t="s">
        <v>114</v>
      </c>
      <c r="C31" s="89" t="s">
        <v>114</v>
      </c>
      <c r="D31" s="88" t="s">
        <v>114</v>
      </c>
      <c r="E31" s="89" t="s">
        <v>114</v>
      </c>
      <c r="F31" s="79" t="s">
        <v>114</v>
      </c>
      <c r="G31" s="79" t="s">
        <v>114</v>
      </c>
      <c r="H31" s="88" t="s">
        <v>114</v>
      </c>
      <c r="I31" s="89" t="s">
        <v>114</v>
      </c>
      <c r="J31" s="88" t="s">
        <v>114</v>
      </c>
      <c r="K31" s="137" t="s">
        <v>114</v>
      </c>
      <c r="L31" s="129"/>
      <c r="M31" s="144" t="s">
        <v>114</v>
      </c>
      <c r="N31" s="108"/>
      <c r="O31" s="129"/>
      <c r="P31" s="90" t="s">
        <v>114</v>
      </c>
      <c r="Q31" s="130" t="s">
        <v>114</v>
      </c>
      <c r="R31" s="129"/>
      <c r="S31" s="50" t="s">
        <v>114</v>
      </c>
      <c r="T31" s="50" t="s">
        <v>114</v>
      </c>
      <c r="U31" s="50"/>
      <c r="V31" s="51" t="s">
        <v>114</v>
      </c>
      <c r="W31" s="51" t="str">
        <f t="shared" si="0"/>
        <v/>
      </c>
      <c r="X31" s="52"/>
      <c r="Y31" s="52"/>
      <c r="Z31" s="63"/>
    </row>
    <row r="32" spans="1:26" ht="12" customHeight="1" x14ac:dyDescent="0.3">
      <c r="A32" s="91" t="s">
        <v>114</v>
      </c>
      <c r="B32" s="88" t="s">
        <v>114</v>
      </c>
      <c r="C32" s="89" t="s">
        <v>114</v>
      </c>
      <c r="D32" s="88" t="s">
        <v>114</v>
      </c>
      <c r="E32" s="89" t="s">
        <v>114</v>
      </c>
      <c r="F32" s="79" t="s">
        <v>114</v>
      </c>
      <c r="G32" s="79" t="s">
        <v>114</v>
      </c>
      <c r="H32" s="88" t="s">
        <v>114</v>
      </c>
      <c r="I32" s="89" t="s">
        <v>114</v>
      </c>
      <c r="J32" s="88" t="s">
        <v>114</v>
      </c>
      <c r="K32" s="137" t="s">
        <v>114</v>
      </c>
      <c r="L32" s="129"/>
      <c r="M32" s="144" t="s">
        <v>114</v>
      </c>
      <c r="N32" s="108"/>
      <c r="O32" s="129"/>
      <c r="P32" s="90" t="s">
        <v>114</v>
      </c>
      <c r="Q32" s="130" t="s">
        <v>114</v>
      </c>
      <c r="R32" s="129"/>
      <c r="S32" s="50" t="s">
        <v>114</v>
      </c>
      <c r="T32" s="50" t="s">
        <v>114</v>
      </c>
      <c r="U32" s="50"/>
      <c r="V32" s="51" t="s">
        <v>114</v>
      </c>
      <c r="W32" s="51" t="str">
        <f t="shared" si="0"/>
        <v/>
      </c>
      <c r="X32" s="52"/>
      <c r="Y32" s="52"/>
      <c r="Z32" s="63"/>
    </row>
    <row r="33" spans="1:26" ht="12" customHeight="1" x14ac:dyDescent="0.3">
      <c r="A33" s="121" t="s">
        <v>93</v>
      </c>
      <c r="B33" s="142" t="s">
        <v>131</v>
      </c>
      <c r="C33" s="142" t="s">
        <v>132</v>
      </c>
      <c r="D33" s="142" t="s">
        <v>41</v>
      </c>
      <c r="E33" s="143" t="s">
        <v>133</v>
      </c>
      <c r="F33" s="138"/>
      <c r="G33" s="138"/>
      <c r="H33" s="138"/>
      <c r="I33" s="138"/>
      <c r="J33" s="125"/>
      <c r="K33" s="143" t="s">
        <v>134</v>
      </c>
      <c r="L33" s="138"/>
      <c r="M33" s="138"/>
      <c r="N33" s="138"/>
      <c r="O33" s="125"/>
      <c r="P33" s="142" t="s">
        <v>135</v>
      </c>
      <c r="Q33" s="143" t="s">
        <v>136</v>
      </c>
      <c r="R33" s="125"/>
      <c r="S33" s="50"/>
      <c r="T33" s="50"/>
      <c r="U33" s="50"/>
      <c r="V33" s="51"/>
      <c r="W33" s="51"/>
      <c r="X33" s="52"/>
      <c r="Y33" s="52"/>
      <c r="Z33" s="63"/>
    </row>
    <row r="34" spans="1:26" ht="8.25" customHeight="1" x14ac:dyDescent="0.3">
      <c r="A34" s="122"/>
      <c r="B34" s="122"/>
      <c r="C34" s="122"/>
      <c r="D34" s="122"/>
      <c r="E34" s="135"/>
      <c r="F34" s="126"/>
      <c r="G34" s="126"/>
      <c r="H34" s="126"/>
      <c r="I34" s="126"/>
      <c r="J34" s="127"/>
      <c r="K34" s="135"/>
      <c r="L34" s="126"/>
      <c r="M34" s="126"/>
      <c r="N34" s="126"/>
      <c r="O34" s="127"/>
      <c r="P34" s="122"/>
      <c r="Q34" s="134"/>
      <c r="R34" s="129"/>
      <c r="S34" s="50"/>
      <c r="T34" s="50"/>
      <c r="U34" s="50"/>
      <c r="V34" s="51"/>
      <c r="W34" s="51"/>
      <c r="X34" s="52"/>
      <c r="Y34" s="52"/>
      <c r="Z34" s="63"/>
    </row>
    <row r="35" spans="1:26" ht="10.5" customHeight="1" x14ac:dyDescent="0.3">
      <c r="A35" s="122"/>
      <c r="B35" s="122"/>
      <c r="C35" s="122"/>
      <c r="D35" s="122"/>
      <c r="E35" s="142" t="s">
        <v>137</v>
      </c>
      <c r="F35" s="142" t="s">
        <v>138</v>
      </c>
      <c r="G35" s="142" t="s">
        <v>139</v>
      </c>
      <c r="H35" s="142" t="s">
        <v>140</v>
      </c>
      <c r="I35" s="142" t="s">
        <v>141</v>
      </c>
      <c r="J35" s="142" t="s">
        <v>142</v>
      </c>
      <c r="K35" s="142" t="s">
        <v>143</v>
      </c>
      <c r="L35" s="143" t="s">
        <v>144</v>
      </c>
      <c r="M35" s="125"/>
      <c r="N35" s="145" t="s">
        <v>145</v>
      </c>
      <c r="O35" s="125"/>
      <c r="P35" s="122"/>
      <c r="Q35" s="134"/>
      <c r="R35" s="129"/>
      <c r="S35" s="50"/>
      <c r="T35" s="50"/>
      <c r="U35" s="50"/>
      <c r="V35" s="51"/>
      <c r="W35" s="51"/>
      <c r="X35" s="52"/>
      <c r="Y35" s="52"/>
      <c r="Z35" s="52"/>
    </row>
    <row r="36" spans="1:26" ht="21" customHeight="1" x14ac:dyDescent="0.3">
      <c r="A36" s="123"/>
      <c r="B36" s="123"/>
      <c r="C36" s="123"/>
      <c r="D36" s="123"/>
      <c r="E36" s="123"/>
      <c r="F36" s="123"/>
      <c r="G36" s="123"/>
      <c r="H36" s="123"/>
      <c r="I36" s="123"/>
      <c r="J36" s="123"/>
      <c r="K36" s="123"/>
      <c r="L36" s="135"/>
      <c r="M36" s="127"/>
      <c r="N36" s="135"/>
      <c r="O36" s="127"/>
      <c r="P36" s="123"/>
      <c r="Q36" s="135"/>
      <c r="R36" s="127"/>
      <c r="S36" s="50"/>
      <c r="T36" s="50"/>
      <c r="U36" s="50"/>
      <c r="V36" s="51"/>
      <c r="W36" s="51"/>
      <c r="X36" s="52"/>
      <c r="Y36" s="52"/>
      <c r="Z36" s="52"/>
    </row>
    <row r="37" spans="1:26" ht="12" customHeight="1" x14ac:dyDescent="0.3">
      <c r="A37" s="87" t="s">
        <v>60</v>
      </c>
      <c r="B37" s="88">
        <v>17.8</v>
      </c>
      <c r="C37" s="88">
        <v>2</v>
      </c>
      <c r="D37" s="77">
        <v>9</v>
      </c>
      <c r="E37" s="66" t="s">
        <v>114</v>
      </c>
      <c r="F37" s="77" t="s">
        <v>114</v>
      </c>
      <c r="G37" s="66" t="s">
        <v>114</v>
      </c>
      <c r="H37" s="88" t="s">
        <v>114</v>
      </c>
      <c r="I37" s="89" t="s">
        <v>114</v>
      </c>
      <c r="J37" s="88" t="s">
        <v>114</v>
      </c>
      <c r="K37" s="78" t="s">
        <v>114</v>
      </c>
      <c r="L37" s="143" t="s">
        <v>114</v>
      </c>
      <c r="M37" s="125"/>
      <c r="N37" s="141" t="s">
        <v>114</v>
      </c>
      <c r="O37" s="129"/>
      <c r="P37" s="79" t="s">
        <v>114</v>
      </c>
      <c r="Q37" s="141" t="s">
        <v>114</v>
      </c>
      <c r="R37" s="129"/>
      <c r="S37" s="50"/>
      <c r="T37" s="50"/>
      <c r="U37" s="50"/>
      <c r="V37" s="51" t="s">
        <v>114</v>
      </c>
      <c r="W37" s="51"/>
      <c r="X37" s="52"/>
      <c r="Y37" s="52"/>
      <c r="Z37" s="52"/>
    </row>
    <row r="38" spans="1:26" ht="12" customHeight="1" x14ac:dyDescent="0.3">
      <c r="A38" s="87" t="s">
        <v>60</v>
      </c>
      <c r="B38" s="88">
        <v>11</v>
      </c>
      <c r="C38" s="88">
        <v>1.6</v>
      </c>
      <c r="D38" s="77">
        <v>7</v>
      </c>
      <c r="E38" s="66" t="s">
        <v>114</v>
      </c>
      <c r="F38" s="77" t="s">
        <v>114</v>
      </c>
      <c r="G38" s="66" t="s">
        <v>114</v>
      </c>
      <c r="H38" s="88" t="s">
        <v>114</v>
      </c>
      <c r="I38" s="89" t="s">
        <v>114</v>
      </c>
      <c r="J38" s="88" t="s">
        <v>114</v>
      </c>
      <c r="K38" s="78" t="s">
        <v>114</v>
      </c>
      <c r="L38" s="141" t="s">
        <v>114</v>
      </c>
      <c r="M38" s="129"/>
      <c r="N38" s="139" t="s">
        <v>114</v>
      </c>
      <c r="O38" s="129"/>
      <c r="P38" s="79" t="s">
        <v>114</v>
      </c>
      <c r="Q38" s="141" t="s">
        <v>114</v>
      </c>
      <c r="R38" s="129"/>
      <c r="S38" s="50"/>
      <c r="T38" s="50"/>
      <c r="U38" s="50"/>
      <c r="V38" s="51" t="s">
        <v>114</v>
      </c>
      <c r="W38" s="51"/>
      <c r="X38" s="52"/>
      <c r="Y38" s="52"/>
      <c r="Z38" s="52"/>
    </row>
    <row r="39" spans="1:26" ht="12" customHeight="1" x14ac:dyDescent="0.3">
      <c r="A39" s="91" t="s">
        <v>114</v>
      </c>
      <c r="B39" s="88" t="s">
        <v>114</v>
      </c>
      <c r="C39" s="88" t="s">
        <v>114</v>
      </c>
      <c r="D39" s="77" t="s">
        <v>114</v>
      </c>
      <c r="E39" s="66" t="s">
        <v>114</v>
      </c>
      <c r="F39" s="77" t="s">
        <v>114</v>
      </c>
      <c r="G39" s="66" t="s">
        <v>114</v>
      </c>
      <c r="H39" s="88" t="s">
        <v>114</v>
      </c>
      <c r="I39" s="89" t="s">
        <v>114</v>
      </c>
      <c r="J39" s="88" t="s">
        <v>114</v>
      </c>
      <c r="K39" s="78" t="s">
        <v>114</v>
      </c>
      <c r="L39" s="141" t="s">
        <v>114</v>
      </c>
      <c r="M39" s="129"/>
      <c r="N39" s="139" t="s">
        <v>114</v>
      </c>
      <c r="O39" s="129"/>
      <c r="P39" s="79" t="s">
        <v>114</v>
      </c>
      <c r="Q39" s="141" t="s">
        <v>114</v>
      </c>
      <c r="R39" s="129"/>
      <c r="S39" s="50"/>
      <c r="T39" s="50"/>
      <c r="U39" s="50"/>
      <c r="V39" s="51" t="s">
        <v>114</v>
      </c>
      <c r="W39" s="51"/>
      <c r="X39" s="52"/>
      <c r="Y39" s="52"/>
      <c r="Z39" s="52"/>
    </row>
    <row r="40" spans="1:26" ht="12" customHeight="1" x14ac:dyDescent="0.3">
      <c r="A40" s="91" t="s">
        <v>114</v>
      </c>
      <c r="B40" s="88" t="s">
        <v>114</v>
      </c>
      <c r="C40" s="88" t="s">
        <v>114</v>
      </c>
      <c r="D40" s="77" t="s">
        <v>114</v>
      </c>
      <c r="E40" s="66" t="s">
        <v>114</v>
      </c>
      <c r="F40" s="77" t="s">
        <v>114</v>
      </c>
      <c r="G40" s="66" t="s">
        <v>114</v>
      </c>
      <c r="H40" s="88" t="s">
        <v>114</v>
      </c>
      <c r="I40" s="89" t="s">
        <v>114</v>
      </c>
      <c r="J40" s="88" t="s">
        <v>114</v>
      </c>
      <c r="K40" s="78" t="s">
        <v>114</v>
      </c>
      <c r="L40" s="141" t="s">
        <v>114</v>
      </c>
      <c r="M40" s="129"/>
      <c r="N40" s="139" t="s">
        <v>114</v>
      </c>
      <c r="O40" s="129"/>
      <c r="P40" s="79" t="s">
        <v>114</v>
      </c>
      <c r="Q40" s="141" t="s">
        <v>114</v>
      </c>
      <c r="R40" s="129"/>
      <c r="S40" s="50"/>
      <c r="T40" s="50"/>
      <c r="U40" s="50"/>
      <c r="V40" s="51" t="s">
        <v>114</v>
      </c>
      <c r="W40" s="51"/>
      <c r="X40" s="52"/>
      <c r="Y40" s="52"/>
      <c r="Z40" s="52"/>
    </row>
    <row r="41" spans="1:26" ht="12" customHeight="1" x14ac:dyDescent="0.3">
      <c r="A41" s="91" t="s">
        <v>114</v>
      </c>
      <c r="B41" s="88" t="s">
        <v>114</v>
      </c>
      <c r="C41" s="88" t="s">
        <v>114</v>
      </c>
      <c r="D41" s="77" t="s">
        <v>114</v>
      </c>
      <c r="E41" s="66" t="s">
        <v>114</v>
      </c>
      <c r="F41" s="77" t="s">
        <v>114</v>
      </c>
      <c r="G41" s="66" t="s">
        <v>114</v>
      </c>
      <c r="H41" s="88" t="s">
        <v>114</v>
      </c>
      <c r="I41" s="89" t="s">
        <v>114</v>
      </c>
      <c r="J41" s="88" t="s">
        <v>114</v>
      </c>
      <c r="K41" s="78" t="s">
        <v>114</v>
      </c>
      <c r="L41" s="141" t="s">
        <v>114</v>
      </c>
      <c r="M41" s="129"/>
      <c r="N41" s="139" t="s">
        <v>114</v>
      </c>
      <c r="O41" s="129"/>
      <c r="P41" s="79" t="s">
        <v>114</v>
      </c>
      <c r="Q41" s="141" t="s">
        <v>114</v>
      </c>
      <c r="R41" s="129"/>
      <c r="S41" s="50"/>
      <c r="T41" s="50"/>
      <c r="U41" s="50"/>
      <c r="V41" s="51" t="s">
        <v>114</v>
      </c>
      <c r="W41" s="51"/>
      <c r="X41" s="52"/>
      <c r="Y41" s="52"/>
      <c r="Z41" s="52"/>
    </row>
    <row r="42" spans="1:26" ht="12" customHeight="1" x14ac:dyDescent="0.3">
      <c r="A42" s="91" t="s">
        <v>114</v>
      </c>
      <c r="B42" s="88" t="s">
        <v>114</v>
      </c>
      <c r="C42" s="88" t="s">
        <v>114</v>
      </c>
      <c r="D42" s="77" t="s">
        <v>114</v>
      </c>
      <c r="E42" s="66" t="s">
        <v>114</v>
      </c>
      <c r="F42" s="77" t="s">
        <v>114</v>
      </c>
      <c r="G42" s="66" t="s">
        <v>114</v>
      </c>
      <c r="H42" s="88" t="s">
        <v>114</v>
      </c>
      <c r="I42" s="89" t="s">
        <v>114</v>
      </c>
      <c r="J42" s="88" t="s">
        <v>114</v>
      </c>
      <c r="K42" s="78" t="s">
        <v>114</v>
      </c>
      <c r="L42" s="141" t="s">
        <v>114</v>
      </c>
      <c r="M42" s="129"/>
      <c r="N42" s="139" t="s">
        <v>114</v>
      </c>
      <c r="O42" s="129"/>
      <c r="P42" s="79" t="s">
        <v>114</v>
      </c>
      <c r="Q42" s="141" t="s">
        <v>114</v>
      </c>
      <c r="R42" s="129"/>
      <c r="S42" s="50"/>
      <c r="T42" s="50"/>
      <c r="U42" s="50"/>
      <c r="V42" s="51" t="s">
        <v>114</v>
      </c>
      <c r="W42" s="51"/>
      <c r="X42" s="52"/>
      <c r="Y42" s="52"/>
      <c r="Z42" s="52"/>
    </row>
    <row r="43" spans="1:26" ht="12" customHeight="1" x14ac:dyDescent="0.3">
      <c r="A43" s="91" t="s">
        <v>114</v>
      </c>
      <c r="B43" s="88" t="s">
        <v>114</v>
      </c>
      <c r="C43" s="88" t="s">
        <v>114</v>
      </c>
      <c r="D43" s="77" t="s">
        <v>114</v>
      </c>
      <c r="E43" s="66" t="s">
        <v>114</v>
      </c>
      <c r="F43" s="77" t="s">
        <v>114</v>
      </c>
      <c r="G43" s="66" t="s">
        <v>114</v>
      </c>
      <c r="H43" s="88" t="s">
        <v>114</v>
      </c>
      <c r="I43" s="89" t="s">
        <v>114</v>
      </c>
      <c r="J43" s="88" t="s">
        <v>114</v>
      </c>
      <c r="K43" s="78" t="s">
        <v>114</v>
      </c>
      <c r="L43" s="141" t="s">
        <v>114</v>
      </c>
      <c r="M43" s="129"/>
      <c r="N43" s="139" t="s">
        <v>114</v>
      </c>
      <c r="O43" s="129"/>
      <c r="P43" s="79" t="s">
        <v>114</v>
      </c>
      <c r="Q43" s="141" t="s">
        <v>114</v>
      </c>
      <c r="R43" s="129"/>
      <c r="S43" s="50"/>
      <c r="T43" s="50"/>
      <c r="U43" s="50"/>
      <c r="V43" s="51" t="s">
        <v>114</v>
      </c>
      <c r="W43" s="51"/>
      <c r="X43" s="52"/>
      <c r="Y43" s="52"/>
      <c r="Z43" s="52"/>
    </row>
    <row r="44" spans="1:26" ht="12" customHeight="1" x14ac:dyDescent="0.3">
      <c r="A44" s="91" t="s">
        <v>114</v>
      </c>
      <c r="B44" s="88" t="s">
        <v>114</v>
      </c>
      <c r="C44" s="88" t="s">
        <v>114</v>
      </c>
      <c r="D44" s="77" t="s">
        <v>114</v>
      </c>
      <c r="E44" s="66" t="s">
        <v>114</v>
      </c>
      <c r="F44" s="77" t="s">
        <v>114</v>
      </c>
      <c r="G44" s="66" t="s">
        <v>114</v>
      </c>
      <c r="H44" s="88" t="s">
        <v>114</v>
      </c>
      <c r="I44" s="89" t="s">
        <v>114</v>
      </c>
      <c r="J44" s="88" t="s">
        <v>114</v>
      </c>
      <c r="K44" s="78" t="s">
        <v>114</v>
      </c>
      <c r="L44" s="141" t="s">
        <v>114</v>
      </c>
      <c r="M44" s="129"/>
      <c r="N44" s="139" t="s">
        <v>114</v>
      </c>
      <c r="O44" s="129"/>
      <c r="P44" s="79" t="s">
        <v>114</v>
      </c>
      <c r="Q44" s="141" t="s">
        <v>114</v>
      </c>
      <c r="R44" s="129"/>
      <c r="S44" s="50"/>
      <c r="T44" s="50"/>
      <c r="U44" s="50"/>
      <c r="V44" s="51" t="s">
        <v>114</v>
      </c>
      <c r="W44" s="51"/>
      <c r="X44" s="52"/>
      <c r="Y44" s="52"/>
      <c r="Z44" s="52"/>
    </row>
    <row r="45" spans="1:26" ht="12" customHeight="1" x14ac:dyDescent="0.3">
      <c r="A45" s="91" t="s">
        <v>114</v>
      </c>
      <c r="B45" s="88" t="s">
        <v>114</v>
      </c>
      <c r="C45" s="88" t="s">
        <v>114</v>
      </c>
      <c r="D45" s="77" t="s">
        <v>114</v>
      </c>
      <c r="E45" s="66" t="s">
        <v>114</v>
      </c>
      <c r="F45" s="77" t="s">
        <v>114</v>
      </c>
      <c r="G45" s="66" t="s">
        <v>114</v>
      </c>
      <c r="H45" s="88" t="s">
        <v>114</v>
      </c>
      <c r="I45" s="89" t="s">
        <v>114</v>
      </c>
      <c r="J45" s="88" t="s">
        <v>114</v>
      </c>
      <c r="K45" s="78" t="s">
        <v>114</v>
      </c>
      <c r="L45" s="141" t="s">
        <v>114</v>
      </c>
      <c r="M45" s="129"/>
      <c r="N45" s="141" t="s">
        <v>114</v>
      </c>
      <c r="O45" s="129"/>
      <c r="P45" s="79" t="s">
        <v>114</v>
      </c>
      <c r="Q45" s="141" t="s">
        <v>114</v>
      </c>
      <c r="R45" s="129"/>
      <c r="S45" s="50"/>
      <c r="T45" s="50"/>
      <c r="U45" s="50"/>
      <c r="V45" s="51" t="s">
        <v>114</v>
      </c>
      <c r="W45" s="51"/>
      <c r="X45" s="52"/>
      <c r="Y45" s="52"/>
      <c r="Z45" s="52"/>
    </row>
    <row r="46" spans="1:26" ht="12" customHeight="1" x14ac:dyDescent="0.3">
      <c r="A46" s="121" t="s">
        <v>93</v>
      </c>
      <c r="B46" s="153" t="s">
        <v>146</v>
      </c>
      <c r="C46" s="146" t="s">
        <v>147</v>
      </c>
      <c r="D46" s="148"/>
      <c r="E46" s="143" t="s">
        <v>148</v>
      </c>
      <c r="F46" s="138"/>
      <c r="G46" s="138"/>
      <c r="H46" s="138"/>
      <c r="I46" s="138"/>
      <c r="J46" s="138"/>
      <c r="K46" s="138"/>
      <c r="L46" s="125"/>
      <c r="M46" s="143" t="s">
        <v>149</v>
      </c>
      <c r="N46" s="138"/>
      <c r="O46" s="138"/>
      <c r="P46" s="138"/>
      <c r="Q46" s="138"/>
      <c r="R46" s="125"/>
      <c r="S46" s="50"/>
      <c r="T46" s="50"/>
      <c r="U46" s="50"/>
      <c r="V46" s="51"/>
      <c r="W46" s="51"/>
      <c r="X46" s="52"/>
      <c r="Y46" s="52"/>
      <c r="Z46" s="52"/>
    </row>
    <row r="47" spans="1:26" ht="9" customHeight="1" x14ac:dyDescent="0.3">
      <c r="A47" s="122"/>
      <c r="B47" s="122"/>
      <c r="C47" s="142" t="s">
        <v>150</v>
      </c>
      <c r="D47" s="142" t="s">
        <v>151</v>
      </c>
      <c r="E47" s="135"/>
      <c r="F47" s="126"/>
      <c r="G47" s="126"/>
      <c r="H47" s="126"/>
      <c r="I47" s="126"/>
      <c r="J47" s="126"/>
      <c r="K47" s="126"/>
      <c r="L47" s="127"/>
      <c r="M47" s="135"/>
      <c r="N47" s="126"/>
      <c r="O47" s="126"/>
      <c r="P47" s="126"/>
      <c r="Q47" s="126"/>
      <c r="R47" s="127"/>
      <c r="S47" s="50"/>
      <c r="T47" s="50"/>
      <c r="U47" s="50"/>
      <c r="V47" s="51"/>
      <c r="W47" s="51"/>
      <c r="X47" s="52"/>
      <c r="Y47" s="52"/>
      <c r="Z47" s="52"/>
    </row>
    <row r="48" spans="1:26" ht="12" customHeight="1" x14ac:dyDescent="0.3">
      <c r="A48" s="122"/>
      <c r="B48" s="122"/>
      <c r="C48" s="122"/>
      <c r="D48" s="122"/>
      <c r="E48" s="142" t="s">
        <v>152</v>
      </c>
      <c r="F48" s="142" t="s">
        <v>153</v>
      </c>
      <c r="G48" s="142" t="s">
        <v>154</v>
      </c>
      <c r="H48" s="142" t="s">
        <v>155</v>
      </c>
      <c r="I48" s="142" t="s">
        <v>156</v>
      </c>
      <c r="J48" s="142" t="s">
        <v>157</v>
      </c>
      <c r="K48" s="143" t="s">
        <v>158</v>
      </c>
      <c r="L48" s="125"/>
      <c r="M48" s="146" t="s">
        <v>159</v>
      </c>
      <c r="N48" s="147"/>
      <c r="O48" s="147"/>
      <c r="P48" s="148"/>
      <c r="Q48" s="143" t="s">
        <v>160</v>
      </c>
      <c r="R48" s="125"/>
      <c r="S48" s="50"/>
      <c r="T48" s="50"/>
      <c r="U48" s="50"/>
      <c r="V48" s="51"/>
      <c r="W48" s="51"/>
      <c r="X48" s="52"/>
      <c r="Y48" s="52"/>
      <c r="Z48" s="52"/>
    </row>
    <row r="49" spans="1:26" ht="12" customHeight="1" x14ac:dyDescent="0.3">
      <c r="A49" s="122"/>
      <c r="B49" s="122"/>
      <c r="C49" s="122"/>
      <c r="D49" s="122"/>
      <c r="E49" s="122"/>
      <c r="F49" s="122"/>
      <c r="G49" s="122"/>
      <c r="H49" s="122"/>
      <c r="I49" s="122"/>
      <c r="J49" s="122"/>
      <c r="K49" s="134"/>
      <c r="L49" s="129"/>
      <c r="M49" s="143" t="s">
        <v>161</v>
      </c>
      <c r="N49" s="138"/>
      <c r="O49" s="125"/>
      <c r="P49" s="142" t="s">
        <v>162</v>
      </c>
      <c r="Q49" s="134"/>
      <c r="R49" s="129"/>
      <c r="S49" s="50"/>
      <c r="T49" s="50"/>
      <c r="U49" s="50"/>
      <c r="V49" s="51"/>
      <c r="W49" s="51"/>
      <c r="X49" s="52"/>
      <c r="Y49" s="52"/>
      <c r="Z49" s="52"/>
    </row>
    <row r="50" spans="1:26" ht="6" customHeight="1" x14ac:dyDescent="0.3">
      <c r="A50" s="123"/>
      <c r="B50" s="123"/>
      <c r="C50" s="123"/>
      <c r="D50" s="123"/>
      <c r="E50" s="123"/>
      <c r="F50" s="123"/>
      <c r="G50" s="123"/>
      <c r="H50" s="123"/>
      <c r="I50" s="123"/>
      <c r="J50" s="123"/>
      <c r="K50" s="135"/>
      <c r="L50" s="127"/>
      <c r="M50" s="135"/>
      <c r="N50" s="126"/>
      <c r="O50" s="127"/>
      <c r="P50" s="123"/>
      <c r="Q50" s="135"/>
      <c r="R50" s="127"/>
      <c r="S50" s="50"/>
      <c r="T50" s="50"/>
      <c r="U50" s="50"/>
      <c r="V50" s="51"/>
      <c r="W50" s="51"/>
      <c r="X50" s="52"/>
      <c r="Y50" s="52"/>
      <c r="Z50" s="52"/>
    </row>
    <row r="51" spans="1:26" ht="12" customHeight="1" x14ac:dyDescent="0.3">
      <c r="A51" s="87" t="s">
        <v>60</v>
      </c>
      <c r="B51" s="79" t="s">
        <v>163</v>
      </c>
      <c r="C51" s="78" t="s">
        <v>114</v>
      </c>
      <c r="D51" s="77" t="s">
        <v>114</v>
      </c>
      <c r="E51" s="78" t="s">
        <v>114</v>
      </c>
      <c r="F51" s="79" t="s">
        <v>114</v>
      </c>
      <c r="G51" s="78" t="s">
        <v>114</v>
      </c>
      <c r="H51" s="79" t="s">
        <v>114</v>
      </c>
      <c r="I51" s="78" t="s">
        <v>114</v>
      </c>
      <c r="J51" s="79" t="s">
        <v>114</v>
      </c>
      <c r="K51" s="141" t="s">
        <v>114</v>
      </c>
      <c r="L51" s="129"/>
      <c r="M51" s="143" t="s">
        <v>114</v>
      </c>
      <c r="N51" s="138"/>
      <c r="O51" s="125"/>
      <c r="P51" s="69" t="s">
        <v>114</v>
      </c>
      <c r="Q51" s="143" t="s">
        <v>114</v>
      </c>
      <c r="R51" s="125"/>
      <c r="S51" s="50"/>
      <c r="T51" s="50"/>
      <c r="U51" s="50"/>
      <c r="V51" s="51" t="s">
        <v>114</v>
      </c>
      <c r="W51" s="51" t="str">
        <f t="shared" ref="W51:W59" si="1">IF(C51="","",IF(C51&gt;=7,"sálico",IF(C51&gt;=4,"salino","")))</f>
        <v/>
      </c>
      <c r="X51" s="52"/>
      <c r="Y51" s="52"/>
      <c r="Z51" s="52"/>
    </row>
    <row r="52" spans="1:26" ht="12" customHeight="1" x14ac:dyDescent="0.3">
      <c r="A52" s="87" t="s">
        <v>60</v>
      </c>
      <c r="B52" s="79" t="s">
        <v>163</v>
      </c>
      <c r="C52" s="78" t="s">
        <v>114</v>
      </c>
      <c r="D52" s="77" t="s">
        <v>114</v>
      </c>
      <c r="E52" s="78" t="s">
        <v>114</v>
      </c>
      <c r="F52" s="79" t="s">
        <v>114</v>
      </c>
      <c r="G52" s="78" t="s">
        <v>114</v>
      </c>
      <c r="H52" s="79" t="s">
        <v>114</v>
      </c>
      <c r="I52" s="78" t="s">
        <v>114</v>
      </c>
      <c r="J52" s="79" t="s">
        <v>114</v>
      </c>
      <c r="K52" s="141" t="s">
        <v>114</v>
      </c>
      <c r="L52" s="108"/>
      <c r="M52" s="141" t="s">
        <v>114</v>
      </c>
      <c r="N52" s="108"/>
      <c r="O52" s="129"/>
      <c r="P52" s="78" t="s">
        <v>114</v>
      </c>
      <c r="Q52" s="141" t="s">
        <v>114</v>
      </c>
      <c r="R52" s="129"/>
      <c r="S52" s="50"/>
      <c r="T52" s="50"/>
      <c r="U52" s="50"/>
      <c r="V52" s="51" t="s">
        <v>114</v>
      </c>
      <c r="W52" s="51" t="str">
        <f t="shared" si="1"/>
        <v/>
      </c>
      <c r="X52" s="52"/>
      <c r="Y52" s="52"/>
      <c r="Z52" s="52"/>
    </row>
    <row r="53" spans="1:26" ht="12" customHeight="1" x14ac:dyDescent="0.3">
      <c r="A53" s="91" t="s">
        <v>114</v>
      </c>
      <c r="B53" s="79" t="s">
        <v>114</v>
      </c>
      <c r="C53" s="78" t="s">
        <v>114</v>
      </c>
      <c r="D53" s="77" t="s">
        <v>114</v>
      </c>
      <c r="E53" s="78" t="s">
        <v>114</v>
      </c>
      <c r="F53" s="79" t="s">
        <v>114</v>
      </c>
      <c r="G53" s="78" t="s">
        <v>114</v>
      </c>
      <c r="H53" s="79" t="s">
        <v>114</v>
      </c>
      <c r="I53" s="78" t="s">
        <v>114</v>
      </c>
      <c r="J53" s="79" t="s">
        <v>114</v>
      </c>
      <c r="K53" s="141" t="s">
        <v>114</v>
      </c>
      <c r="L53" s="108"/>
      <c r="M53" s="141" t="s">
        <v>114</v>
      </c>
      <c r="N53" s="108"/>
      <c r="O53" s="129"/>
      <c r="P53" s="78" t="s">
        <v>114</v>
      </c>
      <c r="Q53" s="141" t="s">
        <v>114</v>
      </c>
      <c r="R53" s="129"/>
      <c r="S53" s="50"/>
      <c r="T53" s="50"/>
      <c r="U53" s="50"/>
      <c r="V53" s="51" t="s">
        <v>114</v>
      </c>
      <c r="W53" s="51" t="str">
        <f t="shared" si="1"/>
        <v/>
      </c>
      <c r="X53" s="52"/>
      <c r="Y53" s="52"/>
      <c r="Z53" s="52"/>
    </row>
    <row r="54" spans="1:26" ht="12" customHeight="1" x14ac:dyDescent="0.3">
      <c r="A54" s="91" t="s">
        <v>114</v>
      </c>
      <c r="B54" s="79" t="s">
        <v>114</v>
      </c>
      <c r="C54" s="78" t="s">
        <v>114</v>
      </c>
      <c r="D54" s="77" t="s">
        <v>114</v>
      </c>
      <c r="E54" s="78" t="s">
        <v>114</v>
      </c>
      <c r="F54" s="79" t="s">
        <v>114</v>
      </c>
      <c r="G54" s="78" t="s">
        <v>114</v>
      </c>
      <c r="H54" s="79" t="s">
        <v>114</v>
      </c>
      <c r="I54" s="78" t="s">
        <v>114</v>
      </c>
      <c r="J54" s="79" t="s">
        <v>114</v>
      </c>
      <c r="K54" s="141" t="s">
        <v>114</v>
      </c>
      <c r="L54" s="108"/>
      <c r="M54" s="141" t="s">
        <v>114</v>
      </c>
      <c r="N54" s="108"/>
      <c r="O54" s="129"/>
      <c r="P54" s="78" t="s">
        <v>114</v>
      </c>
      <c r="Q54" s="141" t="s">
        <v>114</v>
      </c>
      <c r="R54" s="129"/>
      <c r="S54" s="50"/>
      <c r="T54" s="50"/>
      <c r="U54" s="50"/>
      <c r="V54" s="51" t="s">
        <v>114</v>
      </c>
      <c r="W54" s="51" t="str">
        <f t="shared" si="1"/>
        <v/>
      </c>
      <c r="X54" s="52"/>
      <c r="Y54" s="52"/>
      <c r="Z54" s="52"/>
    </row>
    <row r="55" spans="1:26" ht="12" customHeight="1" x14ac:dyDescent="0.3">
      <c r="A55" s="91" t="s">
        <v>114</v>
      </c>
      <c r="B55" s="79" t="s">
        <v>114</v>
      </c>
      <c r="C55" s="78" t="s">
        <v>114</v>
      </c>
      <c r="D55" s="77" t="s">
        <v>114</v>
      </c>
      <c r="E55" s="78" t="s">
        <v>114</v>
      </c>
      <c r="F55" s="79" t="s">
        <v>114</v>
      </c>
      <c r="G55" s="78" t="s">
        <v>114</v>
      </c>
      <c r="H55" s="79" t="s">
        <v>114</v>
      </c>
      <c r="I55" s="78" t="s">
        <v>114</v>
      </c>
      <c r="J55" s="79" t="s">
        <v>114</v>
      </c>
      <c r="K55" s="141" t="s">
        <v>114</v>
      </c>
      <c r="L55" s="108"/>
      <c r="M55" s="141" t="s">
        <v>114</v>
      </c>
      <c r="N55" s="108"/>
      <c r="O55" s="129"/>
      <c r="P55" s="78" t="s">
        <v>114</v>
      </c>
      <c r="Q55" s="141" t="s">
        <v>114</v>
      </c>
      <c r="R55" s="129"/>
      <c r="S55" s="50"/>
      <c r="T55" s="50"/>
      <c r="U55" s="50"/>
      <c r="V55" s="51" t="s">
        <v>114</v>
      </c>
      <c r="W55" s="51" t="str">
        <f t="shared" si="1"/>
        <v/>
      </c>
      <c r="X55" s="52"/>
      <c r="Y55" s="52"/>
      <c r="Z55" s="52"/>
    </row>
    <row r="56" spans="1:26" ht="12" customHeight="1" x14ac:dyDescent="0.3">
      <c r="A56" s="91" t="s">
        <v>114</v>
      </c>
      <c r="B56" s="79" t="s">
        <v>114</v>
      </c>
      <c r="C56" s="78" t="s">
        <v>114</v>
      </c>
      <c r="D56" s="77" t="s">
        <v>114</v>
      </c>
      <c r="E56" s="78" t="s">
        <v>114</v>
      </c>
      <c r="F56" s="79" t="s">
        <v>114</v>
      </c>
      <c r="G56" s="78" t="s">
        <v>114</v>
      </c>
      <c r="H56" s="79" t="s">
        <v>114</v>
      </c>
      <c r="I56" s="78" t="s">
        <v>114</v>
      </c>
      <c r="J56" s="79" t="s">
        <v>114</v>
      </c>
      <c r="K56" s="141" t="s">
        <v>114</v>
      </c>
      <c r="L56" s="108"/>
      <c r="M56" s="141" t="s">
        <v>114</v>
      </c>
      <c r="N56" s="108"/>
      <c r="O56" s="129"/>
      <c r="P56" s="78" t="s">
        <v>114</v>
      </c>
      <c r="Q56" s="141" t="s">
        <v>114</v>
      </c>
      <c r="R56" s="129"/>
      <c r="S56" s="50"/>
      <c r="T56" s="50"/>
      <c r="U56" s="50"/>
      <c r="V56" s="51" t="s">
        <v>114</v>
      </c>
      <c r="W56" s="51" t="str">
        <f t="shared" si="1"/>
        <v/>
      </c>
      <c r="X56" s="52"/>
      <c r="Y56" s="52"/>
      <c r="Z56" s="52"/>
    </row>
    <row r="57" spans="1:26" ht="12" customHeight="1" x14ac:dyDescent="0.3">
      <c r="A57" s="91" t="s">
        <v>114</v>
      </c>
      <c r="B57" s="79" t="s">
        <v>114</v>
      </c>
      <c r="C57" s="78" t="s">
        <v>114</v>
      </c>
      <c r="D57" s="77" t="s">
        <v>114</v>
      </c>
      <c r="E57" s="78" t="s">
        <v>114</v>
      </c>
      <c r="F57" s="79" t="s">
        <v>114</v>
      </c>
      <c r="G57" s="78" t="s">
        <v>114</v>
      </c>
      <c r="H57" s="79" t="s">
        <v>114</v>
      </c>
      <c r="I57" s="78" t="s">
        <v>114</v>
      </c>
      <c r="J57" s="79" t="s">
        <v>114</v>
      </c>
      <c r="K57" s="141" t="s">
        <v>114</v>
      </c>
      <c r="L57" s="108"/>
      <c r="M57" s="141" t="s">
        <v>114</v>
      </c>
      <c r="N57" s="108"/>
      <c r="O57" s="129"/>
      <c r="P57" s="78" t="s">
        <v>114</v>
      </c>
      <c r="Q57" s="141" t="s">
        <v>114</v>
      </c>
      <c r="R57" s="129"/>
      <c r="S57" s="50"/>
      <c r="T57" s="50"/>
      <c r="U57" s="50"/>
      <c r="V57" s="51" t="s">
        <v>114</v>
      </c>
      <c r="W57" s="51" t="str">
        <f t="shared" si="1"/>
        <v/>
      </c>
      <c r="X57" s="52"/>
      <c r="Y57" s="52"/>
      <c r="Z57" s="52"/>
    </row>
    <row r="58" spans="1:26" ht="12" customHeight="1" x14ac:dyDescent="0.3">
      <c r="A58" s="91" t="s">
        <v>114</v>
      </c>
      <c r="B58" s="79" t="s">
        <v>114</v>
      </c>
      <c r="C58" s="78" t="s">
        <v>114</v>
      </c>
      <c r="D58" s="77" t="s">
        <v>114</v>
      </c>
      <c r="E58" s="78" t="s">
        <v>114</v>
      </c>
      <c r="F58" s="79" t="s">
        <v>114</v>
      </c>
      <c r="G58" s="78" t="s">
        <v>114</v>
      </c>
      <c r="H58" s="79" t="s">
        <v>114</v>
      </c>
      <c r="I58" s="78" t="s">
        <v>114</v>
      </c>
      <c r="J58" s="79" t="s">
        <v>114</v>
      </c>
      <c r="K58" s="141" t="s">
        <v>114</v>
      </c>
      <c r="L58" s="108"/>
      <c r="M58" s="141" t="s">
        <v>114</v>
      </c>
      <c r="N58" s="108"/>
      <c r="O58" s="129"/>
      <c r="P58" s="78" t="s">
        <v>114</v>
      </c>
      <c r="Q58" s="141" t="s">
        <v>114</v>
      </c>
      <c r="R58" s="129"/>
      <c r="S58" s="50"/>
      <c r="T58" s="50"/>
      <c r="U58" s="50"/>
      <c r="V58" s="51" t="s">
        <v>114</v>
      </c>
      <c r="W58" s="51" t="str">
        <f t="shared" si="1"/>
        <v/>
      </c>
      <c r="X58" s="52"/>
      <c r="Y58" s="52"/>
      <c r="Z58" s="52"/>
    </row>
    <row r="59" spans="1:26" ht="12" customHeight="1" x14ac:dyDescent="0.3">
      <c r="A59" s="92" t="s">
        <v>114</v>
      </c>
      <c r="B59" s="84" t="s">
        <v>114</v>
      </c>
      <c r="C59" s="83" t="s">
        <v>114</v>
      </c>
      <c r="D59" s="93" t="s">
        <v>114</v>
      </c>
      <c r="E59" s="83" t="s">
        <v>114</v>
      </c>
      <c r="F59" s="84" t="s">
        <v>114</v>
      </c>
      <c r="G59" s="83" t="s">
        <v>114</v>
      </c>
      <c r="H59" s="84" t="s">
        <v>114</v>
      </c>
      <c r="I59" s="83" t="s">
        <v>114</v>
      </c>
      <c r="J59" s="84" t="s">
        <v>114</v>
      </c>
      <c r="K59" s="140" t="s">
        <v>114</v>
      </c>
      <c r="L59" s="127"/>
      <c r="M59" s="140" t="s">
        <v>114</v>
      </c>
      <c r="N59" s="126"/>
      <c r="O59" s="127"/>
      <c r="P59" s="85" t="s">
        <v>114</v>
      </c>
      <c r="Q59" s="140" t="s">
        <v>114</v>
      </c>
      <c r="R59" s="127"/>
      <c r="S59" s="50"/>
      <c r="T59" s="50"/>
      <c r="U59" s="50"/>
      <c r="V59" s="51" t="s">
        <v>114</v>
      </c>
      <c r="W59" s="51" t="str">
        <f t="shared" si="1"/>
        <v/>
      </c>
      <c r="X59" s="52"/>
      <c r="Y59" s="52"/>
      <c r="Z59" s="52"/>
    </row>
    <row r="60" spans="1:26" ht="12" customHeight="1" x14ac:dyDescent="0.3">
      <c r="A60" s="94" t="s">
        <v>164</v>
      </c>
      <c r="B60" s="95"/>
      <c r="C60" s="63"/>
      <c r="D60" s="63"/>
      <c r="E60" s="63"/>
      <c r="F60" s="63"/>
      <c r="G60" s="63"/>
      <c r="H60" s="63"/>
      <c r="I60" s="63"/>
      <c r="J60" s="63"/>
      <c r="K60" s="149"/>
      <c r="L60" s="108"/>
      <c r="M60" s="149"/>
      <c r="N60" s="108"/>
      <c r="O60" s="108"/>
      <c r="P60" s="63"/>
      <c r="Q60" s="149"/>
      <c r="R60" s="108"/>
      <c r="S60" s="50"/>
      <c r="T60" s="50"/>
      <c r="U60" s="50"/>
      <c r="V60" s="51"/>
      <c r="W60" s="51"/>
      <c r="X60" s="52"/>
      <c r="Y60" s="52"/>
      <c r="Z60" s="52"/>
    </row>
    <row r="61" spans="1:26" ht="12" customHeight="1" x14ac:dyDescent="0.3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150"/>
      <c r="L61" s="108"/>
      <c r="M61" s="150"/>
      <c r="N61" s="108"/>
      <c r="O61" s="108"/>
      <c r="P61" s="52"/>
      <c r="Q61" s="150"/>
      <c r="R61" s="108"/>
      <c r="S61" s="50"/>
      <c r="T61" s="50"/>
      <c r="U61" s="50"/>
      <c r="V61" s="51"/>
      <c r="W61" s="51"/>
      <c r="X61" s="52"/>
      <c r="Y61" s="52"/>
      <c r="Z61" s="52"/>
    </row>
    <row r="62" spans="1:26" ht="12" customHeight="1" x14ac:dyDescent="0.3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150"/>
      <c r="L62" s="108"/>
      <c r="M62" s="150"/>
      <c r="N62" s="108"/>
      <c r="O62" s="108"/>
      <c r="P62" s="52"/>
      <c r="Q62" s="150"/>
      <c r="R62" s="108"/>
      <c r="S62" s="50"/>
      <c r="T62" s="50"/>
      <c r="U62" s="50"/>
      <c r="V62" s="51"/>
      <c r="W62" s="51"/>
      <c r="X62" s="52"/>
      <c r="Y62" s="52"/>
      <c r="Z62" s="52"/>
    </row>
    <row r="63" spans="1:26" ht="12" customHeight="1" x14ac:dyDescent="0.3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150"/>
      <c r="L63" s="108"/>
      <c r="M63" s="150"/>
      <c r="N63" s="108"/>
      <c r="O63" s="108"/>
      <c r="P63" s="52"/>
      <c r="Q63" s="150"/>
      <c r="R63" s="108"/>
      <c r="S63" s="50"/>
      <c r="T63" s="50"/>
      <c r="U63" s="50"/>
      <c r="V63" s="51"/>
      <c r="W63" s="51"/>
      <c r="X63" s="52"/>
      <c r="Y63" s="52"/>
      <c r="Z63" s="52"/>
    </row>
    <row r="64" spans="1:26" ht="12" customHeight="1" x14ac:dyDescent="0.3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0"/>
      <c r="T64" s="50"/>
      <c r="U64" s="50"/>
      <c r="V64" s="51"/>
      <c r="W64" s="51"/>
      <c r="X64" s="52"/>
      <c r="Y64" s="52"/>
      <c r="Z64" s="52"/>
    </row>
    <row r="65" spans="1:26" ht="12" customHeight="1" x14ac:dyDescent="0.3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0"/>
      <c r="T65" s="50"/>
      <c r="U65" s="50"/>
      <c r="V65" s="51"/>
      <c r="W65" s="51"/>
      <c r="X65" s="52"/>
      <c r="Y65" s="52"/>
      <c r="Z65" s="52"/>
    </row>
    <row r="66" spans="1:26" ht="12" customHeight="1" x14ac:dyDescent="0.3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0"/>
      <c r="T66" s="50"/>
      <c r="U66" s="50"/>
      <c r="V66" s="51"/>
      <c r="W66" s="51"/>
      <c r="X66" s="52"/>
      <c r="Y66" s="52"/>
      <c r="Z66" s="52"/>
    </row>
    <row r="67" spans="1:26" ht="12" customHeight="1" x14ac:dyDescent="0.3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0"/>
      <c r="T67" s="50"/>
      <c r="U67" s="50"/>
      <c r="V67" s="51"/>
      <c r="W67" s="51"/>
      <c r="X67" s="52"/>
      <c r="Y67" s="52"/>
      <c r="Z67" s="52"/>
    </row>
    <row r="68" spans="1:26" ht="12" customHeight="1" x14ac:dyDescent="0.3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0"/>
      <c r="T68" s="50"/>
      <c r="U68" s="50"/>
      <c r="V68" s="51"/>
      <c r="W68" s="51"/>
      <c r="X68" s="52"/>
      <c r="Y68" s="52"/>
      <c r="Z68" s="52"/>
    </row>
    <row r="69" spans="1:26" ht="12" customHeight="1" x14ac:dyDescent="0.3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0"/>
      <c r="T69" s="50"/>
      <c r="U69" s="50"/>
      <c r="V69" s="51"/>
      <c r="W69" s="51"/>
      <c r="X69" s="52"/>
      <c r="Y69" s="52"/>
      <c r="Z69" s="52"/>
    </row>
    <row r="70" spans="1:26" ht="12" customHeight="1" x14ac:dyDescent="0.3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0"/>
      <c r="T70" s="50"/>
      <c r="U70" s="50"/>
      <c r="V70" s="51"/>
      <c r="W70" s="51"/>
      <c r="X70" s="52"/>
      <c r="Y70" s="52"/>
      <c r="Z70" s="52"/>
    </row>
    <row r="71" spans="1:26" ht="12" customHeight="1" x14ac:dyDescent="0.3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0"/>
      <c r="T71" s="50"/>
      <c r="U71" s="50"/>
      <c r="V71" s="51"/>
      <c r="W71" s="51"/>
      <c r="X71" s="52"/>
      <c r="Y71" s="52"/>
      <c r="Z71" s="52"/>
    </row>
    <row r="72" spans="1:26" ht="12" customHeight="1" x14ac:dyDescent="0.3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0"/>
      <c r="T72" s="50"/>
      <c r="U72" s="50"/>
      <c r="V72" s="51"/>
      <c r="W72" s="51"/>
      <c r="X72" s="52"/>
      <c r="Y72" s="52"/>
      <c r="Z72" s="52"/>
    </row>
    <row r="73" spans="1:26" ht="12" customHeight="1" x14ac:dyDescent="0.3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0"/>
      <c r="T73" s="50"/>
      <c r="U73" s="50"/>
      <c r="V73" s="51"/>
      <c r="W73" s="51"/>
      <c r="X73" s="52"/>
      <c r="Y73" s="52"/>
      <c r="Z73" s="52"/>
    </row>
    <row r="74" spans="1:26" ht="12" customHeight="1" x14ac:dyDescent="0.3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0"/>
      <c r="T74" s="50"/>
      <c r="U74" s="50"/>
      <c r="V74" s="51"/>
      <c r="W74" s="51"/>
      <c r="X74" s="52"/>
      <c r="Y74" s="52"/>
      <c r="Z74" s="52"/>
    </row>
    <row r="75" spans="1:26" ht="12" customHeight="1" x14ac:dyDescent="0.3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0"/>
      <c r="T75" s="50"/>
      <c r="U75" s="50"/>
      <c r="V75" s="51"/>
      <c r="W75" s="51"/>
      <c r="X75" s="52"/>
      <c r="Y75" s="52"/>
      <c r="Z75" s="52"/>
    </row>
    <row r="76" spans="1:26" ht="12" customHeight="1" x14ac:dyDescent="0.3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0"/>
      <c r="T76" s="50"/>
      <c r="U76" s="50"/>
      <c r="V76" s="51"/>
      <c r="W76" s="51"/>
      <c r="X76" s="52"/>
      <c r="Y76" s="52"/>
      <c r="Z76" s="52"/>
    </row>
    <row r="77" spans="1:26" ht="12" customHeight="1" x14ac:dyDescent="0.3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0"/>
      <c r="T77" s="50"/>
      <c r="U77" s="50"/>
      <c r="V77" s="51"/>
      <c r="W77" s="51"/>
      <c r="X77" s="52"/>
      <c r="Y77" s="52"/>
      <c r="Z77" s="52"/>
    </row>
    <row r="78" spans="1:26" ht="12" customHeight="1" x14ac:dyDescent="0.3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0"/>
      <c r="T78" s="50"/>
      <c r="U78" s="50"/>
      <c r="V78" s="51"/>
      <c r="W78" s="51"/>
      <c r="X78" s="52"/>
      <c r="Y78" s="52"/>
      <c r="Z78" s="52"/>
    </row>
    <row r="79" spans="1:26" ht="12" customHeight="1" x14ac:dyDescent="0.3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0"/>
      <c r="T79" s="50"/>
      <c r="U79" s="50"/>
      <c r="V79" s="51"/>
      <c r="W79" s="51"/>
      <c r="X79" s="52"/>
      <c r="Y79" s="52"/>
      <c r="Z79" s="52"/>
    </row>
    <row r="80" spans="1:26" ht="12" customHeight="1" x14ac:dyDescent="0.3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0"/>
      <c r="T80" s="50"/>
      <c r="U80" s="50"/>
      <c r="V80" s="51"/>
      <c r="W80" s="51"/>
      <c r="X80" s="52"/>
      <c r="Y80" s="52"/>
      <c r="Z80" s="52"/>
    </row>
    <row r="81" spans="1:26" ht="12" customHeight="1" x14ac:dyDescent="0.3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0"/>
      <c r="T81" s="50"/>
      <c r="U81" s="50"/>
      <c r="V81" s="51"/>
      <c r="W81" s="51"/>
      <c r="X81" s="52"/>
      <c r="Y81" s="52"/>
      <c r="Z81" s="52"/>
    </row>
    <row r="82" spans="1:26" ht="12" customHeight="1" x14ac:dyDescent="0.3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0"/>
      <c r="T82" s="50"/>
      <c r="U82" s="50"/>
      <c r="V82" s="51"/>
      <c r="W82" s="51"/>
      <c r="X82" s="52"/>
      <c r="Y82" s="52"/>
      <c r="Z82" s="52"/>
    </row>
    <row r="83" spans="1:26" ht="12" customHeight="1" x14ac:dyDescent="0.3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0"/>
      <c r="T83" s="50"/>
      <c r="U83" s="50"/>
      <c r="V83" s="51"/>
      <c r="W83" s="51"/>
      <c r="X83" s="52"/>
      <c r="Y83" s="52"/>
      <c r="Z83" s="52"/>
    </row>
    <row r="84" spans="1:26" ht="12" customHeight="1" x14ac:dyDescent="0.3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0"/>
      <c r="T84" s="50"/>
      <c r="U84" s="50"/>
      <c r="V84" s="51"/>
      <c r="W84" s="51"/>
      <c r="X84" s="52"/>
      <c r="Y84" s="52"/>
      <c r="Z84" s="52"/>
    </row>
    <row r="85" spans="1:26" ht="12" customHeight="1" x14ac:dyDescent="0.3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0"/>
      <c r="T85" s="50"/>
      <c r="U85" s="50"/>
      <c r="V85" s="51"/>
      <c r="W85" s="51"/>
      <c r="X85" s="52"/>
      <c r="Y85" s="52"/>
      <c r="Z85" s="52"/>
    </row>
    <row r="86" spans="1:26" ht="12" customHeight="1" x14ac:dyDescent="0.3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0"/>
      <c r="T86" s="50"/>
      <c r="U86" s="50"/>
      <c r="V86" s="51"/>
      <c r="W86" s="51"/>
      <c r="X86" s="52"/>
      <c r="Y86" s="52"/>
      <c r="Z86" s="52"/>
    </row>
    <row r="87" spans="1:26" ht="12" customHeight="1" x14ac:dyDescent="0.3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0"/>
      <c r="T87" s="50"/>
      <c r="U87" s="50"/>
      <c r="V87" s="51"/>
      <c r="W87" s="51"/>
      <c r="X87" s="52"/>
      <c r="Y87" s="52"/>
      <c r="Z87" s="52"/>
    </row>
    <row r="88" spans="1:26" ht="12" customHeight="1" x14ac:dyDescent="0.3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0"/>
      <c r="T88" s="50"/>
      <c r="U88" s="50"/>
      <c r="V88" s="51"/>
      <c r="W88" s="51"/>
      <c r="X88" s="52"/>
      <c r="Y88" s="52"/>
      <c r="Z88" s="52"/>
    </row>
    <row r="89" spans="1:26" ht="12" customHeight="1" x14ac:dyDescent="0.3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0"/>
      <c r="T89" s="50"/>
      <c r="U89" s="50"/>
      <c r="V89" s="51"/>
      <c r="W89" s="51"/>
      <c r="X89" s="52"/>
      <c r="Y89" s="52"/>
      <c r="Z89" s="52"/>
    </row>
    <row r="90" spans="1:26" ht="12" customHeight="1" x14ac:dyDescent="0.3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0"/>
      <c r="T90" s="50"/>
      <c r="U90" s="50"/>
      <c r="V90" s="51"/>
      <c r="W90" s="51"/>
      <c r="X90" s="52"/>
      <c r="Y90" s="52"/>
      <c r="Z90" s="52"/>
    </row>
    <row r="91" spans="1:26" ht="12" customHeight="1" x14ac:dyDescent="0.3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0"/>
      <c r="T91" s="50"/>
      <c r="U91" s="50"/>
      <c r="V91" s="51"/>
      <c r="W91" s="51"/>
      <c r="X91" s="52"/>
      <c r="Y91" s="52"/>
      <c r="Z91" s="52"/>
    </row>
    <row r="92" spans="1:26" ht="12" customHeight="1" x14ac:dyDescent="0.3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0"/>
      <c r="T92" s="50"/>
      <c r="U92" s="50"/>
      <c r="V92" s="51"/>
      <c r="W92" s="51"/>
      <c r="X92" s="52"/>
      <c r="Y92" s="52"/>
      <c r="Z92" s="52"/>
    </row>
    <row r="93" spans="1:26" ht="12" customHeight="1" x14ac:dyDescent="0.3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0"/>
      <c r="T93" s="50"/>
      <c r="U93" s="50"/>
      <c r="V93" s="51"/>
      <c r="W93" s="51"/>
      <c r="X93" s="52"/>
      <c r="Y93" s="52"/>
      <c r="Z93" s="52"/>
    </row>
    <row r="94" spans="1:26" ht="12" customHeight="1" x14ac:dyDescent="0.3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0"/>
      <c r="T94" s="50"/>
      <c r="U94" s="50"/>
      <c r="V94" s="51"/>
      <c r="W94" s="51"/>
      <c r="X94" s="52"/>
      <c r="Y94" s="52"/>
      <c r="Z94" s="52"/>
    </row>
    <row r="95" spans="1:26" ht="12" customHeight="1" x14ac:dyDescent="0.3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0"/>
      <c r="T95" s="50"/>
      <c r="U95" s="50"/>
      <c r="V95" s="51"/>
      <c r="W95" s="51"/>
      <c r="X95" s="52"/>
      <c r="Y95" s="52"/>
      <c r="Z95" s="52"/>
    </row>
    <row r="96" spans="1:26" ht="12" customHeight="1" x14ac:dyDescent="0.3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0"/>
      <c r="T96" s="50"/>
      <c r="U96" s="50"/>
      <c r="V96" s="51"/>
      <c r="W96" s="51"/>
      <c r="X96" s="52"/>
      <c r="Y96" s="52"/>
      <c r="Z96" s="52"/>
    </row>
    <row r="97" spans="1:26" ht="12" customHeight="1" x14ac:dyDescent="0.3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0"/>
      <c r="T97" s="50"/>
      <c r="U97" s="50"/>
      <c r="V97" s="51"/>
      <c r="W97" s="51"/>
      <c r="X97" s="52"/>
      <c r="Y97" s="52"/>
      <c r="Z97" s="52"/>
    </row>
    <row r="98" spans="1:26" ht="12" customHeight="1" x14ac:dyDescent="0.3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0"/>
      <c r="T98" s="50"/>
      <c r="U98" s="50"/>
      <c r="V98" s="51"/>
      <c r="W98" s="51"/>
      <c r="X98" s="52"/>
      <c r="Y98" s="52"/>
      <c r="Z98" s="52"/>
    </row>
    <row r="99" spans="1:26" ht="12" customHeight="1" x14ac:dyDescent="0.3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0"/>
      <c r="T99" s="50"/>
      <c r="U99" s="50"/>
      <c r="V99" s="51"/>
      <c r="W99" s="51"/>
      <c r="X99" s="52"/>
      <c r="Y99" s="52"/>
      <c r="Z99" s="52"/>
    </row>
    <row r="100" spans="1:26" ht="12" customHeight="1" x14ac:dyDescent="0.3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0"/>
      <c r="T100" s="50"/>
      <c r="U100" s="50"/>
      <c r="V100" s="51"/>
      <c r="W100" s="51"/>
      <c r="X100" s="52"/>
      <c r="Y100" s="52"/>
      <c r="Z100" s="52"/>
    </row>
    <row r="101" spans="1:26" ht="12" customHeight="1" x14ac:dyDescent="0.3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0"/>
      <c r="T101" s="50"/>
      <c r="U101" s="50"/>
      <c r="V101" s="51"/>
      <c r="W101" s="51"/>
      <c r="X101" s="52"/>
      <c r="Y101" s="52"/>
      <c r="Z101" s="52"/>
    </row>
    <row r="102" spans="1:26" ht="12" customHeight="1" x14ac:dyDescent="0.3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0"/>
      <c r="T102" s="50"/>
      <c r="U102" s="50"/>
      <c r="V102" s="51"/>
      <c r="W102" s="51"/>
      <c r="X102" s="52"/>
      <c r="Y102" s="52"/>
      <c r="Z102" s="52"/>
    </row>
    <row r="103" spans="1:26" ht="12" customHeight="1" x14ac:dyDescent="0.3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0"/>
      <c r="T103" s="50"/>
      <c r="U103" s="50"/>
      <c r="V103" s="51"/>
      <c r="W103" s="51"/>
      <c r="X103" s="52"/>
      <c r="Y103" s="52"/>
      <c r="Z103" s="52"/>
    </row>
    <row r="104" spans="1:26" ht="12" customHeight="1" x14ac:dyDescent="0.3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0"/>
      <c r="T104" s="50"/>
      <c r="U104" s="50"/>
      <c r="V104" s="51"/>
      <c r="W104" s="51"/>
      <c r="X104" s="52"/>
      <c r="Y104" s="52"/>
      <c r="Z104" s="52"/>
    </row>
    <row r="105" spans="1:26" ht="12" customHeight="1" x14ac:dyDescent="0.3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0"/>
      <c r="T105" s="50"/>
      <c r="U105" s="50"/>
      <c r="V105" s="51"/>
      <c r="W105" s="51"/>
      <c r="X105" s="52"/>
      <c r="Y105" s="52"/>
      <c r="Z105" s="52"/>
    </row>
    <row r="106" spans="1:26" ht="12" customHeight="1" x14ac:dyDescent="0.3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0"/>
      <c r="T106" s="50"/>
      <c r="U106" s="50"/>
      <c r="V106" s="51"/>
      <c r="W106" s="51"/>
      <c r="X106" s="52"/>
      <c r="Y106" s="52"/>
      <c r="Z106" s="52"/>
    </row>
    <row r="107" spans="1:26" ht="12" customHeight="1" x14ac:dyDescent="0.3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0"/>
      <c r="T107" s="50"/>
      <c r="U107" s="50"/>
      <c r="V107" s="51"/>
      <c r="W107" s="51"/>
      <c r="X107" s="52"/>
      <c r="Y107" s="52"/>
      <c r="Z107" s="52"/>
    </row>
    <row r="108" spans="1:26" ht="12" customHeight="1" x14ac:dyDescent="0.3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0"/>
      <c r="T108" s="50"/>
      <c r="U108" s="50"/>
      <c r="V108" s="51"/>
      <c r="W108" s="51"/>
      <c r="X108" s="52"/>
      <c r="Y108" s="52"/>
      <c r="Z108" s="52"/>
    </row>
    <row r="109" spans="1:26" ht="12" customHeight="1" x14ac:dyDescent="0.3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0"/>
      <c r="T109" s="50"/>
      <c r="U109" s="50"/>
      <c r="V109" s="51"/>
      <c r="W109" s="51"/>
      <c r="X109" s="52"/>
      <c r="Y109" s="52"/>
      <c r="Z109" s="52"/>
    </row>
    <row r="110" spans="1:26" ht="12" customHeight="1" x14ac:dyDescent="0.3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0"/>
      <c r="T110" s="50"/>
      <c r="U110" s="50"/>
      <c r="V110" s="51"/>
      <c r="W110" s="51"/>
      <c r="X110" s="52"/>
      <c r="Y110" s="52"/>
      <c r="Z110" s="52"/>
    </row>
    <row r="111" spans="1:26" ht="12" customHeight="1" x14ac:dyDescent="0.3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0"/>
      <c r="T111" s="50"/>
      <c r="U111" s="50"/>
      <c r="V111" s="51"/>
      <c r="W111" s="51"/>
      <c r="X111" s="52"/>
      <c r="Y111" s="52"/>
      <c r="Z111" s="52"/>
    </row>
    <row r="112" spans="1:26" ht="12" customHeight="1" x14ac:dyDescent="0.3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0"/>
      <c r="T112" s="50"/>
      <c r="U112" s="50"/>
      <c r="V112" s="51"/>
      <c r="W112" s="51"/>
      <c r="X112" s="52"/>
      <c r="Y112" s="52"/>
      <c r="Z112" s="52"/>
    </row>
    <row r="113" spans="1:26" ht="12" customHeight="1" x14ac:dyDescent="0.3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0"/>
      <c r="T113" s="50"/>
      <c r="U113" s="50"/>
      <c r="V113" s="51"/>
      <c r="W113" s="51"/>
      <c r="X113" s="52"/>
      <c r="Y113" s="52"/>
      <c r="Z113" s="52"/>
    </row>
    <row r="114" spans="1:26" ht="12" customHeight="1" x14ac:dyDescent="0.3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0"/>
      <c r="T114" s="50"/>
      <c r="U114" s="50"/>
      <c r="V114" s="51"/>
      <c r="W114" s="51"/>
      <c r="X114" s="52"/>
      <c r="Y114" s="52"/>
      <c r="Z114" s="52"/>
    </row>
    <row r="115" spans="1:26" ht="12" customHeight="1" x14ac:dyDescent="0.3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0"/>
      <c r="T115" s="50"/>
      <c r="U115" s="50"/>
      <c r="V115" s="51"/>
      <c r="W115" s="51"/>
      <c r="X115" s="52"/>
      <c r="Y115" s="52"/>
      <c r="Z115" s="52"/>
    </row>
    <row r="116" spans="1:26" ht="12" customHeight="1" x14ac:dyDescent="0.3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0"/>
      <c r="T116" s="50"/>
      <c r="U116" s="50"/>
      <c r="V116" s="51"/>
      <c r="W116" s="51"/>
      <c r="X116" s="52"/>
      <c r="Y116" s="52"/>
      <c r="Z116" s="52"/>
    </row>
    <row r="117" spans="1:26" ht="12" customHeight="1" x14ac:dyDescent="0.3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0"/>
      <c r="T117" s="50"/>
      <c r="U117" s="50"/>
      <c r="V117" s="51"/>
      <c r="W117" s="51"/>
      <c r="X117" s="52"/>
      <c r="Y117" s="52"/>
      <c r="Z117" s="52"/>
    </row>
    <row r="118" spans="1:26" ht="12" customHeight="1" x14ac:dyDescent="0.3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0"/>
      <c r="T118" s="50"/>
      <c r="U118" s="50"/>
      <c r="V118" s="51"/>
      <c r="W118" s="51"/>
      <c r="X118" s="52"/>
      <c r="Y118" s="52"/>
      <c r="Z118" s="52"/>
    </row>
    <row r="119" spans="1:26" ht="12" customHeight="1" x14ac:dyDescent="0.3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0"/>
      <c r="T119" s="50"/>
      <c r="U119" s="50"/>
      <c r="V119" s="51"/>
      <c r="W119" s="51"/>
      <c r="X119" s="52"/>
      <c r="Y119" s="52"/>
      <c r="Z119" s="52"/>
    </row>
    <row r="120" spans="1:26" ht="12" customHeight="1" x14ac:dyDescent="0.3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0"/>
      <c r="T120" s="50"/>
      <c r="U120" s="50"/>
      <c r="V120" s="51"/>
      <c r="W120" s="51"/>
      <c r="X120" s="52"/>
      <c r="Y120" s="52"/>
      <c r="Z120" s="52"/>
    </row>
    <row r="121" spans="1:26" ht="12" customHeight="1" x14ac:dyDescent="0.3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0"/>
      <c r="T121" s="50"/>
      <c r="U121" s="50"/>
      <c r="V121" s="51"/>
      <c r="W121" s="51"/>
      <c r="X121" s="52"/>
      <c r="Y121" s="52"/>
      <c r="Z121" s="52"/>
    </row>
    <row r="122" spans="1:26" ht="12" customHeight="1" x14ac:dyDescent="0.3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0"/>
      <c r="T122" s="50"/>
      <c r="U122" s="50"/>
      <c r="V122" s="51"/>
      <c r="W122" s="51"/>
      <c r="X122" s="52"/>
      <c r="Y122" s="52"/>
      <c r="Z122" s="52"/>
    </row>
    <row r="123" spans="1:26" ht="12" customHeight="1" x14ac:dyDescent="0.3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0"/>
      <c r="T123" s="50"/>
      <c r="U123" s="50"/>
      <c r="V123" s="51"/>
      <c r="W123" s="51"/>
      <c r="X123" s="52"/>
      <c r="Y123" s="52"/>
      <c r="Z123" s="52"/>
    </row>
    <row r="124" spans="1:26" ht="12" customHeight="1" x14ac:dyDescent="0.3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0"/>
      <c r="T124" s="50"/>
      <c r="U124" s="50"/>
      <c r="V124" s="51"/>
      <c r="W124" s="51"/>
      <c r="X124" s="52"/>
      <c r="Y124" s="52"/>
      <c r="Z124" s="52"/>
    </row>
    <row r="125" spans="1:26" ht="12" customHeight="1" x14ac:dyDescent="0.3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0"/>
      <c r="T125" s="50"/>
      <c r="U125" s="50"/>
      <c r="V125" s="51"/>
      <c r="W125" s="51"/>
      <c r="X125" s="52"/>
      <c r="Y125" s="52"/>
      <c r="Z125" s="52"/>
    </row>
    <row r="126" spans="1:26" ht="12" customHeight="1" x14ac:dyDescent="0.3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0"/>
      <c r="T126" s="50"/>
      <c r="U126" s="50"/>
      <c r="V126" s="51"/>
      <c r="W126" s="51"/>
      <c r="X126" s="52"/>
      <c r="Y126" s="52"/>
      <c r="Z126" s="52"/>
    </row>
    <row r="127" spans="1:26" ht="12" customHeight="1" x14ac:dyDescent="0.3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0"/>
      <c r="T127" s="50"/>
      <c r="U127" s="50"/>
      <c r="V127" s="51"/>
      <c r="W127" s="51"/>
      <c r="X127" s="52"/>
      <c r="Y127" s="52"/>
      <c r="Z127" s="52"/>
    </row>
    <row r="128" spans="1:26" ht="12" customHeight="1" x14ac:dyDescent="0.3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0"/>
      <c r="T128" s="50"/>
      <c r="U128" s="50"/>
      <c r="V128" s="51"/>
      <c r="W128" s="51"/>
      <c r="X128" s="52"/>
      <c r="Y128" s="52"/>
      <c r="Z128" s="52"/>
    </row>
    <row r="129" spans="1:26" ht="12" customHeight="1" x14ac:dyDescent="0.3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0"/>
      <c r="T129" s="50"/>
      <c r="U129" s="50"/>
      <c r="V129" s="51"/>
      <c r="W129" s="51"/>
      <c r="X129" s="52"/>
      <c r="Y129" s="52"/>
      <c r="Z129" s="52"/>
    </row>
    <row r="130" spans="1:26" ht="12" customHeight="1" x14ac:dyDescent="0.3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0"/>
      <c r="T130" s="50"/>
      <c r="U130" s="50"/>
      <c r="V130" s="51"/>
      <c r="W130" s="51"/>
      <c r="X130" s="52"/>
      <c r="Y130" s="52"/>
      <c r="Z130" s="52"/>
    </row>
    <row r="131" spans="1:26" ht="12" customHeight="1" x14ac:dyDescent="0.3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0"/>
      <c r="T131" s="50"/>
      <c r="U131" s="50"/>
      <c r="V131" s="51"/>
      <c r="W131" s="51"/>
      <c r="X131" s="52"/>
      <c r="Y131" s="52"/>
      <c r="Z131" s="52"/>
    </row>
    <row r="132" spans="1:26" ht="12" customHeight="1" x14ac:dyDescent="0.3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0"/>
      <c r="T132" s="50"/>
      <c r="U132" s="50"/>
      <c r="V132" s="51"/>
      <c r="W132" s="51"/>
      <c r="X132" s="52"/>
      <c r="Y132" s="52"/>
      <c r="Z132" s="52"/>
    </row>
    <row r="133" spans="1:26" ht="12" customHeight="1" x14ac:dyDescent="0.3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0"/>
      <c r="T133" s="50"/>
      <c r="U133" s="50"/>
      <c r="V133" s="51"/>
      <c r="W133" s="51"/>
      <c r="X133" s="52"/>
      <c r="Y133" s="52"/>
      <c r="Z133" s="52"/>
    </row>
    <row r="134" spans="1:26" ht="12" customHeight="1" x14ac:dyDescent="0.3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0"/>
      <c r="T134" s="50"/>
      <c r="U134" s="50"/>
      <c r="V134" s="51"/>
      <c r="W134" s="51"/>
      <c r="X134" s="52"/>
      <c r="Y134" s="52"/>
      <c r="Z134" s="52"/>
    </row>
    <row r="135" spans="1:26" ht="12" customHeight="1" x14ac:dyDescent="0.3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0"/>
      <c r="T135" s="50"/>
      <c r="U135" s="50"/>
      <c r="V135" s="51"/>
      <c r="W135" s="51"/>
      <c r="X135" s="52"/>
      <c r="Y135" s="52"/>
      <c r="Z135" s="52"/>
    </row>
    <row r="136" spans="1:26" ht="12" customHeight="1" x14ac:dyDescent="0.3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0"/>
      <c r="T136" s="50"/>
      <c r="U136" s="50"/>
      <c r="V136" s="51"/>
      <c r="W136" s="51"/>
      <c r="X136" s="52"/>
      <c r="Y136" s="52"/>
      <c r="Z136" s="52"/>
    </row>
    <row r="137" spans="1:26" ht="12" customHeight="1" x14ac:dyDescent="0.3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0"/>
      <c r="T137" s="50"/>
      <c r="U137" s="50"/>
      <c r="V137" s="51"/>
      <c r="W137" s="51"/>
      <c r="X137" s="52"/>
      <c r="Y137" s="52"/>
      <c r="Z137" s="52"/>
    </row>
    <row r="138" spans="1:26" ht="12" customHeight="1" x14ac:dyDescent="0.3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0"/>
      <c r="T138" s="50"/>
      <c r="U138" s="50"/>
      <c r="V138" s="51"/>
      <c r="W138" s="51"/>
      <c r="X138" s="52"/>
      <c r="Y138" s="52"/>
      <c r="Z138" s="52"/>
    </row>
    <row r="139" spans="1:26" ht="12" customHeight="1" x14ac:dyDescent="0.3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0"/>
      <c r="T139" s="50"/>
      <c r="U139" s="50"/>
      <c r="V139" s="51"/>
      <c r="W139" s="51"/>
      <c r="X139" s="52"/>
      <c r="Y139" s="52"/>
      <c r="Z139" s="52"/>
    </row>
    <row r="140" spans="1:26" ht="12" customHeight="1" x14ac:dyDescent="0.3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0"/>
      <c r="T140" s="50"/>
      <c r="U140" s="50"/>
      <c r="V140" s="51"/>
      <c r="W140" s="51"/>
      <c r="X140" s="52"/>
      <c r="Y140" s="52"/>
      <c r="Z140" s="52"/>
    </row>
    <row r="141" spans="1:26" ht="12" customHeight="1" x14ac:dyDescent="0.3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0"/>
      <c r="T141" s="50"/>
      <c r="U141" s="50"/>
      <c r="V141" s="51"/>
      <c r="W141" s="51"/>
      <c r="X141" s="52"/>
      <c r="Y141" s="52"/>
      <c r="Z141" s="52"/>
    </row>
    <row r="142" spans="1:26" ht="12" customHeight="1" x14ac:dyDescent="0.3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0"/>
      <c r="T142" s="50"/>
      <c r="U142" s="50"/>
      <c r="V142" s="51"/>
      <c r="W142" s="51"/>
      <c r="X142" s="52"/>
      <c r="Y142" s="52"/>
      <c r="Z142" s="52"/>
    </row>
    <row r="143" spans="1:26" ht="12" customHeight="1" x14ac:dyDescent="0.3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0"/>
      <c r="T143" s="50"/>
      <c r="U143" s="50"/>
      <c r="V143" s="51"/>
      <c r="W143" s="51"/>
      <c r="X143" s="52"/>
      <c r="Y143" s="52"/>
      <c r="Z143" s="52"/>
    </row>
    <row r="144" spans="1:26" ht="12" customHeight="1" x14ac:dyDescent="0.3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0"/>
      <c r="T144" s="50"/>
      <c r="U144" s="50"/>
      <c r="V144" s="51"/>
      <c r="W144" s="51"/>
      <c r="X144" s="52"/>
      <c r="Y144" s="52"/>
      <c r="Z144" s="52"/>
    </row>
    <row r="145" spans="1:26" ht="12" customHeight="1" x14ac:dyDescent="0.3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0"/>
      <c r="T145" s="50"/>
      <c r="U145" s="50"/>
      <c r="V145" s="51"/>
      <c r="W145" s="51"/>
      <c r="X145" s="52"/>
      <c r="Y145" s="52"/>
      <c r="Z145" s="52"/>
    </row>
    <row r="146" spans="1:26" ht="12" customHeight="1" x14ac:dyDescent="0.3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0"/>
      <c r="T146" s="50"/>
      <c r="U146" s="50"/>
      <c r="V146" s="51"/>
      <c r="W146" s="51"/>
      <c r="X146" s="52"/>
      <c r="Y146" s="52"/>
      <c r="Z146" s="52"/>
    </row>
    <row r="147" spans="1:26" ht="12" customHeight="1" x14ac:dyDescent="0.3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0"/>
      <c r="T147" s="50"/>
      <c r="U147" s="50"/>
      <c r="V147" s="51"/>
      <c r="W147" s="51"/>
      <c r="X147" s="52"/>
      <c r="Y147" s="52"/>
      <c r="Z147" s="52"/>
    </row>
    <row r="148" spans="1:26" ht="12" customHeight="1" x14ac:dyDescent="0.3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0"/>
      <c r="T148" s="50"/>
      <c r="U148" s="50"/>
      <c r="V148" s="51"/>
      <c r="W148" s="51"/>
      <c r="X148" s="52"/>
      <c r="Y148" s="52"/>
      <c r="Z148" s="52"/>
    </row>
    <row r="149" spans="1:26" ht="12" customHeight="1" x14ac:dyDescent="0.3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0"/>
      <c r="T149" s="50"/>
      <c r="U149" s="50"/>
      <c r="V149" s="51"/>
      <c r="W149" s="51"/>
      <c r="X149" s="52"/>
      <c r="Y149" s="52"/>
      <c r="Z149" s="52"/>
    </row>
    <row r="150" spans="1:26" ht="12" customHeight="1" x14ac:dyDescent="0.3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0"/>
      <c r="T150" s="50"/>
      <c r="U150" s="50"/>
      <c r="V150" s="51"/>
      <c r="W150" s="51"/>
      <c r="X150" s="52"/>
      <c r="Y150" s="52"/>
      <c r="Z150" s="52"/>
    </row>
    <row r="151" spans="1:26" ht="12" customHeight="1" x14ac:dyDescent="0.3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0"/>
      <c r="T151" s="50"/>
      <c r="U151" s="50"/>
      <c r="V151" s="51"/>
      <c r="W151" s="51"/>
      <c r="X151" s="52"/>
      <c r="Y151" s="52"/>
      <c r="Z151" s="52"/>
    </row>
    <row r="152" spans="1:26" ht="12" customHeight="1" x14ac:dyDescent="0.3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0"/>
      <c r="T152" s="50"/>
      <c r="U152" s="50"/>
      <c r="V152" s="51"/>
      <c r="W152" s="51"/>
      <c r="X152" s="52"/>
      <c r="Y152" s="52"/>
      <c r="Z152" s="52"/>
    </row>
    <row r="153" spans="1:26" ht="12" customHeight="1" x14ac:dyDescent="0.3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0"/>
      <c r="T153" s="50"/>
      <c r="U153" s="50"/>
      <c r="V153" s="51"/>
      <c r="W153" s="51"/>
      <c r="X153" s="52"/>
      <c r="Y153" s="52"/>
      <c r="Z153" s="52"/>
    </row>
    <row r="154" spans="1:26" ht="12" customHeight="1" x14ac:dyDescent="0.3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0"/>
      <c r="T154" s="50"/>
      <c r="U154" s="50"/>
      <c r="V154" s="51"/>
      <c r="W154" s="51"/>
      <c r="X154" s="52"/>
      <c r="Y154" s="52"/>
      <c r="Z154" s="52"/>
    </row>
    <row r="155" spans="1:26" ht="12" customHeight="1" x14ac:dyDescent="0.3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0"/>
      <c r="T155" s="50"/>
      <c r="U155" s="50"/>
      <c r="V155" s="51"/>
      <c r="W155" s="51"/>
      <c r="X155" s="52"/>
      <c r="Y155" s="52"/>
      <c r="Z155" s="52"/>
    </row>
    <row r="156" spans="1:26" ht="12" customHeight="1" x14ac:dyDescent="0.3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0"/>
      <c r="T156" s="50"/>
      <c r="U156" s="50"/>
      <c r="V156" s="51"/>
      <c r="W156" s="51"/>
      <c r="X156" s="52"/>
      <c r="Y156" s="52"/>
      <c r="Z156" s="52"/>
    </row>
    <row r="157" spans="1:26" ht="12" customHeight="1" x14ac:dyDescent="0.3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0"/>
      <c r="T157" s="50"/>
      <c r="U157" s="50"/>
      <c r="V157" s="51"/>
      <c r="W157" s="51"/>
      <c r="X157" s="52"/>
      <c r="Y157" s="52"/>
      <c r="Z157" s="52"/>
    </row>
    <row r="158" spans="1:26" ht="12" customHeight="1" x14ac:dyDescent="0.3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0"/>
      <c r="T158" s="50"/>
      <c r="U158" s="50"/>
      <c r="V158" s="51"/>
      <c r="W158" s="51"/>
      <c r="X158" s="52"/>
      <c r="Y158" s="52"/>
      <c r="Z158" s="52"/>
    </row>
    <row r="159" spans="1:26" ht="12" customHeight="1" x14ac:dyDescent="0.3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0"/>
      <c r="T159" s="50"/>
      <c r="U159" s="50"/>
      <c r="V159" s="51"/>
      <c r="W159" s="51"/>
      <c r="X159" s="52"/>
      <c r="Y159" s="52"/>
      <c r="Z159" s="52"/>
    </row>
    <row r="160" spans="1:26" ht="12" customHeight="1" x14ac:dyDescent="0.3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0"/>
      <c r="T160" s="50"/>
      <c r="U160" s="50"/>
      <c r="V160" s="51"/>
      <c r="W160" s="51"/>
      <c r="X160" s="52"/>
      <c r="Y160" s="52"/>
      <c r="Z160" s="52"/>
    </row>
    <row r="161" spans="1:26" ht="12" customHeight="1" x14ac:dyDescent="0.3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0"/>
      <c r="T161" s="50"/>
      <c r="U161" s="50"/>
      <c r="V161" s="51"/>
      <c r="W161" s="51"/>
      <c r="X161" s="52"/>
      <c r="Y161" s="52"/>
      <c r="Z161" s="52"/>
    </row>
    <row r="162" spans="1:26" ht="12" customHeight="1" x14ac:dyDescent="0.3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0"/>
      <c r="T162" s="50"/>
      <c r="U162" s="50"/>
      <c r="V162" s="51"/>
      <c r="W162" s="51"/>
      <c r="X162" s="52"/>
      <c r="Y162" s="52"/>
      <c r="Z162" s="52"/>
    </row>
    <row r="163" spans="1:26" ht="12" customHeight="1" x14ac:dyDescent="0.3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0"/>
      <c r="T163" s="50"/>
      <c r="U163" s="50"/>
      <c r="V163" s="51"/>
      <c r="W163" s="51"/>
      <c r="X163" s="52"/>
      <c r="Y163" s="52"/>
      <c r="Z163" s="52"/>
    </row>
    <row r="164" spans="1:26" ht="12" customHeight="1" x14ac:dyDescent="0.3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0"/>
      <c r="T164" s="50"/>
      <c r="U164" s="50"/>
      <c r="V164" s="51"/>
      <c r="W164" s="51"/>
      <c r="X164" s="52"/>
      <c r="Y164" s="52"/>
      <c r="Z164" s="52"/>
    </row>
    <row r="165" spans="1:26" ht="12" customHeight="1" x14ac:dyDescent="0.3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0"/>
      <c r="T165" s="50"/>
      <c r="U165" s="50"/>
      <c r="V165" s="51"/>
      <c r="W165" s="51"/>
      <c r="X165" s="52"/>
      <c r="Y165" s="52"/>
      <c r="Z165" s="52"/>
    </row>
    <row r="166" spans="1:26" ht="12" customHeight="1" x14ac:dyDescent="0.3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0"/>
      <c r="T166" s="50"/>
      <c r="U166" s="50"/>
      <c r="V166" s="51"/>
      <c r="W166" s="51"/>
      <c r="X166" s="52"/>
      <c r="Y166" s="52"/>
      <c r="Z166" s="52"/>
    </row>
    <row r="167" spans="1:26" ht="12" customHeight="1" x14ac:dyDescent="0.3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0"/>
      <c r="T167" s="50"/>
      <c r="U167" s="50"/>
      <c r="V167" s="51"/>
      <c r="W167" s="51"/>
      <c r="X167" s="52"/>
      <c r="Y167" s="52"/>
      <c r="Z167" s="52"/>
    </row>
    <row r="168" spans="1:26" ht="12" customHeight="1" x14ac:dyDescent="0.3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0"/>
      <c r="T168" s="50"/>
      <c r="U168" s="50"/>
      <c r="V168" s="51"/>
      <c r="W168" s="51"/>
      <c r="X168" s="52"/>
      <c r="Y168" s="52"/>
      <c r="Z168" s="52"/>
    </row>
    <row r="169" spans="1:26" ht="12" customHeight="1" x14ac:dyDescent="0.3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0"/>
      <c r="T169" s="50"/>
      <c r="U169" s="50"/>
      <c r="V169" s="51"/>
      <c r="W169" s="51"/>
      <c r="X169" s="52"/>
      <c r="Y169" s="52"/>
      <c r="Z169" s="52"/>
    </row>
    <row r="170" spans="1:26" ht="12" customHeight="1" x14ac:dyDescent="0.3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0"/>
      <c r="T170" s="50"/>
      <c r="U170" s="50"/>
      <c r="V170" s="51"/>
      <c r="W170" s="51"/>
      <c r="X170" s="52"/>
      <c r="Y170" s="52"/>
      <c r="Z170" s="52"/>
    </row>
    <row r="171" spans="1:26" ht="12" customHeight="1" x14ac:dyDescent="0.3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0"/>
      <c r="T171" s="50"/>
      <c r="U171" s="50"/>
      <c r="V171" s="51"/>
      <c r="W171" s="51"/>
      <c r="X171" s="52"/>
      <c r="Y171" s="52"/>
      <c r="Z171" s="52"/>
    </row>
    <row r="172" spans="1:26" ht="12" customHeight="1" x14ac:dyDescent="0.3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0"/>
      <c r="T172" s="50"/>
      <c r="U172" s="50"/>
      <c r="V172" s="51"/>
      <c r="W172" s="51"/>
      <c r="X172" s="52"/>
      <c r="Y172" s="52"/>
      <c r="Z172" s="52"/>
    </row>
    <row r="173" spans="1:26" ht="12" customHeight="1" x14ac:dyDescent="0.3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0"/>
      <c r="T173" s="50"/>
      <c r="U173" s="50"/>
      <c r="V173" s="51"/>
      <c r="W173" s="51"/>
      <c r="X173" s="52"/>
      <c r="Y173" s="52"/>
      <c r="Z173" s="52"/>
    </row>
    <row r="174" spans="1:26" ht="12" customHeight="1" x14ac:dyDescent="0.3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0"/>
      <c r="T174" s="50"/>
      <c r="U174" s="50"/>
      <c r="V174" s="51"/>
      <c r="W174" s="51"/>
      <c r="X174" s="52"/>
      <c r="Y174" s="52"/>
      <c r="Z174" s="52"/>
    </row>
    <row r="175" spans="1:26" ht="12" customHeight="1" x14ac:dyDescent="0.3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0"/>
      <c r="T175" s="50"/>
      <c r="U175" s="50"/>
      <c r="V175" s="51"/>
      <c r="W175" s="51"/>
      <c r="X175" s="52"/>
      <c r="Y175" s="52"/>
      <c r="Z175" s="52"/>
    </row>
    <row r="176" spans="1:26" ht="12" customHeight="1" x14ac:dyDescent="0.3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0"/>
      <c r="T176" s="50"/>
      <c r="U176" s="50"/>
      <c r="V176" s="51"/>
      <c r="W176" s="51"/>
      <c r="X176" s="52"/>
      <c r="Y176" s="52"/>
      <c r="Z176" s="52"/>
    </row>
    <row r="177" spans="1:26" ht="12" customHeight="1" x14ac:dyDescent="0.3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0"/>
      <c r="T177" s="50"/>
      <c r="U177" s="50"/>
      <c r="V177" s="51"/>
      <c r="W177" s="51"/>
      <c r="X177" s="52"/>
      <c r="Y177" s="52"/>
      <c r="Z177" s="52"/>
    </row>
    <row r="178" spans="1:26" ht="12" customHeight="1" x14ac:dyDescent="0.3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0"/>
      <c r="T178" s="50"/>
      <c r="U178" s="50"/>
      <c r="V178" s="51"/>
      <c r="W178" s="51"/>
      <c r="X178" s="52"/>
      <c r="Y178" s="52"/>
      <c r="Z178" s="52"/>
    </row>
    <row r="179" spans="1:26" ht="12" customHeight="1" x14ac:dyDescent="0.3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0"/>
      <c r="T179" s="50"/>
      <c r="U179" s="50"/>
      <c r="V179" s="51"/>
      <c r="W179" s="51"/>
      <c r="X179" s="52"/>
      <c r="Y179" s="52"/>
      <c r="Z179" s="52"/>
    </row>
    <row r="180" spans="1:26" ht="12" customHeight="1" x14ac:dyDescent="0.3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0"/>
      <c r="T180" s="50"/>
      <c r="U180" s="50"/>
      <c r="V180" s="51"/>
      <c r="W180" s="51"/>
      <c r="X180" s="52"/>
      <c r="Y180" s="52"/>
      <c r="Z180" s="52"/>
    </row>
    <row r="181" spans="1:26" ht="12" customHeight="1" x14ac:dyDescent="0.3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0"/>
      <c r="T181" s="50"/>
      <c r="U181" s="50"/>
      <c r="V181" s="51"/>
      <c r="W181" s="51"/>
      <c r="X181" s="52"/>
      <c r="Y181" s="52"/>
      <c r="Z181" s="52"/>
    </row>
    <row r="182" spans="1:26" ht="12" customHeight="1" x14ac:dyDescent="0.3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0"/>
      <c r="T182" s="50"/>
      <c r="U182" s="50"/>
      <c r="V182" s="51"/>
      <c r="W182" s="51"/>
      <c r="X182" s="52"/>
      <c r="Y182" s="52"/>
      <c r="Z182" s="52"/>
    </row>
    <row r="183" spans="1:26" ht="12" customHeight="1" x14ac:dyDescent="0.3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0"/>
      <c r="T183" s="50"/>
      <c r="U183" s="50"/>
      <c r="V183" s="51"/>
      <c r="W183" s="51"/>
      <c r="X183" s="52"/>
      <c r="Y183" s="52"/>
      <c r="Z183" s="52"/>
    </row>
    <row r="184" spans="1:26" ht="12" customHeight="1" x14ac:dyDescent="0.3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0"/>
      <c r="T184" s="50"/>
      <c r="U184" s="50"/>
      <c r="V184" s="51"/>
      <c r="W184" s="51"/>
      <c r="X184" s="52"/>
      <c r="Y184" s="52"/>
      <c r="Z184" s="52"/>
    </row>
    <row r="185" spans="1:26" ht="12" customHeight="1" x14ac:dyDescent="0.3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0"/>
      <c r="T185" s="50"/>
      <c r="U185" s="50"/>
      <c r="V185" s="51"/>
      <c r="W185" s="51"/>
      <c r="X185" s="52"/>
      <c r="Y185" s="52"/>
      <c r="Z185" s="52"/>
    </row>
    <row r="186" spans="1:26" ht="12" customHeight="1" x14ac:dyDescent="0.3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0"/>
      <c r="T186" s="50"/>
      <c r="U186" s="50"/>
      <c r="V186" s="51"/>
      <c r="W186" s="51"/>
      <c r="X186" s="52"/>
      <c r="Y186" s="52"/>
      <c r="Z186" s="52"/>
    </row>
    <row r="187" spans="1:26" ht="12" customHeight="1" x14ac:dyDescent="0.3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0"/>
      <c r="T187" s="50"/>
      <c r="U187" s="50"/>
      <c r="V187" s="51"/>
      <c r="W187" s="51"/>
      <c r="X187" s="52"/>
      <c r="Y187" s="52"/>
      <c r="Z187" s="52"/>
    </row>
    <row r="188" spans="1:26" ht="12" customHeight="1" x14ac:dyDescent="0.3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0"/>
      <c r="T188" s="50"/>
      <c r="U188" s="50"/>
      <c r="V188" s="51"/>
      <c r="W188" s="51"/>
      <c r="X188" s="52"/>
      <c r="Y188" s="52"/>
      <c r="Z188" s="52"/>
    </row>
    <row r="189" spans="1:26" ht="12" customHeight="1" x14ac:dyDescent="0.3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0"/>
      <c r="T189" s="50"/>
      <c r="U189" s="50"/>
      <c r="V189" s="51"/>
      <c r="W189" s="51"/>
      <c r="X189" s="52"/>
      <c r="Y189" s="52"/>
      <c r="Z189" s="52"/>
    </row>
    <row r="190" spans="1:26" ht="12" customHeight="1" x14ac:dyDescent="0.3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0"/>
      <c r="T190" s="50"/>
      <c r="U190" s="50"/>
      <c r="V190" s="51"/>
      <c r="W190" s="51"/>
      <c r="X190" s="52"/>
      <c r="Y190" s="52"/>
      <c r="Z190" s="52"/>
    </row>
    <row r="191" spans="1:26" ht="12" customHeight="1" x14ac:dyDescent="0.3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0"/>
      <c r="T191" s="50"/>
      <c r="U191" s="50"/>
      <c r="V191" s="51"/>
      <c r="W191" s="51"/>
      <c r="X191" s="52"/>
      <c r="Y191" s="52"/>
      <c r="Z191" s="52"/>
    </row>
    <row r="192" spans="1:26" ht="12" customHeight="1" x14ac:dyDescent="0.3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0"/>
      <c r="T192" s="50"/>
      <c r="U192" s="50"/>
      <c r="V192" s="51"/>
      <c r="W192" s="51"/>
      <c r="X192" s="52"/>
      <c r="Y192" s="52"/>
      <c r="Z192" s="52"/>
    </row>
    <row r="193" spans="1:26" ht="12" customHeight="1" x14ac:dyDescent="0.3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0"/>
      <c r="T193" s="50"/>
      <c r="U193" s="50"/>
      <c r="V193" s="51"/>
      <c r="W193" s="51"/>
      <c r="X193" s="52"/>
      <c r="Y193" s="52"/>
      <c r="Z193" s="52"/>
    </row>
    <row r="194" spans="1:26" ht="12" customHeight="1" x14ac:dyDescent="0.3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0"/>
      <c r="T194" s="50"/>
      <c r="U194" s="50"/>
      <c r="V194" s="51"/>
      <c r="W194" s="51"/>
      <c r="X194" s="52"/>
      <c r="Y194" s="52"/>
      <c r="Z194" s="52"/>
    </row>
    <row r="195" spans="1:26" ht="12" customHeight="1" x14ac:dyDescent="0.3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0"/>
      <c r="T195" s="50"/>
      <c r="U195" s="50"/>
      <c r="V195" s="51"/>
      <c r="W195" s="51"/>
      <c r="X195" s="52"/>
      <c r="Y195" s="52"/>
      <c r="Z195" s="52"/>
    </row>
    <row r="196" spans="1:26" ht="12" customHeight="1" x14ac:dyDescent="0.3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0"/>
      <c r="T196" s="50"/>
      <c r="U196" s="50"/>
      <c r="V196" s="51"/>
      <c r="W196" s="51"/>
      <c r="X196" s="52"/>
      <c r="Y196" s="52"/>
      <c r="Z196" s="52"/>
    </row>
    <row r="197" spans="1:26" ht="12" customHeight="1" x14ac:dyDescent="0.3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0"/>
      <c r="T197" s="50"/>
      <c r="U197" s="50"/>
      <c r="V197" s="51"/>
      <c r="W197" s="51"/>
      <c r="X197" s="52"/>
      <c r="Y197" s="52"/>
      <c r="Z197" s="52"/>
    </row>
    <row r="198" spans="1:26" ht="12" customHeight="1" x14ac:dyDescent="0.3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0"/>
      <c r="T198" s="50"/>
      <c r="U198" s="50"/>
      <c r="V198" s="51"/>
      <c r="W198" s="51"/>
      <c r="X198" s="52"/>
      <c r="Y198" s="52"/>
      <c r="Z198" s="52"/>
    </row>
    <row r="199" spans="1:26" ht="12" customHeight="1" x14ac:dyDescent="0.3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0"/>
      <c r="T199" s="50"/>
      <c r="U199" s="50"/>
      <c r="V199" s="51"/>
      <c r="W199" s="51"/>
      <c r="X199" s="52"/>
      <c r="Y199" s="52"/>
      <c r="Z199" s="52"/>
    </row>
    <row r="200" spans="1:26" ht="12" customHeight="1" x14ac:dyDescent="0.3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0"/>
      <c r="T200" s="50"/>
      <c r="U200" s="50"/>
      <c r="V200" s="51"/>
      <c r="W200" s="51"/>
      <c r="X200" s="52"/>
      <c r="Y200" s="52"/>
      <c r="Z200" s="52"/>
    </row>
    <row r="201" spans="1:26" ht="12" customHeight="1" x14ac:dyDescent="0.3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0"/>
      <c r="T201" s="50"/>
      <c r="U201" s="50"/>
      <c r="V201" s="51"/>
      <c r="W201" s="51"/>
      <c r="X201" s="52"/>
      <c r="Y201" s="52"/>
      <c r="Z201" s="52"/>
    </row>
    <row r="202" spans="1:26" ht="12" customHeight="1" x14ac:dyDescent="0.3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0"/>
      <c r="T202" s="50"/>
      <c r="U202" s="50"/>
      <c r="V202" s="51"/>
      <c r="W202" s="51"/>
      <c r="X202" s="52"/>
      <c r="Y202" s="52"/>
      <c r="Z202" s="52"/>
    </row>
    <row r="203" spans="1:26" ht="12" customHeight="1" x14ac:dyDescent="0.3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0"/>
      <c r="T203" s="50"/>
      <c r="U203" s="50"/>
      <c r="V203" s="51"/>
      <c r="W203" s="51"/>
      <c r="X203" s="52"/>
      <c r="Y203" s="52"/>
      <c r="Z203" s="52"/>
    </row>
    <row r="204" spans="1:26" ht="12" customHeight="1" x14ac:dyDescent="0.3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0"/>
      <c r="T204" s="50"/>
      <c r="U204" s="50"/>
      <c r="V204" s="51"/>
      <c r="W204" s="51"/>
      <c r="X204" s="52"/>
      <c r="Y204" s="52"/>
      <c r="Z204" s="52"/>
    </row>
    <row r="205" spans="1:26" ht="12" customHeight="1" x14ac:dyDescent="0.3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0"/>
      <c r="T205" s="50"/>
      <c r="U205" s="50"/>
      <c r="V205" s="51"/>
      <c r="W205" s="51"/>
      <c r="X205" s="52"/>
      <c r="Y205" s="52"/>
      <c r="Z205" s="52"/>
    </row>
    <row r="206" spans="1:26" ht="12" customHeight="1" x14ac:dyDescent="0.3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0"/>
      <c r="T206" s="50"/>
      <c r="U206" s="50"/>
      <c r="V206" s="51"/>
      <c r="W206" s="51"/>
      <c r="X206" s="52"/>
      <c r="Y206" s="52"/>
      <c r="Z206" s="52"/>
    </row>
    <row r="207" spans="1:26" ht="12" customHeight="1" x14ac:dyDescent="0.3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0"/>
      <c r="T207" s="50"/>
      <c r="U207" s="50"/>
      <c r="V207" s="51"/>
      <c r="W207" s="51"/>
      <c r="X207" s="52"/>
      <c r="Y207" s="52"/>
      <c r="Z207" s="52"/>
    </row>
    <row r="208" spans="1:26" ht="12" customHeight="1" x14ac:dyDescent="0.3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0"/>
      <c r="T208" s="50"/>
      <c r="U208" s="50"/>
      <c r="V208" s="51"/>
      <c r="W208" s="51"/>
      <c r="X208" s="52"/>
      <c r="Y208" s="52"/>
      <c r="Z208" s="52"/>
    </row>
    <row r="209" spans="1:26" ht="12" customHeight="1" x14ac:dyDescent="0.3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0"/>
      <c r="T209" s="50"/>
      <c r="U209" s="50"/>
      <c r="V209" s="51"/>
      <c r="W209" s="51"/>
      <c r="X209" s="52"/>
      <c r="Y209" s="52"/>
      <c r="Z209" s="52"/>
    </row>
    <row r="210" spans="1:26" ht="12" customHeight="1" x14ac:dyDescent="0.3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0"/>
      <c r="T210" s="50"/>
      <c r="U210" s="50"/>
      <c r="V210" s="51"/>
      <c r="W210" s="51"/>
      <c r="X210" s="52"/>
      <c r="Y210" s="52"/>
      <c r="Z210" s="52"/>
    </row>
    <row r="211" spans="1:26" ht="12" customHeight="1" x14ac:dyDescent="0.3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0"/>
      <c r="T211" s="50"/>
      <c r="U211" s="50"/>
      <c r="V211" s="51"/>
      <c r="W211" s="51"/>
      <c r="X211" s="52"/>
      <c r="Y211" s="52"/>
      <c r="Z211" s="52"/>
    </row>
    <row r="212" spans="1:26" ht="12" customHeight="1" x14ac:dyDescent="0.3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0"/>
      <c r="T212" s="50"/>
      <c r="U212" s="50"/>
      <c r="V212" s="51"/>
      <c r="W212" s="51"/>
      <c r="X212" s="52"/>
      <c r="Y212" s="52"/>
      <c r="Z212" s="52"/>
    </row>
    <row r="213" spans="1:26" ht="12" customHeight="1" x14ac:dyDescent="0.3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0"/>
      <c r="T213" s="50"/>
      <c r="U213" s="50"/>
      <c r="V213" s="51"/>
      <c r="W213" s="51"/>
      <c r="X213" s="52"/>
      <c r="Y213" s="52"/>
      <c r="Z213" s="52"/>
    </row>
    <row r="214" spans="1:26" ht="12" customHeight="1" x14ac:dyDescent="0.3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0"/>
      <c r="T214" s="50"/>
      <c r="U214" s="50"/>
      <c r="V214" s="51"/>
      <c r="W214" s="51"/>
      <c r="X214" s="52"/>
      <c r="Y214" s="52"/>
      <c r="Z214" s="52"/>
    </row>
    <row r="215" spans="1:26" ht="12" customHeight="1" x14ac:dyDescent="0.3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0"/>
      <c r="T215" s="50"/>
      <c r="U215" s="50"/>
      <c r="V215" s="51"/>
      <c r="W215" s="51"/>
      <c r="X215" s="52"/>
      <c r="Y215" s="52"/>
      <c r="Z215" s="52"/>
    </row>
    <row r="216" spans="1:26" ht="12" customHeight="1" x14ac:dyDescent="0.3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0"/>
      <c r="T216" s="50"/>
      <c r="U216" s="50"/>
      <c r="V216" s="51"/>
      <c r="W216" s="51"/>
      <c r="X216" s="52"/>
      <c r="Y216" s="52"/>
      <c r="Z216" s="52"/>
    </row>
    <row r="217" spans="1:26" ht="12" customHeight="1" x14ac:dyDescent="0.3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0"/>
      <c r="T217" s="50"/>
      <c r="U217" s="50"/>
      <c r="V217" s="51"/>
      <c r="W217" s="51"/>
      <c r="X217" s="52"/>
      <c r="Y217" s="52"/>
      <c r="Z217" s="52"/>
    </row>
    <row r="218" spans="1:26" ht="12" customHeight="1" x14ac:dyDescent="0.3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0"/>
      <c r="T218" s="50"/>
      <c r="U218" s="50"/>
      <c r="V218" s="51"/>
      <c r="W218" s="51"/>
      <c r="X218" s="52"/>
      <c r="Y218" s="52"/>
      <c r="Z218" s="52"/>
    </row>
    <row r="219" spans="1:26" ht="12" customHeight="1" x14ac:dyDescent="0.3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0"/>
      <c r="T219" s="50"/>
      <c r="U219" s="50"/>
      <c r="V219" s="51"/>
      <c r="W219" s="51"/>
      <c r="X219" s="52"/>
      <c r="Y219" s="52"/>
      <c r="Z219" s="52"/>
    </row>
    <row r="220" spans="1:26" ht="12" customHeight="1" x14ac:dyDescent="0.3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0"/>
      <c r="T220" s="50"/>
      <c r="U220" s="50"/>
      <c r="V220" s="51"/>
      <c r="W220" s="51"/>
      <c r="X220" s="52"/>
      <c r="Y220" s="52"/>
      <c r="Z220" s="52"/>
    </row>
    <row r="221" spans="1:26" ht="12" customHeight="1" x14ac:dyDescent="0.3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0"/>
      <c r="T221" s="50"/>
      <c r="U221" s="50"/>
      <c r="V221" s="51"/>
      <c r="W221" s="51"/>
      <c r="X221" s="52"/>
      <c r="Y221" s="52"/>
      <c r="Z221" s="52"/>
    </row>
    <row r="222" spans="1:26" ht="12" customHeight="1" x14ac:dyDescent="0.3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0"/>
      <c r="T222" s="50"/>
      <c r="U222" s="50"/>
      <c r="V222" s="51"/>
      <c r="W222" s="51"/>
      <c r="X222" s="52"/>
      <c r="Y222" s="52"/>
      <c r="Z222" s="52"/>
    </row>
    <row r="223" spans="1:26" ht="12" customHeight="1" x14ac:dyDescent="0.3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0"/>
      <c r="T223" s="50"/>
      <c r="U223" s="50"/>
      <c r="V223" s="51"/>
      <c r="W223" s="51"/>
      <c r="X223" s="52"/>
      <c r="Y223" s="52"/>
      <c r="Z223" s="52"/>
    </row>
    <row r="224" spans="1:26" ht="12" customHeight="1" x14ac:dyDescent="0.3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0"/>
      <c r="T224" s="50"/>
      <c r="U224" s="50"/>
      <c r="V224" s="51"/>
      <c r="W224" s="51"/>
      <c r="X224" s="52"/>
      <c r="Y224" s="52"/>
      <c r="Z224" s="52"/>
    </row>
    <row r="225" spans="1:26" ht="12" customHeight="1" x14ac:dyDescent="0.3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0"/>
      <c r="T225" s="50"/>
      <c r="U225" s="50"/>
      <c r="V225" s="51"/>
      <c r="W225" s="51"/>
      <c r="X225" s="52"/>
      <c r="Y225" s="52"/>
      <c r="Z225" s="52"/>
    </row>
    <row r="226" spans="1:26" ht="12" customHeight="1" x14ac:dyDescent="0.3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0"/>
      <c r="T226" s="50"/>
      <c r="U226" s="50"/>
      <c r="V226" s="51"/>
      <c r="W226" s="51"/>
      <c r="X226" s="52"/>
      <c r="Y226" s="52"/>
      <c r="Z226" s="52"/>
    </row>
    <row r="227" spans="1:26" ht="12" customHeight="1" x14ac:dyDescent="0.3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0"/>
      <c r="T227" s="50"/>
      <c r="U227" s="50"/>
      <c r="V227" s="51"/>
      <c r="W227" s="51"/>
      <c r="X227" s="52"/>
      <c r="Y227" s="52"/>
      <c r="Z227" s="52"/>
    </row>
    <row r="228" spans="1:26" ht="12" customHeight="1" x14ac:dyDescent="0.3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0"/>
      <c r="T228" s="50"/>
      <c r="U228" s="50"/>
      <c r="V228" s="51"/>
      <c r="W228" s="51"/>
      <c r="X228" s="52"/>
      <c r="Y228" s="52"/>
      <c r="Z228" s="52"/>
    </row>
    <row r="229" spans="1:26" ht="12" customHeight="1" x14ac:dyDescent="0.3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0"/>
      <c r="T229" s="50"/>
      <c r="U229" s="50"/>
      <c r="V229" s="51"/>
      <c r="W229" s="51"/>
      <c r="X229" s="52"/>
      <c r="Y229" s="52"/>
      <c r="Z229" s="52"/>
    </row>
    <row r="230" spans="1:26" ht="12" customHeight="1" x14ac:dyDescent="0.3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0"/>
      <c r="T230" s="50"/>
      <c r="U230" s="50"/>
      <c r="V230" s="51"/>
      <c r="W230" s="51"/>
      <c r="X230" s="52"/>
      <c r="Y230" s="52"/>
      <c r="Z230" s="52"/>
    </row>
    <row r="231" spans="1:26" ht="12" customHeight="1" x14ac:dyDescent="0.3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0"/>
      <c r="T231" s="50"/>
      <c r="U231" s="50"/>
      <c r="V231" s="51"/>
      <c r="W231" s="51"/>
      <c r="X231" s="52"/>
      <c r="Y231" s="52"/>
      <c r="Z231" s="52"/>
    </row>
    <row r="232" spans="1:26" ht="12" customHeight="1" x14ac:dyDescent="0.3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0"/>
      <c r="T232" s="50"/>
      <c r="U232" s="50"/>
      <c r="V232" s="51"/>
      <c r="W232" s="51"/>
      <c r="X232" s="52"/>
      <c r="Y232" s="52"/>
      <c r="Z232" s="52"/>
    </row>
    <row r="233" spans="1:26" ht="12" customHeight="1" x14ac:dyDescent="0.3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0"/>
      <c r="T233" s="50"/>
      <c r="U233" s="50"/>
      <c r="V233" s="51"/>
      <c r="W233" s="51"/>
      <c r="X233" s="52"/>
      <c r="Y233" s="52"/>
      <c r="Z233" s="52"/>
    </row>
    <row r="234" spans="1:26" ht="12" customHeight="1" x14ac:dyDescent="0.3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0"/>
      <c r="T234" s="50"/>
      <c r="U234" s="50"/>
      <c r="V234" s="51"/>
      <c r="W234" s="51"/>
      <c r="X234" s="52"/>
      <c r="Y234" s="52"/>
      <c r="Z234" s="52"/>
    </row>
    <row r="235" spans="1:26" ht="12" customHeight="1" x14ac:dyDescent="0.3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0"/>
      <c r="T235" s="50"/>
      <c r="U235" s="50"/>
      <c r="V235" s="51"/>
      <c r="W235" s="51"/>
      <c r="X235" s="52"/>
      <c r="Y235" s="52"/>
      <c r="Z235" s="52"/>
    </row>
    <row r="236" spans="1:26" ht="12" customHeight="1" x14ac:dyDescent="0.3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0"/>
      <c r="T236" s="50"/>
      <c r="U236" s="50"/>
      <c r="V236" s="51"/>
      <c r="W236" s="51"/>
      <c r="X236" s="52"/>
      <c r="Y236" s="52"/>
      <c r="Z236" s="52"/>
    </row>
    <row r="237" spans="1:26" ht="12" customHeight="1" x14ac:dyDescent="0.3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0"/>
      <c r="T237" s="50"/>
      <c r="U237" s="50"/>
      <c r="V237" s="51"/>
      <c r="W237" s="51"/>
      <c r="X237" s="52"/>
      <c r="Y237" s="52"/>
      <c r="Z237" s="52"/>
    </row>
    <row r="238" spans="1:26" ht="12" customHeight="1" x14ac:dyDescent="0.3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0"/>
      <c r="T238" s="50"/>
      <c r="U238" s="50"/>
      <c r="V238" s="51"/>
      <c r="W238" s="51"/>
      <c r="X238" s="52"/>
      <c r="Y238" s="52"/>
      <c r="Z238" s="52"/>
    </row>
    <row r="239" spans="1:26" ht="12" customHeight="1" x14ac:dyDescent="0.3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0"/>
      <c r="T239" s="50"/>
      <c r="U239" s="50"/>
      <c r="V239" s="51"/>
      <c r="W239" s="51"/>
      <c r="X239" s="52"/>
      <c r="Y239" s="52"/>
      <c r="Z239" s="52"/>
    </row>
    <row r="240" spans="1:26" ht="12" customHeight="1" x14ac:dyDescent="0.3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0"/>
      <c r="T240" s="50"/>
      <c r="U240" s="50"/>
      <c r="V240" s="51"/>
      <c r="W240" s="51"/>
      <c r="X240" s="52"/>
      <c r="Y240" s="52"/>
      <c r="Z240" s="52"/>
    </row>
    <row r="241" spans="1:26" ht="12" customHeight="1" x14ac:dyDescent="0.3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0"/>
      <c r="T241" s="50"/>
      <c r="U241" s="50"/>
      <c r="V241" s="51"/>
      <c r="W241" s="51"/>
      <c r="X241" s="52"/>
      <c r="Y241" s="52"/>
      <c r="Z241" s="52"/>
    </row>
    <row r="242" spans="1:26" ht="12" customHeight="1" x14ac:dyDescent="0.3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0"/>
      <c r="T242" s="50"/>
      <c r="U242" s="50"/>
      <c r="V242" s="51"/>
      <c r="W242" s="51"/>
      <c r="X242" s="52"/>
      <c r="Y242" s="52"/>
      <c r="Z242" s="52"/>
    </row>
    <row r="243" spans="1:26" ht="12" customHeight="1" x14ac:dyDescent="0.3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0"/>
      <c r="T243" s="50"/>
      <c r="U243" s="50"/>
      <c r="V243" s="51"/>
      <c r="W243" s="51"/>
      <c r="X243" s="52"/>
      <c r="Y243" s="52"/>
      <c r="Z243" s="52"/>
    </row>
    <row r="244" spans="1:26" ht="12" customHeight="1" x14ac:dyDescent="0.3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0"/>
      <c r="T244" s="50"/>
      <c r="U244" s="50"/>
      <c r="V244" s="51"/>
      <c r="W244" s="51"/>
      <c r="X244" s="52"/>
      <c r="Y244" s="52"/>
      <c r="Z244" s="52"/>
    </row>
    <row r="245" spans="1:26" ht="12" customHeight="1" x14ac:dyDescent="0.3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0"/>
      <c r="T245" s="50"/>
      <c r="U245" s="50"/>
      <c r="V245" s="51"/>
      <c r="W245" s="51"/>
      <c r="X245" s="52"/>
      <c r="Y245" s="52"/>
      <c r="Z245" s="52"/>
    </row>
    <row r="246" spans="1:26" ht="12" customHeight="1" x14ac:dyDescent="0.3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0"/>
      <c r="T246" s="50"/>
      <c r="U246" s="50"/>
      <c r="V246" s="51"/>
      <c r="W246" s="51"/>
      <c r="X246" s="52"/>
      <c r="Y246" s="52"/>
      <c r="Z246" s="52"/>
    </row>
    <row r="247" spans="1:26" ht="12" customHeight="1" x14ac:dyDescent="0.3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0"/>
      <c r="T247" s="50"/>
      <c r="U247" s="50"/>
      <c r="V247" s="51"/>
      <c r="W247" s="51"/>
      <c r="X247" s="52"/>
      <c r="Y247" s="52"/>
      <c r="Z247" s="52"/>
    </row>
    <row r="248" spans="1:26" ht="12" customHeight="1" x14ac:dyDescent="0.3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0"/>
      <c r="T248" s="50"/>
      <c r="U248" s="50"/>
      <c r="V248" s="51"/>
      <c r="W248" s="51"/>
      <c r="X248" s="52"/>
      <c r="Y248" s="52"/>
      <c r="Z248" s="52"/>
    </row>
    <row r="249" spans="1:26" ht="12" customHeight="1" x14ac:dyDescent="0.3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0"/>
      <c r="T249" s="50"/>
      <c r="U249" s="50"/>
      <c r="V249" s="51"/>
      <c r="W249" s="51"/>
      <c r="X249" s="52"/>
      <c r="Y249" s="52"/>
      <c r="Z249" s="52"/>
    </row>
    <row r="250" spans="1:26" ht="12" customHeight="1" x14ac:dyDescent="0.3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0"/>
      <c r="T250" s="50"/>
      <c r="U250" s="50"/>
      <c r="V250" s="51"/>
      <c r="W250" s="51"/>
      <c r="X250" s="52"/>
      <c r="Y250" s="52"/>
      <c r="Z250" s="52"/>
    </row>
    <row r="251" spans="1:26" ht="12" customHeight="1" x14ac:dyDescent="0.3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0"/>
      <c r="T251" s="50"/>
      <c r="U251" s="50"/>
      <c r="V251" s="51"/>
      <c r="W251" s="51"/>
      <c r="X251" s="52"/>
      <c r="Y251" s="52"/>
      <c r="Z251" s="52"/>
    </row>
    <row r="252" spans="1:26" ht="12" customHeight="1" x14ac:dyDescent="0.3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0"/>
      <c r="T252" s="50"/>
      <c r="U252" s="50"/>
      <c r="V252" s="51"/>
      <c r="W252" s="51"/>
      <c r="X252" s="52"/>
      <c r="Y252" s="52"/>
      <c r="Z252" s="52"/>
    </row>
    <row r="253" spans="1:26" ht="12" customHeight="1" x14ac:dyDescent="0.3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0"/>
      <c r="T253" s="50"/>
      <c r="U253" s="50"/>
      <c r="V253" s="51"/>
      <c r="W253" s="51"/>
      <c r="X253" s="52"/>
      <c r="Y253" s="52"/>
      <c r="Z253" s="52"/>
    </row>
    <row r="254" spans="1:26" ht="12" customHeight="1" x14ac:dyDescent="0.3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0"/>
      <c r="T254" s="50"/>
      <c r="U254" s="50"/>
      <c r="V254" s="51"/>
      <c r="W254" s="51"/>
      <c r="X254" s="52"/>
      <c r="Y254" s="52"/>
      <c r="Z254" s="52"/>
    </row>
    <row r="255" spans="1:26" ht="12" customHeight="1" x14ac:dyDescent="0.3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0"/>
      <c r="T255" s="50"/>
      <c r="U255" s="50"/>
      <c r="V255" s="51"/>
      <c r="W255" s="51"/>
      <c r="X255" s="52"/>
      <c r="Y255" s="52"/>
      <c r="Z255" s="52"/>
    </row>
    <row r="256" spans="1:26" ht="12" customHeight="1" x14ac:dyDescent="0.3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0"/>
      <c r="T256" s="50"/>
      <c r="U256" s="50"/>
      <c r="V256" s="51"/>
      <c r="W256" s="51"/>
      <c r="X256" s="52"/>
      <c r="Y256" s="52"/>
      <c r="Z256" s="52"/>
    </row>
    <row r="257" spans="1:26" ht="12" customHeight="1" x14ac:dyDescent="0.3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0"/>
      <c r="T257" s="50"/>
      <c r="U257" s="50"/>
      <c r="V257" s="51"/>
      <c r="W257" s="51"/>
      <c r="X257" s="52"/>
      <c r="Y257" s="52"/>
      <c r="Z257" s="52"/>
    </row>
    <row r="258" spans="1:26" ht="12" customHeight="1" x14ac:dyDescent="0.3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0"/>
      <c r="T258" s="50"/>
      <c r="U258" s="50"/>
      <c r="V258" s="51"/>
      <c r="W258" s="51"/>
      <c r="X258" s="52"/>
      <c r="Y258" s="52"/>
      <c r="Z258" s="52"/>
    </row>
    <row r="259" spans="1:26" ht="12" customHeight="1" x14ac:dyDescent="0.3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0"/>
      <c r="T259" s="50"/>
      <c r="U259" s="50"/>
      <c r="V259" s="51"/>
      <c r="W259" s="51"/>
      <c r="X259" s="52"/>
      <c r="Y259" s="52"/>
      <c r="Z259" s="52"/>
    </row>
    <row r="260" spans="1:26" ht="12" customHeight="1" x14ac:dyDescent="0.3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0"/>
      <c r="T260" s="50"/>
      <c r="U260" s="50"/>
      <c r="V260" s="51"/>
      <c r="W260" s="51"/>
      <c r="X260" s="52"/>
      <c r="Y260" s="52"/>
      <c r="Z260" s="5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00">
    <mergeCell ref="A46:A50"/>
    <mergeCell ref="B46:B50"/>
    <mergeCell ref="C46:D46"/>
    <mergeCell ref="C47:C50"/>
    <mergeCell ref="D47:D50"/>
    <mergeCell ref="E48:E50"/>
    <mergeCell ref="Q41:R41"/>
    <mergeCell ref="Q42:R42"/>
    <mergeCell ref="Q43:R43"/>
    <mergeCell ref="Q44:R44"/>
    <mergeCell ref="Q45:R45"/>
    <mergeCell ref="E46:L47"/>
    <mergeCell ref="M46:R47"/>
    <mergeCell ref="Q32:R32"/>
    <mergeCell ref="P33:P36"/>
    <mergeCell ref="Q33:R36"/>
    <mergeCell ref="Q37:R37"/>
    <mergeCell ref="Q38:R38"/>
    <mergeCell ref="Q39:R39"/>
    <mergeCell ref="Q40:R40"/>
    <mergeCell ref="M24:O24"/>
    <mergeCell ref="Q24:R24"/>
    <mergeCell ref="M25:O25"/>
    <mergeCell ref="Q25:R25"/>
    <mergeCell ref="Q26:R26"/>
    <mergeCell ref="Q29:R29"/>
    <mergeCell ref="Q30:R30"/>
    <mergeCell ref="M26:O26"/>
    <mergeCell ref="M27:O27"/>
    <mergeCell ref="Q27:R27"/>
    <mergeCell ref="M28:O28"/>
    <mergeCell ref="Q28:R28"/>
    <mergeCell ref="M29:O29"/>
    <mergeCell ref="M30:O30"/>
    <mergeCell ref="A20:A23"/>
    <mergeCell ref="B20:C21"/>
    <mergeCell ref="D20:L21"/>
    <mergeCell ref="M20:O23"/>
    <mergeCell ref="P20:P23"/>
    <mergeCell ref="Q20:R23"/>
    <mergeCell ref="B22:B23"/>
    <mergeCell ref="K22:L23"/>
    <mergeCell ref="I22:I23"/>
    <mergeCell ref="J22:J23"/>
    <mergeCell ref="Q58:R58"/>
    <mergeCell ref="Q59:R59"/>
    <mergeCell ref="Q60:R60"/>
    <mergeCell ref="Q61:R61"/>
    <mergeCell ref="Q62:R62"/>
    <mergeCell ref="Q63:R63"/>
    <mergeCell ref="Q51:R51"/>
    <mergeCell ref="Q52:R52"/>
    <mergeCell ref="Q53:R53"/>
    <mergeCell ref="Q54:R54"/>
    <mergeCell ref="Q55:R55"/>
    <mergeCell ref="Q56:R56"/>
    <mergeCell ref="Q57:R57"/>
    <mergeCell ref="K61:L61"/>
    <mergeCell ref="K62:L62"/>
    <mergeCell ref="K63:L63"/>
    <mergeCell ref="M57:O57"/>
    <mergeCell ref="M58:O58"/>
    <mergeCell ref="M59:O59"/>
    <mergeCell ref="M60:O60"/>
    <mergeCell ref="M61:O61"/>
    <mergeCell ref="M62:O62"/>
    <mergeCell ref="M63:O63"/>
    <mergeCell ref="K51:L51"/>
    <mergeCell ref="M51:O51"/>
    <mergeCell ref="K52:L52"/>
    <mergeCell ref="M52:O52"/>
    <mergeCell ref="K56:L56"/>
    <mergeCell ref="K57:L57"/>
    <mergeCell ref="K58:L58"/>
    <mergeCell ref="K59:L59"/>
    <mergeCell ref="K60:L60"/>
    <mergeCell ref="K53:L53"/>
    <mergeCell ref="M53:O53"/>
    <mergeCell ref="K54:L54"/>
    <mergeCell ref="M54:O54"/>
    <mergeCell ref="K55:L55"/>
    <mergeCell ref="M55:O55"/>
    <mergeCell ref="M56:O56"/>
    <mergeCell ref="F48:F50"/>
    <mergeCell ref="G48:G50"/>
    <mergeCell ref="H48:H50"/>
    <mergeCell ref="I48:I50"/>
    <mergeCell ref="J48:J50"/>
    <mergeCell ref="K48:L50"/>
    <mergeCell ref="Q48:R50"/>
    <mergeCell ref="M48:P48"/>
    <mergeCell ref="M49:O50"/>
    <mergeCell ref="P49:P50"/>
    <mergeCell ref="M31:O31"/>
    <mergeCell ref="Q31:R31"/>
    <mergeCell ref="M32:O32"/>
    <mergeCell ref="A33:A36"/>
    <mergeCell ref="B33:B36"/>
    <mergeCell ref="C33:C36"/>
    <mergeCell ref="K33:O34"/>
    <mergeCell ref="N35:O36"/>
    <mergeCell ref="E33:J34"/>
    <mergeCell ref="E35:E36"/>
    <mergeCell ref="F35:F36"/>
    <mergeCell ref="G35:G36"/>
    <mergeCell ref="H35:H36"/>
    <mergeCell ref="I35:I36"/>
    <mergeCell ref="J35:J36"/>
    <mergeCell ref="D33:D36"/>
    <mergeCell ref="L44:M44"/>
    <mergeCell ref="N44:O44"/>
    <mergeCell ref="L45:M45"/>
    <mergeCell ref="N45:O45"/>
    <mergeCell ref="L39:M39"/>
    <mergeCell ref="L40:M40"/>
    <mergeCell ref="N40:O40"/>
    <mergeCell ref="L41:M41"/>
    <mergeCell ref="N41:O41"/>
    <mergeCell ref="L42:M42"/>
    <mergeCell ref="N42:O42"/>
    <mergeCell ref="K35:K36"/>
    <mergeCell ref="L35:M36"/>
    <mergeCell ref="L37:M37"/>
    <mergeCell ref="N37:O37"/>
    <mergeCell ref="L38:M38"/>
    <mergeCell ref="N38:O38"/>
    <mergeCell ref="N39:O39"/>
    <mergeCell ref="L43:M43"/>
    <mergeCell ref="N43:O43"/>
    <mergeCell ref="C22:C23"/>
    <mergeCell ref="D22:D23"/>
    <mergeCell ref="E22:E23"/>
    <mergeCell ref="F22:F23"/>
    <mergeCell ref="G22:G23"/>
    <mergeCell ref="H22:H23"/>
    <mergeCell ref="K13:L13"/>
    <mergeCell ref="K14:L14"/>
    <mergeCell ref="K15:L15"/>
    <mergeCell ref="K16:L16"/>
    <mergeCell ref="K17:L17"/>
    <mergeCell ref="K18:L18"/>
    <mergeCell ref="K19:L19"/>
    <mergeCell ref="I8:I10"/>
    <mergeCell ref="M14:N14"/>
    <mergeCell ref="M15:N15"/>
    <mergeCell ref="M16:N16"/>
    <mergeCell ref="M17:N17"/>
    <mergeCell ref="M18:N18"/>
    <mergeCell ref="M19:N19"/>
    <mergeCell ref="K6:L10"/>
    <mergeCell ref="M6:N10"/>
    <mergeCell ref="K11:L11"/>
    <mergeCell ref="M11:N11"/>
    <mergeCell ref="K12:L12"/>
    <mergeCell ref="M12:N12"/>
    <mergeCell ref="M13:N13"/>
    <mergeCell ref="K31:L31"/>
    <mergeCell ref="K32:L32"/>
    <mergeCell ref="K24:L24"/>
    <mergeCell ref="K25:L25"/>
    <mergeCell ref="K26:L26"/>
    <mergeCell ref="K27:L27"/>
    <mergeCell ref="K28:L28"/>
    <mergeCell ref="K29:L29"/>
    <mergeCell ref="K30:L30"/>
    <mergeCell ref="Q16:R16"/>
    <mergeCell ref="Q17:R17"/>
    <mergeCell ref="Q18:R18"/>
    <mergeCell ref="Q19:R19"/>
    <mergeCell ref="Q5:R5"/>
    <mergeCell ref="Q6:R10"/>
    <mergeCell ref="Q11:R11"/>
    <mergeCell ref="Q12:R12"/>
    <mergeCell ref="Q13:R13"/>
    <mergeCell ref="Q14:R14"/>
    <mergeCell ref="Q15:R15"/>
    <mergeCell ref="A1:R1"/>
    <mergeCell ref="K3:L3"/>
    <mergeCell ref="M3:N3"/>
    <mergeCell ref="Q3:R3"/>
    <mergeCell ref="K4:L4"/>
    <mergeCell ref="M4:N4"/>
    <mergeCell ref="Q4:R4"/>
    <mergeCell ref="A8:A10"/>
    <mergeCell ref="B8:B10"/>
    <mergeCell ref="C8:C10"/>
    <mergeCell ref="D8:D10"/>
    <mergeCell ref="E8:E10"/>
    <mergeCell ref="F8:F10"/>
    <mergeCell ref="G8:G10"/>
    <mergeCell ref="H8:H10"/>
    <mergeCell ref="O6:P7"/>
    <mergeCell ref="O8:O10"/>
    <mergeCell ref="P8:P10"/>
    <mergeCell ref="K5:L5"/>
    <mergeCell ref="M5:N5"/>
    <mergeCell ref="A6:B7"/>
    <mergeCell ref="C6:E7"/>
    <mergeCell ref="F6:I7"/>
    <mergeCell ref="J6:J10"/>
  </mergeCells>
  <conditionalFormatting sqref="B24:G32 B37:C45 C51:P59 E37:J45 F11:J19 I24:J32 O11:P19 P37:R45 Q24:R32">
    <cfRule type="cellIs" dxfId="23" priority="1" stopIfTrue="1" operator="lessThan">
      <formula>0</formula>
    </cfRule>
  </conditionalFormatting>
  <conditionalFormatting sqref="C11:D19">
    <cfRule type="cellIs" dxfId="22" priority="2" stopIfTrue="1" operator="lessThan">
      <formula>0</formula>
    </cfRule>
  </conditionalFormatting>
  <conditionalFormatting sqref="Q11:R19">
    <cfRule type="cellIs" dxfId="21" priority="3" stopIfTrue="1" operator="lessThan">
      <formula>0</formula>
    </cfRule>
  </conditionalFormatting>
  <conditionalFormatting sqref="A4">
    <cfRule type="cellIs" dxfId="20" priority="4" stopIfTrue="1" operator="equal">
      <formula>"erro"</formula>
    </cfRule>
  </conditionalFormatting>
  <pageMargins left="0.78740157480314965" right="0.51181102362204722" top="0.94488188976377963" bottom="0.55118110236220474" header="0" footer="0"/>
  <pageSetup orientation="portrait"/>
  <rowBreaks count="1" manualBreakCount="1">
    <brk id="60" man="1"/>
  </rowBreaks>
  <colBreaks count="1" manualBreakCount="1">
    <brk id="18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 x14ac:dyDescent="0.3"/>
  <cols>
    <col min="1" max="1" width="8" customWidth="1"/>
    <col min="2" max="2" width="7" customWidth="1"/>
    <col min="3" max="3" width="6.33203125" customWidth="1"/>
    <col min="4" max="4" width="5.109375" customWidth="1"/>
    <col min="5" max="5" width="5.33203125" customWidth="1"/>
    <col min="6" max="6" width="5.6640625" customWidth="1"/>
    <col min="7" max="7" width="5.88671875" customWidth="1"/>
    <col min="8" max="8" width="6.109375" customWidth="1"/>
    <col min="9" max="9" width="5.88671875" customWidth="1"/>
    <col min="10" max="10" width="6.88671875" customWidth="1"/>
    <col min="11" max="11" width="4.6640625" customWidth="1"/>
    <col min="12" max="12" width="1.109375" customWidth="1"/>
    <col min="13" max="13" width="3.88671875" customWidth="1"/>
    <col min="14" max="14" width="2.44140625" customWidth="1"/>
    <col min="15" max="15" width="4.109375" customWidth="1"/>
    <col min="16" max="16" width="7" customWidth="1"/>
    <col min="17" max="17" width="2.33203125" customWidth="1"/>
    <col min="18" max="18" width="6.109375" customWidth="1"/>
    <col min="19" max="21" width="11.44140625" hidden="1" customWidth="1"/>
    <col min="22" max="26" width="11.44140625" customWidth="1"/>
  </cols>
  <sheetData>
    <row r="1" spans="1:26" ht="12" customHeight="1" x14ac:dyDescent="0.3">
      <c r="A1" s="118" t="s">
        <v>89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50"/>
      <c r="T1" s="50"/>
      <c r="U1" s="50"/>
      <c r="V1" s="51"/>
      <c r="W1" s="51"/>
      <c r="X1" s="52"/>
      <c r="Y1" s="52"/>
      <c r="Z1" s="52"/>
    </row>
    <row r="2" spans="1:26" ht="5.25" customHeight="1" x14ac:dyDescent="0.3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50"/>
      <c r="T2" s="50"/>
      <c r="U2" s="50"/>
      <c r="V2" s="51"/>
      <c r="W2" s="51"/>
      <c r="X2" s="52"/>
      <c r="Y2" s="52"/>
      <c r="Z2" s="52"/>
    </row>
    <row r="3" spans="1:26" ht="12" customHeight="1" x14ac:dyDescent="0.3">
      <c r="A3" s="53" t="s">
        <v>165</v>
      </c>
      <c r="B3" s="54"/>
      <c r="C3" s="54"/>
      <c r="D3" s="55"/>
      <c r="E3" s="55"/>
      <c r="F3" s="55"/>
      <c r="G3" s="55"/>
      <c r="H3" s="55"/>
      <c r="I3" s="55"/>
      <c r="J3" s="55"/>
      <c r="K3" s="119"/>
      <c r="L3" s="108"/>
      <c r="M3" s="119"/>
      <c r="N3" s="108"/>
      <c r="O3" s="55"/>
      <c r="P3" s="55"/>
      <c r="Q3" s="119"/>
      <c r="R3" s="108"/>
      <c r="S3" s="56"/>
      <c r="T3" s="56"/>
      <c r="U3" s="56"/>
      <c r="V3" s="57"/>
      <c r="W3" s="57"/>
      <c r="X3" s="58"/>
      <c r="Y3" s="58"/>
      <c r="Z3" s="58"/>
    </row>
    <row r="4" spans="1:26" ht="12" customHeight="1" x14ac:dyDescent="0.3">
      <c r="A4" s="59" t="s">
        <v>166</v>
      </c>
      <c r="B4" s="60"/>
      <c r="C4" s="60"/>
      <c r="D4" s="61"/>
      <c r="E4" s="61"/>
      <c r="F4" s="61"/>
      <c r="G4" s="61"/>
      <c r="H4" s="61"/>
      <c r="I4" s="61"/>
      <c r="J4" s="61"/>
      <c r="K4" s="120"/>
      <c r="L4" s="108"/>
      <c r="M4" s="120"/>
      <c r="N4" s="108"/>
      <c r="O4" s="61"/>
      <c r="P4" s="61"/>
      <c r="Q4" s="120"/>
      <c r="R4" s="108"/>
      <c r="S4" s="56"/>
      <c r="T4" s="56"/>
      <c r="U4" s="56"/>
      <c r="V4" s="57"/>
      <c r="W4" s="57"/>
      <c r="X4" s="58"/>
      <c r="Y4" s="58"/>
      <c r="Z4" s="58"/>
    </row>
    <row r="5" spans="1:26" ht="12" customHeight="1" x14ac:dyDescent="0.3">
      <c r="A5" s="53" t="s">
        <v>92</v>
      </c>
      <c r="B5" s="61"/>
      <c r="C5" s="61"/>
      <c r="D5" s="61"/>
      <c r="E5" s="61"/>
      <c r="F5" s="61"/>
      <c r="G5" s="61"/>
      <c r="H5" s="61"/>
      <c r="I5" s="61"/>
      <c r="J5" s="61"/>
      <c r="K5" s="120"/>
      <c r="L5" s="108"/>
      <c r="M5" s="120"/>
      <c r="N5" s="108"/>
      <c r="O5" s="60"/>
      <c r="P5" s="60"/>
      <c r="Q5" s="132"/>
      <c r="R5" s="126"/>
      <c r="S5" s="56"/>
      <c r="T5" s="56"/>
      <c r="U5" s="56"/>
      <c r="V5" s="57"/>
      <c r="W5" s="57"/>
      <c r="X5" s="58"/>
      <c r="Y5" s="58"/>
      <c r="Z5" s="58"/>
    </row>
    <row r="6" spans="1:26" ht="12" customHeight="1" x14ac:dyDescent="0.3">
      <c r="A6" s="133" t="s">
        <v>93</v>
      </c>
      <c r="B6" s="125"/>
      <c r="C6" s="133" t="s">
        <v>167</v>
      </c>
      <c r="D6" s="138"/>
      <c r="E6" s="125"/>
      <c r="F6" s="133" t="s">
        <v>168</v>
      </c>
      <c r="G6" s="138"/>
      <c r="H6" s="138"/>
      <c r="I6" s="125"/>
      <c r="J6" s="121" t="s">
        <v>169</v>
      </c>
      <c r="K6" s="133" t="s">
        <v>170</v>
      </c>
      <c r="L6" s="125"/>
      <c r="M6" s="133" t="s">
        <v>98</v>
      </c>
      <c r="N6" s="125"/>
      <c r="O6" s="124" t="s">
        <v>171</v>
      </c>
      <c r="P6" s="125"/>
      <c r="Q6" s="133" t="s">
        <v>172</v>
      </c>
      <c r="R6" s="125"/>
      <c r="S6" s="50"/>
      <c r="T6" s="50"/>
      <c r="U6" s="50"/>
      <c r="V6" s="51"/>
      <c r="W6" s="51"/>
      <c r="X6" s="52"/>
      <c r="Y6" s="52"/>
      <c r="Z6" s="52"/>
    </row>
    <row r="7" spans="1:26" ht="19.5" customHeight="1" x14ac:dyDescent="0.3">
      <c r="A7" s="135"/>
      <c r="B7" s="127"/>
      <c r="C7" s="135"/>
      <c r="D7" s="126"/>
      <c r="E7" s="127"/>
      <c r="F7" s="135"/>
      <c r="G7" s="126"/>
      <c r="H7" s="126"/>
      <c r="I7" s="127"/>
      <c r="J7" s="122"/>
      <c r="K7" s="134"/>
      <c r="L7" s="129"/>
      <c r="M7" s="134"/>
      <c r="N7" s="129"/>
      <c r="O7" s="126"/>
      <c r="P7" s="127"/>
      <c r="Q7" s="134"/>
      <c r="R7" s="129"/>
      <c r="S7" s="62"/>
      <c r="T7" s="50"/>
      <c r="U7" s="50"/>
      <c r="V7" s="51"/>
      <c r="W7" s="51"/>
      <c r="X7" s="52"/>
      <c r="Y7" s="52"/>
      <c r="Z7" s="52"/>
    </row>
    <row r="8" spans="1:26" ht="12" customHeight="1" x14ac:dyDescent="0.3">
      <c r="A8" s="121" t="s">
        <v>101</v>
      </c>
      <c r="B8" s="121" t="s">
        <v>173</v>
      </c>
      <c r="C8" s="121" t="s">
        <v>174</v>
      </c>
      <c r="D8" s="121" t="s">
        <v>175</v>
      </c>
      <c r="E8" s="121" t="s">
        <v>176</v>
      </c>
      <c r="F8" s="121" t="s">
        <v>177</v>
      </c>
      <c r="G8" s="121" t="s">
        <v>178</v>
      </c>
      <c r="H8" s="121" t="s">
        <v>179</v>
      </c>
      <c r="I8" s="121" t="s">
        <v>180</v>
      </c>
      <c r="J8" s="122"/>
      <c r="K8" s="134"/>
      <c r="L8" s="129"/>
      <c r="M8" s="134"/>
      <c r="N8" s="129"/>
      <c r="O8" s="128" t="s">
        <v>110</v>
      </c>
      <c r="P8" s="121" t="s">
        <v>111</v>
      </c>
      <c r="Q8" s="134"/>
      <c r="R8" s="129"/>
      <c r="S8" s="62"/>
      <c r="T8" s="62"/>
      <c r="U8" s="62"/>
      <c r="V8" s="51"/>
      <c r="W8" s="51"/>
      <c r="X8" s="52"/>
      <c r="Y8" s="52"/>
      <c r="Z8" s="52"/>
    </row>
    <row r="9" spans="1:26" ht="12" customHeight="1" x14ac:dyDescent="0.3">
      <c r="A9" s="122"/>
      <c r="B9" s="122"/>
      <c r="C9" s="122"/>
      <c r="D9" s="122"/>
      <c r="E9" s="122"/>
      <c r="F9" s="122"/>
      <c r="G9" s="122"/>
      <c r="H9" s="122"/>
      <c r="I9" s="122"/>
      <c r="J9" s="122"/>
      <c r="K9" s="134"/>
      <c r="L9" s="129"/>
      <c r="M9" s="134"/>
      <c r="N9" s="129"/>
      <c r="O9" s="129"/>
      <c r="P9" s="122"/>
      <c r="Q9" s="134"/>
      <c r="R9" s="129"/>
      <c r="S9" s="62"/>
      <c r="T9" s="50"/>
      <c r="U9" s="62"/>
      <c r="V9" s="51"/>
      <c r="W9" s="51"/>
      <c r="X9" s="52"/>
      <c r="Y9" s="52"/>
      <c r="Z9" s="63"/>
    </row>
    <row r="10" spans="1:26" ht="14.25" customHeight="1" x14ac:dyDescent="0.3">
      <c r="A10" s="123"/>
      <c r="B10" s="123"/>
      <c r="C10" s="123"/>
      <c r="D10" s="123"/>
      <c r="E10" s="123"/>
      <c r="F10" s="123"/>
      <c r="G10" s="123"/>
      <c r="H10" s="123"/>
      <c r="I10" s="123"/>
      <c r="J10" s="123"/>
      <c r="K10" s="135"/>
      <c r="L10" s="127"/>
      <c r="M10" s="135"/>
      <c r="N10" s="127"/>
      <c r="O10" s="127"/>
      <c r="P10" s="123"/>
      <c r="Q10" s="135"/>
      <c r="R10" s="127"/>
      <c r="S10" s="50" t="s">
        <v>112</v>
      </c>
      <c r="T10" s="50" t="s">
        <v>112</v>
      </c>
      <c r="U10" s="50" t="s">
        <v>112</v>
      </c>
      <c r="V10" s="51"/>
      <c r="W10" s="51"/>
      <c r="X10" s="52"/>
      <c r="Y10" s="52"/>
      <c r="Z10" s="63"/>
    </row>
    <row r="11" spans="1:26" ht="12" customHeight="1" x14ac:dyDescent="0.3">
      <c r="A11" s="64" t="s">
        <v>67</v>
      </c>
      <c r="B11" s="65" t="s">
        <v>113</v>
      </c>
      <c r="C11" s="66" t="s">
        <v>114</v>
      </c>
      <c r="D11" s="67" t="s">
        <v>114</v>
      </c>
      <c r="E11" s="66" t="s">
        <v>114</v>
      </c>
      <c r="F11" s="67">
        <v>151</v>
      </c>
      <c r="G11" s="66">
        <v>112</v>
      </c>
      <c r="H11" s="67">
        <v>305</v>
      </c>
      <c r="I11" s="66">
        <v>432</v>
      </c>
      <c r="J11" s="68" t="s">
        <v>114</v>
      </c>
      <c r="K11" s="130" t="s">
        <v>114</v>
      </c>
      <c r="L11" s="108"/>
      <c r="M11" s="141">
        <v>0.71</v>
      </c>
      <c r="N11" s="129"/>
      <c r="O11" s="70" t="s">
        <v>114</v>
      </c>
      <c r="P11" s="71" t="s">
        <v>114</v>
      </c>
      <c r="Q11" s="136" t="s">
        <v>114</v>
      </c>
      <c r="R11" s="125"/>
      <c r="S11" s="72" t="s">
        <v>68</v>
      </c>
      <c r="T11" s="72" t="s">
        <v>68</v>
      </c>
      <c r="U11" s="72" t="s">
        <v>68</v>
      </c>
      <c r="V11" s="73" t="s">
        <v>68</v>
      </c>
      <c r="W11" s="74"/>
      <c r="X11" s="52"/>
      <c r="Y11" s="52"/>
      <c r="Z11" s="63"/>
    </row>
    <row r="12" spans="1:26" ht="12" customHeight="1" x14ac:dyDescent="0.3">
      <c r="A12" s="75" t="s">
        <v>67</v>
      </c>
      <c r="B12" s="76" t="s">
        <v>115</v>
      </c>
      <c r="C12" s="66" t="s">
        <v>114</v>
      </c>
      <c r="D12" s="77" t="s">
        <v>114</v>
      </c>
      <c r="E12" s="77" t="s">
        <v>114</v>
      </c>
      <c r="F12" s="66">
        <v>127</v>
      </c>
      <c r="G12" s="77">
        <v>112</v>
      </c>
      <c r="H12" s="66">
        <v>268</v>
      </c>
      <c r="I12" s="77">
        <v>493</v>
      </c>
      <c r="J12" s="66" t="s">
        <v>114</v>
      </c>
      <c r="K12" s="130" t="s">
        <v>114</v>
      </c>
      <c r="L12" s="129"/>
      <c r="M12" s="139">
        <v>0.54</v>
      </c>
      <c r="N12" s="108"/>
      <c r="O12" s="79" t="s">
        <v>114</v>
      </c>
      <c r="P12" s="78" t="s">
        <v>114</v>
      </c>
      <c r="Q12" s="130" t="s">
        <v>114</v>
      </c>
      <c r="R12" s="129"/>
      <c r="S12" s="72" t="s">
        <v>68</v>
      </c>
      <c r="T12" s="72" t="s">
        <v>68</v>
      </c>
      <c r="U12" s="72" t="s">
        <v>68</v>
      </c>
      <c r="V12" s="73" t="s">
        <v>68</v>
      </c>
      <c r="W12" s="51"/>
      <c r="X12" s="52"/>
      <c r="Y12" s="52"/>
      <c r="Z12" s="63"/>
    </row>
    <row r="13" spans="1:26" ht="12" customHeight="1" x14ac:dyDescent="0.3">
      <c r="A13" s="80" t="s">
        <v>114</v>
      </c>
      <c r="B13" s="76" t="s">
        <v>114</v>
      </c>
      <c r="C13" s="66" t="s">
        <v>114</v>
      </c>
      <c r="D13" s="77" t="s">
        <v>114</v>
      </c>
      <c r="E13" s="77" t="s">
        <v>114</v>
      </c>
      <c r="F13" s="66" t="s">
        <v>114</v>
      </c>
      <c r="G13" s="77" t="s">
        <v>114</v>
      </c>
      <c r="H13" s="66" t="s">
        <v>114</v>
      </c>
      <c r="I13" s="77" t="s">
        <v>114</v>
      </c>
      <c r="J13" s="66" t="s">
        <v>114</v>
      </c>
      <c r="K13" s="130" t="s">
        <v>114</v>
      </c>
      <c r="L13" s="129"/>
      <c r="M13" s="139" t="s">
        <v>114</v>
      </c>
      <c r="N13" s="108"/>
      <c r="O13" s="79" t="s">
        <v>114</v>
      </c>
      <c r="P13" s="78" t="s">
        <v>114</v>
      </c>
      <c r="Q13" s="130" t="s">
        <v>114</v>
      </c>
      <c r="R13" s="129"/>
      <c r="S13" s="72" t="s">
        <v>114</v>
      </c>
      <c r="T13" s="72" t="s">
        <v>114</v>
      </c>
      <c r="U13" s="72" t="s">
        <v>114</v>
      </c>
      <c r="V13" s="73" t="s">
        <v>114</v>
      </c>
      <c r="W13" s="51"/>
      <c r="X13" s="52"/>
      <c r="Y13" s="52"/>
      <c r="Z13" s="63"/>
    </row>
    <row r="14" spans="1:26" ht="12" customHeight="1" x14ac:dyDescent="0.3">
      <c r="A14" s="80" t="s">
        <v>114</v>
      </c>
      <c r="B14" s="76" t="s">
        <v>114</v>
      </c>
      <c r="C14" s="66" t="s">
        <v>114</v>
      </c>
      <c r="D14" s="77" t="s">
        <v>114</v>
      </c>
      <c r="E14" s="77" t="s">
        <v>114</v>
      </c>
      <c r="F14" s="66" t="s">
        <v>114</v>
      </c>
      <c r="G14" s="77" t="s">
        <v>114</v>
      </c>
      <c r="H14" s="66" t="s">
        <v>114</v>
      </c>
      <c r="I14" s="77" t="s">
        <v>114</v>
      </c>
      <c r="J14" s="66" t="s">
        <v>114</v>
      </c>
      <c r="K14" s="130" t="s">
        <v>114</v>
      </c>
      <c r="L14" s="129"/>
      <c r="M14" s="139" t="s">
        <v>114</v>
      </c>
      <c r="N14" s="108"/>
      <c r="O14" s="79" t="s">
        <v>114</v>
      </c>
      <c r="P14" s="78" t="s">
        <v>114</v>
      </c>
      <c r="Q14" s="130" t="s">
        <v>114</v>
      </c>
      <c r="R14" s="129"/>
      <c r="S14" s="72" t="s">
        <v>114</v>
      </c>
      <c r="T14" s="72" t="s">
        <v>114</v>
      </c>
      <c r="U14" s="72" t="s">
        <v>114</v>
      </c>
      <c r="V14" s="73" t="s">
        <v>114</v>
      </c>
      <c r="W14" s="51"/>
      <c r="X14" s="52"/>
      <c r="Y14" s="52"/>
      <c r="Z14" s="63"/>
    </row>
    <row r="15" spans="1:26" ht="12" customHeight="1" x14ac:dyDescent="0.3">
      <c r="A15" s="80" t="s">
        <v>114</v>
      </c>
      <c r="B15" s="76" t="s">
        <v>114</v>
      </c>
      <c r="C15" s="66" t="s">
        <v>114</v>
      </c>
      <c r="D15" s="77" t="s">
        <v>114</v>
      </c>
      <c r="E15" s="77" t="s">
        <v>114</v>
      </c>
      <c r="F15" s="66" t="s">
        <v>114</v>
      </c>
      <c r="G15" s="77" t="s">
        <v>114</v>
      </c>
      <c r="H15" s="66" t="s">
        <v>114</v>
      </c>
      <c r="I15" s="77" t="s">
        <v>114</v>
      </c>
      <c r="J15" s="66" t="s">
        <v>114</v>
      </c>
      <c r="K15" s="130" t="s">
        <v>114</v>
      </c>
      <c r="L15" s="129"/>
      <c r="M15" s="139" t="s">
        <v>114</v>
      </c>
      <c r="N15" s="108"/>
      <c r="O15" s="79" t="s">
        <v>114</v>
      </c>
      <c r="P15" s="78" t="s">
        <v>114</v>
      </c>
      <c r="Q15" s="130" t="s">
        <v>114</v>
      </c>
      <c r="R15" s="129"/>
      <c r="S15" s="72" t="s">
        <v>114</v>
      </c>
      <c r="T15" s="72" t="s">
        <v>114</v>
      </c>
      <c r="U15" s="72" t="s">
        <v>114</v>
      </c>
      <c r="V15" s="73" t="s">
        <v>114</v>
      </c>
      <c r="W15" s="51"/>
      <c r="X15" s="52"/>
      <c r="Y15" s="52"/>
      <c r="Z15" s="63"/>
    </row>
    <row r="16" spans="1:26" ht="12" customHeight="1" x14ac:dyDescent="0.3">
      <c r="A16" s="80" t="s">
        <v>114</v>
      </c>
      <c r="B16" s="76" t="s">
        <v>114</v>
      </c>
      <c r="C16" s="66" t="s">
        <v>114</v>
      </c>
      <c r="D16" s="77" t="s">
        <v>114</v>
      </c>
      <c r="E16" s="77" t="s">
        <v>114</v>
      </c>
      <c r="F16" s="66" t="s">
        <v>114</v>
      </c>
      <c r="G16" s="77" t="s">
        <v>114</v>
      </c>
      <c r="H16" s="66" t="s">
        <v>114</v>
      </c>
      <c r="I16" s="77" t="s">
        <v>114</v>
      </c>
      <c r="J16" s="66" t="s">
        <v>114</v>
      </c>
      <c r="K16" s="130" t="s">
        <v>114</v>
      </c>
      <c r="L16" s="129"/>
      <c r="M16" s="139" t="s">
        <v>114</v>
      </c>
      <c r="N16" s="108"/>
      <c r="O16" s="79" t="s">
        <v>114</v>
      </c>
      <c r="P16" s="78" t="s">
        <v>114</v>
      </c>
      <c r="Q16" s="130" t="s">
        <v>114</v>
      </c>
      <c r="R16" s="129"/>
      <c r="S16" s="72" t="s">
        <v>114</v>
      </c>
      <c r="T16" s="72" t="s">
        <v>114</v>
      </c>
      <c r="U16" s="72" t="s">
        <v>114</v>
      </c>
      <c r="V16" s="73" t="s">
        <v>114</v>
      </c>
      <c r="W16" s="51"/>
      <c r="X16" s="52"/>
      <c r="Y16" s="52"/>
      <c r="Z16" s="63"/>
    </row>
    <row r="17" spans="1:26" ht="12" customHeight="1" x14ac:dyDescent="0.3">
      <c r="A17" s="80" t="s">
        <v>114</v>
      </c>
      <c r="B17" s="76" t="s">
        <v>114</v>
      </c>
      <c r="C17" s="78" t="s">
        <v>114</v>
      </c>
      <c r="D17" s="79" t="s">
        <v>114</v>
      </c>
      <c r="E17" s="79" t="s">
        <v>114</v>
      </c>
      <c r="F17" s="78" t="s">
        <v>114</v>
      </c>
      <c r="G17" s="79" t="s">
        <v>114</v>
      </c>
      <c r="H17" s="78" t="s">
        <v>114</v>
      </c>
      <c r="I17" s="79" t="s">
        <v>114</v>
      </c>
      <c r="J17" s="78" t="s">
        <v>114</v>
      </c>
      <c r="K17" s="130" t="s">
        <v>114</v>
      </c>
      <c r="L17" s="129"/>
      <c r="M17" s="139" t="s">
        <v>114</v>
      </c>
      <c r="N17" s="108"/>
      <c r="O17" s="79" t="s">
        <v>114</v>
      </c>
      <c r="P17" s="78" t="s">
        <v>114</v>
      </c>
      <c r="Q17" s="130" t="s">
        <v>114</v>
      </c>
      <c r="R17" s="129"/>
      <c r="S17" s="72" t="s">
        <v>114</v>
      </c>
      <c r="T17" s="72" t="s">
        <v>114</v>
      </c>
      <c r="U17" s="72" t="s">
        <v>114</v>
      </c>
      <c r="V17" s="73" t="s">
        <v>114</v>
      </c>
      <c r="W17" s="51"/>
      <c r="X17" s="52"/>
      <c r="Y17" s="52"/>
      <c r="Z17" s="63"/>
    </row>
    <row r="18" spans="1:26" ht="12" customHeight="1" x14ac:dyDescent="0.3">
      <c r="A18" s="80" t="s">
        <v>114</v>
      </c>
      <c r="B18" s="76" t="s">
        <v>114</v>
      </c>
      <c r="C18" s="78" t="s">
        <v>114</v>
      </c>
      <c r="D18" s="79" t="s">
        <v>114</v>
      </c>
      <c r="E18" s="79" t="s">
        <v>114</v>
      </c>
      <c r="F18" s="78" t="s">
        <v>114</v>
      </c>
      <c r="G18" s="79" t="s">
        <v>114</v>
      </c>
      <c r="H18" s="78" t="s">
        <v>114</v>
      </c>
      <c r="I18" s="79" t="s">
        <v>114</v>
      </c>
      <c r="J18" s="78" t="s">
        <v>114</v>
      </c>
      <c r="K18" s="130" t="s">
        <v>114</v>
      </c>
      <c r="L18" s="129"/>
      <c r="M18" s="139" t="s">
        <v>114</v>
      </c>
      <c r="N18" s="108"/>
      <c r="O18" s="79" t="s">
        <v>114</v>
      </c>
      <c r="P18" s="78" t="s">
        <v>114</v>
      </c>
      <c r="Q18" s="130" t="s">
        <v>114</v>
      </c>
      <c r="R18" s="129"/>
      <c r="S18" s="72" t="s">
        <v>114</v>
      </c>
      <c r="T18" s="72" t="s">
        <v>114</v>
      </c>
      <c r="U18" s="72" t="s">
        <v>114</v>
      </c>
      <c r="V18" s="73" t="s">
        <v>114</v>
      </c>
      <c r="W18" s="51"/>
      <c r="X18" s="52"/>
      <c r="Y18" s="52"/>
      <c r="Z18" s="63"/>
    </row>
    <row r="19" spans="1:26" ht="12" customHeight="1" x14ac:dyDescent="0.3">
      <c r="A19" s="96" t="s">
        <v>114</v>
      </c>
      <c r="B19" s="82" t="s">
        <v>114</v>
      </c>
      <c r="C19" s="83" t="s">
        <v>114</v>
      </c>
      <c r="D19" s="84" t="s">
        <v>114</v>
      </c>
      <c r="E19" s="83" t="s">
        <v>114</v>
      </c>
      <c r="F19" s="84" t="s">
        <v>114</v>
      </c>
      <c r="G19" s="83" t="s">
        <v>114</v>
      </c>
      <c r="H19" s="84" t="s">
        <v>114</v>
      </c>
      <c r="I19" s="83" t="s">
        <v>114</v>
      </c>
      <c r="J19" s="85" t="s">
        <v>114</v>
      </c>
      <c r="K19" s="131" t="s">
        <v>114</v>
      </c>
      <c r="L19" s="126"/>
      <c r="M19" s="140" t="s">
        <v>114</v>
      </c>
      <c r="N19" s="127"/>
      <c r="O19" s="86" t="s">
        <v>114</v>
      </c>
      <c r="P19" s="84" t="s">
        <v>114</v>
      </c>
      <c r="Q19" s="131" t="s">
        <v>114</v>
      </c>
      <c r="R19" s="127"/>
      <c r="S19" s="72" t="s">
        <v>114</v>
      </c>
      <c r="T19" s="72" t="s">
        <v>114</v>
      </c>
      <c r="U19" s="72" t="s">
        <v>114</v>
      </c>
      <c r="V19" s="73" t="s">
        <v>114</v>
      </c>
      <c r="W19" s="51"/>
      <c r="X19" s="52"/>
      <c r="Y19" s="52"/>
      <c r="Z19" s="63"/>
    </row>
    <row r="20" spans="1:26" ht="12" customHeight="1" x14ac:dyDescent="0.3">
      <c r="A20" s="121" t="s">
        <v>93</v>
      </c>
      <c r="B20" s="141" t="s">
        <v>181</v>
      </c>
      <c r="C20" s="129"/>
      <c r="D20" s="141" t="s">
        <v>182</v>
      </c>
      <c r="E20" s="108"/>
      <c r="F20" s="108"/>
      <c r="G20" s="108"/>
      <c r="H20" s="108"/>
      <c r="I20" s="108"/>
      <c r="J20" s="108"/>
      <c r="K20" s="108"/>
      <c r="L20" s="129"/>
      <c r="M20" s="141" t="s">
        <v>183</v>
      </c>
      <c r="N20" s="108"/>
      <c r="O20" s="129"/>
      <c r="P20" s="152" t="s">
        <v>184</v>
      </c>
      <c r="Q20" s="141" t="s">
        <v>185</v>
      </c>
      <c r="R20" s="129"/>
      <c r="S20" s="50"/>
      <c r="T20" s="50"/>
      <c r="U20" s="62"/>
      <c r="V20" s="51"/>
      <c r="W20" s="51"/>
      <c r="X20" s="52"/>
      <c r="Y20" s="52"/>
      <c r="Z20" s="63"/>
    </row>
    <row r="21" spans="1:26" ht="9.75" customHeight="1" x14ac:dyDescent="0.3">
      <c r="A21" s="122"/>
      <c r="B21" s="135"/>
      <c r="C21" s="127"/>
      <c r="D21" s="135"/>
      <c r="E21" s="126"/>
      <c r="F21" s="126"/>
      <c r="G21" s="126"/>
      <c r="H21" s="126"/>
      <c r="I21" s="126"/>
      <c r="J21" s="126"/>
      <c r="K21" s="126"/>
      <c r="L21" s="127"/>
      <c r="M21" s="134"/>
      <c r="N21" s="108"/>
      <c r="O21" s="129"/>
      <c r="P21" s="122"/>
      <c r="Q21" s="134"/>
      <c r="R21" s="129"/>
      <c r="S21" s="50"/>
      <c r="T21" s="50"/>
      <c r="U21" s="62"/>
      <c r="V21" s="51"/>
      <c r="W21" s="51"/>
      <c r="X21" s="52"/>
      <c r="Y21" s="52"/>
      <c r="Z21" s="52"/>
    </row>
    <row r="22" spans="1:26" ht="9.75" customHeight="1" x14ac:dyDescent="0.3">
      <c r="A22" s="122"/>
      <c r="B22" s="142" t="s">
        <v>121</v>
      </c>
      <c r="C22" s="142" t="s">
        <v>186</v>
      </c>
      <c r="D22" s="142" t="s">
        <v>187</v>
      </c>
      <c r="E22" s="142" t="s">
        <v>188</v>
      </c>
      <c r="F22" s="142" t="s">
        <v>189</v>
      </c>
      <c r="G22" s="142" t="s">
        <v>190</v>
      </c>
      <c r="H22" s="142" t="s">
        <v>191</v>
      </c>
      <c r="I22" s="142" t="s">
        <v>192</v>
      </c>
      <c r="J22" s="142" t="s">
        <v>193</v>
      </c>
      <c r="K22" s="143" t="s">
        <v>130</v>
      </c>
      <c r="L22" s="125"/>
      <c r="M22" s="134"/>
      <c r="N22" s="108"/>
      <c r="O22" s="129"/>
      <c r="P22" s="122"/>
      <c r="Q22" s="134"/>
      <c r="R22" s="129"/>
      <c r="S22" s="50"/>
      <c r="T22" s="50"/>
      <c r="U22" s="50"/>
      <c r="V22" s="51"/>
      <c r="W22" s="51"/>
      <c r="X22" s="52"/>
      <c r="Y22" s="52"/>
      <c r="Z22" s="63"/>
    </row>
    <row r="23" spans="1:26" ht="11.25" customHeight="1" x14ac:dyDescent="0.3">
      <c r="A23" s="123"/>
      <c r="B23" s="123"/>
      <c r="C23" s="123"/>
      <c r="D23" s="123"/>
      <c r="E23" s="123"/>
      <c r="F23" s="123"/>
      <c r="G23" s="123"/>
      <c r="H23" s="123"/>
      <c r="I23" s="123"/>
      <c r="J23" s="123"/>
      <c r="K23" s="135"/>
      <c r="L23" s="127"/>
      <c r="M23" s="135"/>
      <c r="N23" s="126"/>
      <c r="O23" s="127"/>
      <c r="P23" s="123"/>
      <c r="Q23" s="135"/>
      <c r="R23" s="127"/>
      <c r="S23" s="50" t="s">
        <v>112</v>
      </c>
      <c r="T23" s="50" t="s">
        <v>112</v>
      </c>
      <c r="U23" s="50"/>
      <c r="V23" s="51"/>
      <c r="W23" s="51"/>
      <c r="X23" s="52"/>
      <c r="Y23" s="52"/>
      <c r="Z23" s="63"/>
    </row>
    <row r="24" spans="1:26" ht="12" customHeight="1" x14ac:dyDescent="0.3">
      <c r="A24" s="87" t="s">
        <v>67</v>
      </c>
      <c r="B24" s="88">
        <v>4.7</v>
      </c>
      <c r="C24" s="89" t="s">
        <v>114</v>
      </c>
      <c r="D24" s="88">
        <v>2.2999999999999998</v>
      </c>
      <c r="E24" s="89">
        <v>2</v>
      </c>
      <c r="F24" s="79">
        <v>0.09</v>
      </c>
      <c r="G24" s="79">
        <v>0.04</v>
      </c>
      <c r="H24" s="88">
        <v>4.4000000000000004</v>
      </c>
      <c r="I24" s="89">
        <v>0.8</v>
      </c>
      <c r="J24" s="88">
        <v>4.9000000000000004</v>
      </c>
      <c r="K24" s="137">
        <v>10.1</v>
      </c>
      <c r="L24" s="129"/>
      <c r="M24" s="144">
        <v>44</v>
      </c>
      <c r="N24" s="108"/>
      <c r="O24" s="129"/>
      <c r="P24" s="90">
        <v>15</v>
      </c>
      <c r="Q24" s="130">
        <v>4</v>
      </c>
      <c r="R24" s="129"/>
      <c r="S24" s="50">
        <v>4.4000000000000004</v>
      </c>
      <c r="T24" s="50">
        <v>4.4000000000000004</v>
      </c>
      <c r="U24" s="50"/>
      <c r="V24" s="51" t="s">
        <v>69</v>
      </c>
      <c r="W24" s="51" t="str">
        <f t="shared" ref="W24:W32" si="0">IF(OR(H24="",I24="",I11="",M24=""),"",IF(1000*(H24+I24)/I11&gt;1.5,"",IF(C24&gt;=5,"ácrico",IF(C24-B24&gt;=0,"ácrico",""))))</f>
        <v/>
      </c>
      <c r="X24" s="52"/>
      <c r="Y24" s="52"/>
      <c r="Z24" s="63"/>
    </row>
    <row r="25" spans="1:26" ht="12" customHeight="1" x14ac:dyDescent="0.3">
      <c r="A25" s="87" t="s">
        <v>67</v>
      </c>
      <c r="B25" s="88">
        <v>4.7</v>
      </c>
      <c r="C25" s="89" t="s">
        <v>114</v>
      </c>
      <c r="D25" s="88">
        <v>1.1000000000000001</v>
      </c>
      <c r="E25" s="89">
        <v>1</v>
      </c>
      <c r="F25" s="79">
        <v>0.06</v>
      </c>
      <c r="G25" s="79">
        <v>0.03</v>
      </c>
      <c r="H25" s="88">
        <v>2.2000000000000002</v>
      </c>
      <c r="I25" s="89">
        <v>1.3</v>
      </c>
      <c r="J25" s="88">
        <v>2.9</v>
      </c>
      <c r="K25" s="137">
        <v>6.4</v>
      </c>
      <c r="L25" s="129"/>
      <c r="M25" s="144">
        <v>34</v>
      </c>
      <c r="N25" s="108"/>
      <c r="O25" s="129"/>
      <c r="P25" s="90">
        <v>37</v>
      </c>
      <c r="Q25" s="130">
        <v>2</v>
      </c>
      <c r="R25" s="129"/>
      <c r="S25" s="97">
        <v>2.2000000000000002</v>
      </c>
      <c r="T25" s="97">
        <v>2.2000000000000002</v>
      </c>
      <c r="U25" s="50"/>
      <c r="V25" s="51" t="s">
        <v>69</v>
      </c>
      <c r="W25" s="51" t="str">
        <f t="shared" si="0"/>
        <v/>
      </c>
      <c r="X25" s="52"/>
      <c r="Y25" s="52"/>
      <c r="Z25" s="63"/>
    </row>
    <row r="26" spans="1:26" ht="12" customHeight="1" x14ac:dyDescent="0.3">
      <c r="A26" s="91" t="s">
        <v>114</v>
      </c>
      <c r="B26" s="88" t="s">
        <v>114</v>
      </c>
      <c r="C26" s="89" t="s">
        <v>114</v>
      </c>
      <c r="D26" s="88" t="s">
        <v>114</v>
      </c>
      <c r="E26" s="89" t="s">
        <v>114</v>
      </c>
      <c r="F26" s="79" t="s">
        <v>114</v>
      </c>
      <c r="G26" s="79" t="s">
        <v>114</v>
      </c>
      <c r="H26" s="88" t="s">
        <v>114</v>
      </c>
      <c r="I26" s="89" t="s">
        <v>114</v>
      </c>
      <c r="J26" s="88" t="s">
        <v>114</v>
      </c>
      <c r="K26" s="137" t="s">
        <v>114</v>
      </c>
      <c r="L26" s="129"/>
      <c r="M26" s="144" t="s">
        <v>114</v>
      </c>
      <c r="N26" s="108"/>
      <c r="O26" s="129"/>
      <c r="P26" s="90" t="s">
        <v>114</v>
      </c>
      <c r="Q26" s="130" t="s">
        <v>114</v>
      </c>
      <c r="R26" s="129"/>
      <c r="S26" s="50" t="s">
        <v>114</v>
      </c>
      <c r="T26" s="50" t="s">
        <v>114</v>
      </c>
      <c r="U26" s="50"/>
      <c r="V26" s="51" t="s">
        <v>114</v>
      </c>
      <c r="W26" s="51" t="str">
        <f t="shared" si="0"/>
        <v/>
      </c>
      <c r="X26" s="52"/>
      <c r="Y26" s="52"/>
      <c r="Z26" s="63"/>
    </row>
    <row r="27" spans="1:26" ht="12" customHeight="1" x14ac:dyDescent="0.3">
      <c r="A27" s="91" t="s">
        <v>114</v>
      </c>
      <c r="B27" s="88" t="s">
        <v>114</v>
      </c>
      <c r="C27" s="89" t="s">
        <v>114</v>
      </c>
      <c r="D27" s="88" t="s">
        <v>114</v>
      </c>
      <c r="E27" s="89" t="s">
        <v>114</v>
      </c>
      <c r="F27" s="79" t="s">
        <v>114</v>
      </c>
      <c r="G27" s="79" t="s">
        <v>114</v>
      </c>
      <c r="H27" s="88" t="s">
        <v>114</v>
      </c>
      <c r="I27" s="89" t="s">
        <v>114</v>
      </c>
      <c r="J27" s="88" t="s">
        <v>114</v>
      </c>
      <c r="K27" s="137" t="s">
        <v>114</v>
      </c>
      <c r="L27" s="129"/>
      <c r="M27" s="144" t="s">
        <v>114</v>
      </c>
      <c r="N27" s="108"/>
      <c r="O27" s="129"/>
      <c r="P27" s="90" t="s">
        <v>114</v>
      </c>
      <c r="Q27" s="130" t="s">
        <v>114</v>
      </c>
      <c r="R27" s="129"/>
      <c r="S27" s="50" t="s">
        <v>114</v>
      </c>
      <c r="T27" s="50" t="s">
        <v>114</v>
      </c>
      <c r="U27" s="50"/>
      <c r="V27" s="51" t="s">
        <v>114</v>
      </c>
      <c r="W27" s="51" t="str">
        <f t="shared" si="0"/>
        <v/>
      </c>
      <c r="X27" s="52"/>
      <c r="Y27" s="52"/>
      <c r="Z27" s="63"/>
    </row>
    <row r="28" spans="1:26" ht="12" customHeight="1" x14ac:dyDescent="0.3">
      <c r="A28" s="91" t="s">
        <v>114</v>
      </c>
      <c r="B28" s="88" t="s">
        <v>114</v>
      </c>
      <c r="C28" s="89" t="s">
        <v>114</v>
      </c>
      <c r="D28" s="88" t="s">
        <v>114</v>
      </c>
      <c r="E28" s="89" t="s">
        <v>114</v>
      </c>
      <c r="F28" s="79" t="s">
        <v>114</v>
      </c>
      <c r="G28" s="79" t="s">
        <v>114</v>
      </c>
      <c r="H28" s="88" t="s">
        <v>114</v>
      </c>
      <c r="I28" s="89" t="s">
        <v>114</v>
      </c>
      <c r="J28" s="88" t="s">
        <v>114</v>
      </c>
      <c r="K28" s="137" t="s">
        <v>114</v>
      </c>
      <c r="L28" s="129"/>
      <c r="M28" s="144" t="s">
        <v>114</v>
      </c>
      <c r="N28" s="108"/>
      <c r="O28" s="129"/>
      <c r="P28" s="90" t="s">
        <v>114</v>
      </c>
      <c r="Q28" s="130" t="s">
        <v>114</v>
      </c>
      <c r="R28" s="129"/>
      <c r="S28" s="50" t="s">
        <v>114</v>
      </c>
      <c r="T28" s="50" t="s">
        <v>114</v>
      </c>
      <c r="U28" s="50"/>
      <c r="V28" s="51" t="s">
        <v>114</v>
      </c>
      <c r="W28" s="51" t="str">
        <f t="shared" si="0"/>
        <v/>
      </c>
      <c r="X28" s="52"/>
      <c r="Y28" s="52"/>
      <c r="Z28" s="63"/>
    </row>
    <row r="29" spans="1:26" ht="12" customHeight="1" x14ac:dyDescent="0.3">
      <c r="A29" s="91" t="s">
        <v>114</v>
      </c>
      <c r="B29" s="88" t="s">
        <v>114</v>
      </c>
      <c r="C29" s="89" t="s">
        <v>114</v>
      </c>
      <c r="D29" s="88" t="s">
        <v>114</v>
      </c>
      <c r="E29" s="89" t="s">
        <v>114</v>
      </c>
      <c r="F29" s="79" t="s">
        <v>114</v>
      </c>
      <c r="G29" s="79" t="s">
        <v>114</v>
      </c>
      <c r="H29" s="88" t="s">
        <v>114</v>
      </c>
      <c r="I29" s="89" t="s">
        <v>114</v>
      </c>
      <c r="J29" s="88" t="s">
        <v>114</v>
      </c>
      <c r="K29" s="137" t="s">
        <v>114</v>
      </c>
      <c r="L29" s="129"/>
      <c r="M29" s="144" t="s">
        <v>114</v>
      </c>
      <c r="N29" s="108"/>
      <c r="O29" s="129"/>
      <c r="P29" s="90" t="s">
        <v>114</v>
      </c>
      <c r="Q29" s="130" t="s">
        <v>114</v>
      </c>
      <c r="R29" s="129"/>
      <c r="S29" s="50" t="s">
        <v>114</v>
      </c>
      <c r="T29" s="50" t="s">
        <v>114</v>
      </c>
      <c r="U29" s="50"/>
      <c r="V29" s="51" t="s">
        <v>114</v>
      </c>
      <c r="W29" s="51" t="str">
        <f t="shared" si="0"/>
        <v/>
      </c>
      <c r="X29" s="52"/>
      <c r="Y29" s="52"/>
      <c r="Z29" s="63"/>
    </row>
    <row r="30" spans="1:26" ht="12" customHeight="1" x14ac:dyDescent="0.3">
      <c r="A30" s="91" t="s">
        <v>114</v>
      </c>
      <c r="B30" s="88" t="s">
        <v>114</v>
      </c>
      <c r="C30" s="89" t="s">
        <v>114</v>
      </c>
      <c r="D30" s="88" t="s">
        <v>114</v>
      </c>
      <c r="E30" s="89" t="s">
        <v>114</v>
      </c>
      <c r="F30" s="79" t="s">
        <v>114</v>
      </c>
      <c r="G30" s="79" t="s">
        <v>114</v>
      </c>
      <c r="H30" s="88" t="s">
        <v>114</v>
      </c>
      <c r="I30" s="89" t="s">
        <v>114</v>
      </c>
      <c r="J30" s="88" t="s">
        <v>114</v>
      </c>
      <c r="K30" s="137" t="s">
        <v>114</v>
      </c>
      <c r="L30" s="129"/>
      <c r="M30" s="144" t="s">
        <v>114</v>
      </c>
      <c r="N30" s="108"/>
      <c r="O30" s="129"/>
      <c r="P30" s="90" t="s">
        <v>114</v>
      </c>
      <c r="Q30" s="130" t="s">
        <v>114</v>
      </c>
      <c r="R30" s="129"/>
      <c r="S30" s="50" t="s">
        <v>114</v>
      </c>
      <c r="T30" s="50" t="s">
        <v>114</v>
      </c>
      <c r="U30" s="50"/>
      <c r="V30" s="51" t="s">
        <v>114</v>
      </c>
      <c r="W30" s="51" t="str">
        <f t="shared" si="0"/>
        <v/>
      </c>
      <c r="X30" s="52"/>
      <c r="Y30" s="52"/>
      <c r="Z30" s="63"/>
    </row>
    <row r="31" spans="1:26" ht="12" customHeight="1" x14ac:dyDescent="0.3">
      <c r="A31" s="91" t="s">
        <v>114</v>
      </c>
      <c r="B31" s="88" t="s">
        <v>114</v>
      </c>
      <c r="C31" s="89" t="s">
        <v>114</v>
      </c>
      <c r="D31" s="88" t="s">
        <v>114</v>
      </c>
      <c r="E31" s="89" t="s">
        <v>114</v>
      </c>
      <c r="F31" s="79" t="s">
        <v>114</v>
      </c>
      <c r="G31" s="79" t="s">
        <v>114</v>
      </c>
      <c r="H31" s="88" t="s">
        <v>114</v>
      </c>
      <c r="I31" s="89" t="s">
        <v>114</v>
      </c>
      <c r="J31" s="88" t="s">
        <v>114</v>
      </c>
      <c r="K31" s="137" t="s">
        <v>114</v>
      </c>
      <c r="L31" s="129"/>
      <c r="M31" s="144" t="s">
        <v>114</v>
      </c>
      <c r="N31" s="108"/>
      <c r="O31" s="129"/>
      <c r="P31" s="90" t="s">
        <v>114</v>
      </c>
      <c r="Q31" s="130" t="s">
        <v>114</v>
      </c>
      <c r="R31" s="129"/>
      <c r="S31" s="50" t="s">
        <v>114</v>
      </c>
      <c r="T31" s="50" t="s">
        <v>114</v>
      </c>
      <c r="U31" s="50"/>
      <c r="V31" s="51" t="s">
        <v>114</v>
      </c>
      <c r="W31" s="51" t="str">
        <f t="shared" si="0"/>
        <v/>
      </c>
      <c r="X31" s="52"/>
      <c r="Y31" s="52"/>
      <c r="Z31" s="63"/>
    </row>
    <row r="32" spans="1:26" ht="12" customHeight="1" x14ac:dyDescent="0.3">
      <c r="A32" s="91" t="s">
        <v>114</v>
      </c>
      <c r="B32" s="88" t="s">
        <v>114</v>
      </c>
      <c r="C32" s="89" t="s">
        <v>114</v>
      </c>
      <c r="D32" s="88" t="s">
        <v>114</v>
      </c>
      <c r="E32" s="89" t="s">
        <v>114</v>
      </c>
      <c r="F32" s="79" t="s">
        <v>114</v>
      </c>
      <c r="G32" s="79" t="s">
        <v>114</v>
      </c>
      <c r="H32" s="88" t="s">
        <v>114</v>
      </c>
      <c r="I32" s="89" t="s">
        <v>114</v>
      </c>
      <c r="J32" s="88" t="s">
        <v>114</v>
      </c>
      <c r="K32" s="137" t="s">
        <v>114</v>
      </c>
      <c r="L32" s="129"/>
      <c r="M32" s="144" t="s">
        <v>114</v>
      </c>
      <c r="N32" s="108"/>
      <c r="O32" s="129"/>
      <c r="P32" s="90" t="s">
        <v>114</v>
      </c>
      <c r="Q32" s="130" t="s">
        <v>114</v>
      </c>
      <c r="R32" s="129"/>
      <c r="S32" s="50" t="s">
        <v>114</v>
      </c>
      <c r="T32" s="50" t="s">
        <v>114</v>
      </c>
      <c r="U32" s="50"/>
      <c r="V32" s="51" t="s">
        <v>114</v>
      </c>
      <c r="W32" s="51" t="str">
        <f t="shared" si="0"/>
        <v/>
      </c>
      <c r="X32" s="52"/>
      <c r="Y32" s="52"/>
      <c r="Z32" s="63"/>
    </row>
    <row r="33" spans="1:26" ht="12" customHeight="1" x14ac:dyDescent="0.3">
      <c r="A33" s="121" t="s">
        <v>93</v>
      </c>
      <c r="B33" s="142" t="s">
        <v>194</v>
      </c>
      <c r="C33" s="142" t="s">
        <v>195</v>
      </c>
      <c r="D33" s="142" t="s">
        <v>41</v>
      </c>
      <c r="E33" s="143" t="s">
        <v>196</v>
      </c>
      <c r="F33" s="138"/>
      <c r="G33" s="138"/>
      <c r="H33" s="138"/>
      <c r="I33" s="138"/>
      <c r="J33" s="125"/>
      <c r="K33" s="143" t="s">
        <v>134</v>
      </c>
      <c r="L33" s="138"/>
      <c r="M33" s="138"/>
      <c r="N33" s="138"/>
      <c r="O33" s="125"/>
      <c r="P33" s="142" t="s">
        <v>197</v>
      </c>
      <c r="Q33" s="143" t="s">
        <v>198</v>
      </c>
      <c r="R33" s="125"/>
      <c r="S33" s="50"/>
      <c r="T33" s="50"/>
      <c r="U33" s="50"/>
      <c r="V33" s="51"/>
      <c r="W33" s="51"/>
      <c r="X33" s="52"/>
      <c r="Y33" s="52"/>
      <c r="Z33" s="63"/>
    </row>
    <row r="34" spans="1:26" ht="8.25" customHeight="1" x14ac:dyDescent="0.3">
      <c r="A34" s="122"/>
      <c r="B34" s="122"/>
      <c r="C34" s="122"/>
      <c r="D34" s="122"/>
      <c r="E34" s="135"/>
      <c r="F34" s="126"/>
      <c r="G34" s="126"/>
      <c r="H34" s="126"/>
      <c r="I34" s="126"/>
      <c r="J34" s="127"/>
      <c r="K34" s="135"/>
      <c r="L34" s="126"/>
      <c r="M34" s="126"/>
      <c r="N34" s="126"/>
      <c r="O34" s="127"/>
      <c r="P34" s="122"/>
      <c r="Q34" s="134"/>
      <c r="R34" s="129"/>
      <c r="S34" s="50"/>
      <c r="T34" s="50"/>
      <c r="U34" s="50"/>
      <c r="V34" s="51"/>
      <c r="W34" s="51"/>
      <c r="X34" s="52"/>
      <c r="Y34" s="52"/>
      <c r="Z34" s="63"/>
    </row>
    <row r="35" spans="1:26" ht="10.5" customHeight="1" x14ac:dyDescent="0.3">
      <c r="A35" s="122"/>
      <c r="B35" s="122"/>
      <c r="C35" s="122"/>
      <c r="D35" s="122"/>
      <c r="E35" s="142" t="s">
        <v>199</v>
      </c>
      <c r="F35" s="142" t="s">
        <v>200</v>
      </c>
      <c r="G35" s="142" t="s">
        <v>201</v>
      </c>
      <c r="H35" s="142" t="s">
        <v>202</v>
      </c>
      <c r="I35" s="142" t="s">
        <v>203</v>
      </c>
      <c r="J35" s="142" t="s">
        <v>142</v>
      </c>
      <c r="K35" s="142" t="s">
        <v>204</v>
      </c>
      <c r="L35" s="143" t="s">
        <v>205</v>
      </c>
      <c r="M35" s="125"/>
      <c r="N35" s="145" t="s">
        <v>206</v>
      </c>
      <c r="O35" s="125"/>
      <c r="P35" s="122"/>
      <c r="Q35" s="134"/>
      <c r="R35" s="129"/>
      <c r="S35" s="50"/>
      <c r="T35" s="50"/>
      <c r="U35" s="50"/>
      <c r="V35" s="51"/>
      <c r="W35" s="51"/>
      <c r="X35" s="52"/>
      <c r="Y35" s="52"/>
      <c r="Z35" s="52"/>
    </row>
    <row r="36" spans="1:26" ht="21" customHeight="1" x14ac:dyDescent="0.3">
      <c r="A36" s="123"/>
      <c r="B36" s="123"/>
      <c r="C36" s="123"/>
      <c r="D36" s="123"/>
      <c r="E36" s="123"/>
      <c r="F36" s="123"/>
      <c r="G36" s="123"/>
      <c r="H36" s="123"/>
      <c r="I36" s="123"/>
      <c r="J36" s="123"/>
      <c r="K36" s="123"/>
      <c r="L36" s="135"/>
      <c r="M36" s="127"/>
      <c r="N36" s="135"/>
      <c r="O36" s="127"/>
      <c r="P36" s="123"/>
      <c r="Q36" s="135"/>
      <c r="R36" s="127"/>
      <c r="S36" s="50"/>
      <c r="T36" s="50"/>
      <c r="U36" s="50"/>
      <c r="V36" s="51"/>
      <c r="W36" s="51"/>
      <c r="X36" s="52"/>
      <c r="Y36" s="52"/>
      <c r="Z36" s="52"/>
    </row>
    <row r="37" spans="1:26" ht="12" customHeight="1" x14ac:dyDescent="0.3">
      <c r="A37" s="87" t="s">
        <v>67</v>
      </c>
      <c r="B37" s="88">
        <v>14.3</v>
      </c>
      <c r="C37" s="88">
        <v>2</v>
      </c>
      <c r="D37" s="77">
        <v>7</v>
      </c>
      <c r="E37" s="66" t="s">
        <v>114</v>
      </c>
      <c r="F37" s="77" t="s">
        <v>114</v>
      </c>
      <c r="G37" s="66" t="s">
        <v>114</v>
      </c>
      <c r="H37" s="88" t="s">
        <v>114</v>
      </c>
      <c r="I37" s="89" t="s">
        <v>114</v>
      </c>
      <c r="J37" s="88" t="s">
        <v>114</v>
      </c>
      <c r="K37" s="78" t="s">
        <v>114</v>
      </c>
      <c r="L37" s="143" t="s">
        <v>114</v>
      </c>
      <c r="M37" s="125"/>
      <c r="N37" s="141" t="s">
        <v>114</v>
      </c>
      <c r="O37" s="129"/>
      <c r="P37" s="79" t="s">
        <v>114</v>
      </c>
      <c r="Q37" s="141" t="s">
        <v>114</v>
      </c>
      <c r="R37" s="129"/>
      <c r="S37" s="50"/>
      <c r="T37" s="50"/>
      <c r="U37" s="50"/>
      <c r="V37" s="51" t="s">
        <v>114</v>
      </c>
      <c r="W37" s="51"/>
      <c r="X37" s="52"/>
      <c r="Y37" s="52"/>
      <c r="Z37" s="52"/>
    </row>
    <row r="38" spans="1:26" ht="12" customHeight="1" x14ac:dyDescent="0.3">
      <c r="A38" s="87" t="s">
        <v>67</v>
      </c>
      <c r="B38" s="88">
        <v>7.1</v>
      </c>
      <c r="C38" s="88">
        <v>1</v>
      </c>
      <c r="D38" s="77">
        <v>7</v>
      </c>
      <c r="E38" s="66" t="s">
        <v>114</v>
      </c>
      <c r="F38" s="77" t="s">
        <v>114</v>
      </c>
      <c r="G38" s="66" t="s">
        <v>114</v>
      </c>
      <c r="H38" s="88" t="s">
        <v>114</v>
      </c>
      <c r="I38" s="89" t="s">
        <v>114</v>
      </c>
      <c r="J38" s="88" t="s">
        <v>114</v>
      </c>
      <c r="K38" s="78" t="s">
        <v>114</v>
      </c>
      <c r="L38" s="141" t="s">
        <v>114</v>
      </c>
      <c r="M38" s="129"/>
      <c r="N38" s="139" t="s">
        <v>114</v>
      </c>
      <c r="O38" s="129"/>
      <c r="P38" s="79" t="s">
        <v>114</v>
      </c>
      <c r="Q38" s="141" t="s">
        <v>114</v>
      </c>
      <c r="R38" s="129"/>
      <c r="S38" s="50"/>
      <c r="T38" s="50"/>
      <c r="U38" s="50"/>
      <c r="V38" s="51" t="s">
        <v>114</v>
      </c>
      <c r="W38" s="51"/>
      <c r="X38" s="52"/>
      <c r="Y38" s="52"/>
      <c r="Z38" s="52"/>
    </row>
    <row r="39" spans="1:26" ht="12" customHeight="1" x14ac:dyDescent="0.3">
      <c r="A39" s="91" t="s">
        <v>114</v>
      </c>
      <c r="B39" s="88" t="s">
        <v>114</v>
      </c>
      <c r="C39" s="88" t="s">
        <v>114</v>
      </c>
      <c r="D39" s="77" t="s">
        <v>114</v>
      </c>
      <c r="E39" s="66" t="s">
        <v>114</v>
      </c>
      <c r="F39" s="77" t="s">
        <v>114</v>
      </c>
      <c r="G39" s="66" t="s">
        <v>114</v>
      </c>
      <c r="H39" s="88" t="s">
        <v>114</v>
      </c>
      <c r="I39" s="89" t="s">
        <v>114</v>
      </c>
      <c r="J39" s="88" t="s">
        <v>114</v>
      </c>
      <c r="K39" s="78" t="s">
        <v>114</v>
      </c>
      <c r="L39" s="141" t="s">
        <v>114</v>
      </c>
      <c r="M39" s="129"/>
      <c r="N39" s="139" t="s">
        <v>114</v>
      </c>
      <c r="O39" s="129"/>
      <c r="P39" s="79" t="s">
        <v>114</v>
      </c>
      <c r="Q39" s="141" t="s">
        <v>114</v>
      </c>
      <c r="R39" s="129"/>
      <c r="S39" s="50"/>
      <c r="T39" s="50"/>
      <c r="U39" s="50"/>
      <c r="V39" s="51" t="s">
        <v>114</v>
      </c>
      <c r="W39" s="51"/>
      <c r="X39" s="52"/>
      <c r="Y39" s="52"/>
      <c r="Z39" s="52"/>
    </row>
    <row r="40" spans="1:26" ht="12" customHeight="1" x14ac:dyDescent="0.3">
      <c r="A40" s="91" t="s">
        <v>114</v>
      </c>
      <c r="B40" s="88" t="s">
        <v>114</v>
      </c>
      <c r="C40" s="88" t="s">
        <v>114</v>
      </c>
      <c r="D40" s="77" t="s">
        <v>114</v>
      </c>
      <c r="E40" s="66" t="s">
        <v>114</v>
      </c>
      <c r="F40" s="77" t="s">
        <v>114</v>
      </c>
      <c r="G40" s="66" t="s">
        <v>114</v>
      </c>
      <c r="H40" s="88" t="s">
        <v>114</v>
      </c>
      <c r="I40" s="89" t="s">
        <v>114</v>
      </c>
      <c r="J40" s="88" t="s">
        <v>114</v>
      </c>
      <c r="K40" s="78" t="s">
        <v>114</v>
      </c>
      <c r="L40" s="141" t="s">
        <v>114</v>
      </c>
      <c r="M40" s="129"/>
      <c r="N40" s="139" t="s">
        <v>114</v>
      </c>
      <c r="O40" s="129"/>
      <c r="P40" s="79" t="s">
        <v>114</v>
      </c>
      <c r="Q40" s="141" t="s">
        <v>114</v>
      </c>
      <c r="R40" s="129"/>
      <c r="S40" s="50"/>
      <c r="T40" s="50"/>
      <c r="U40" s="50"/>
      <c r="V40" s="51" t="s">
        <v>114</v>
      </c>
      <c r="W40" s="51"/>
      <c r="X40" s="52"/>
      <c r="Y40" s="52"/>
      <c r="Z40" s="52"/>
    </row>
    <row r="41" spans="1:26" ht="12" customHeight="1" x14ac:dyDescent="0.3">
      <c r="A41" s="91" t="s">
        <v>114</v>
      </c>
      <c r="B41" s="88" t="s">
        <v>114</v>
      </c>
      <c r="C41" s="88" t="s">
        <v>114</v>
      </c>
      <c r="D41" s="77" t="s">
        <v>114</v>
      </c>
      <c r="E41" s="66" t="s">
        <v>114</v>
      </c>
      <c r="F41" s="77" t="s">
        <v>114</v>
      </c>
      <c r="G41" s="66" t="s">
        <v>114</v>
      </c>
      <c r="H41" s="88" t="s">
        <v>114</v>
      </c>
      <c r="I41" s="89" t="s">
        <v>114</v>
      </c>
      <c r="J41" s="88" t="s">
        <v>114</v>
      </c>
      <c r="K41" s="78" t="s">
        <v>114</v>
      </c>
      <c r="L41" s="141" t="s">
        <v>114</v>
      </c>
      <c r="M41" s="129"/>
      <c r="N41" s="139" t="s">
        <v>114</v>
      </c>
      <c r="O41" s="129"/>
      <c r="P41" s="79" t="s">
        <v>114</v>
      </c>
      <c r="Q41" s="141" t="s">
        <v>114</v>
      </c>
      <c r="R41" s="129"/>
      <c r="S41" s="50"/>
      <c r="T41" s="50"/>
      <c r="U41" s="50"/>
      <c r="V41" s="51" t="s">
        <v>114</v>
      </c>
      <c r="W41" s="51"/>
      <c r="X41" s="52"/>
      <c r="Y41" s="52"/>
      <c r="Z41" s="52"/>
    </row>
    <row r="42" spans="1:26" ht="12" customHeight="1" x14ac:dyDescent="0.3">
      <c r="A42" s="91" t="s">
        <v>114</v>
      </c>
      <c r="B42" s="88" t="s">
        <v>114</v>
      </c>
      <c r="C42" s="88" t="s">
        <v>114</v>
      </c>
      <c r="D42" s="77" t="s">
        <v>114</v>
      </c>
      <c r="E42" s="66" t="s">
        <v>114</v>
      </c>
      <c r="F42" s="77" t="s">
        <v>114</v>
      </c>
      <c r="G42" s="66" t="s">
        <v>114</v>
      </c>
      <c r="H42" s="88" t="s">
        <v>114</v>
      </c>
      <c r="I42" s="89" t="s">
        <v>114</v>
      </c>
      <c r="J42" s="88" t="s">
        <v>114</v>
      </c>
      <c r="K42" s="78" t="s">
        <v>114</v>
      </c>
      <c r="L42" s="141" t="s">
        <v>114</v>
      </c>
      <c r="M42" s="129"/>
      <c r="N42" s="139" t="s">
        <v>114</v>
      </c>
      <c r="O42" s="129"/>
      <c r="P42" s="79" t="s">
        <v>114</v>
      </c>
      <c r="Q42" s="141" t="s">
        <v>114</v>
      </c>
      <c r="R42" s="129"/>
      <c r="S42" s="50"/>
      <c r="T42" s="50"/>
      <c r="U42" s="50"/>
      <c r="V42" s="51" t="s">
        <v>114</v>
      </c>
      <c r="W42" s="51"/>
      <c r="X42" s="52"/>
      <c r="Y42" s="52"/>
      <c r="Z42" s="52"/>
    </row>
    <row r="43" spans="1:26" ht="12" customHeight="1" x14ac:dyDescent="0.3">
      <c r="A43" s="91" t="s">
        <v>114</v>
      </c>
      <c r="B43" s="88" t="s">
        <v>114</v>
      </c>
      <c r="C43" s="88" t="s">
        <v>114</v>
      </c>
      <c r="D43" s="77" t="s">
        <v>114</v>
      </c>
      <c r="E43" s="66" t="s">
        <v>114</v>
      </c>
      <c r="F43" s="77" t="s">
        <v>114</v>
      </c>
      <c r="G43" s="66" t="s">
        <v>114</v>
      </c>
      <c r="H43" s="88" t="s">
        <v>114</v>
      </c>
      <c r="I43" s="89" t="s">
        <v>114</v>
      </c>
      <c r="J43" s="88" t="s">
        <v>114</v>
      </c>
      <c r="K43" s="78" t="s">
        <v>114</v>
      </c>
      <c r="L43" s="141" t="s">
        <v>114</v>
      </c>
      <c r="M43" s="129"/>
      <c r="N43" s="139" t="s">
        <v>114</v>
      </c>
      <c r="O43" s="129"/>
      <c r="P43" s="79" t="s">
        <v>114</v>
      </c>
      <c r="Q43" s="141" t="s">
        <v>114</v>
      </c>
      <c r="R43" s="129"/>
      <c r="S43" s="50"/>
      <c r="T43" s="50"/>
      <c r="U43" s="50"/>
      <c r="V43" s="51" t="s">
        <v>114</v>
      </c>
      <c r="W43" s="51"/>
      <c r="X43" s="52"/>
      <c r="Y43" s="52"/>
      <c r="Z43" s="52"/>
    </row>
    <row r="44" spans="1:26" ht="12" customHeight="1" x14ac:dyDescent="0.3">
      <c r="A44" s="91" t="s">
        <v>114</v>
      </c>
      <c r="B44" s="88" t="s">
        <v>114</v>
      </c>
      <c r="C44" s="88" t="s">
        <v>114</v>
      </c>
      <c r="D44" s="77" t="s">
        <v>114</v>
      </c>
      <c r="E44" s="66" t="s">
        <v>114</v>
      </c>
      <c r="F44" s="77" t="s">
        <v>114</v>
      </c>
      <c r="G44" s="66" t="s">
        <v>114</v>
      </c>
      <c r="H44" s="88" t="s">
        <v>114</v>
      </c>
      <c r="I44" s="89" t="s">
        <v>114</v>
      </c>
      <c r="J44" s="88" t="s">
        <v>114</v>
      </c>
      <c r="K44" s="78" t="s">
        <v>114</v>
      </c>
      <c r="L44" s="141" t="s">
        <v>114</v>
      </c>
      <c r="M44" s="129"/>
      <c r="N44" s="139" t="s">
        <v>114</v>
      </c>
      <c r="O44" s="129"/>
      <c r="P44" s="79" t="s">
        <v>114</v>
      </c>
      <c r="Q44" s="141" t="s">
        <v>114</v>
      </c>
      <c r="R44" s="129"/>
      <c r="S44" s="50"/>
      <c r="T44" s="50"/>
      <c r="U44" s="50"/>
      <c r="V44" s="51" t="s">
        <v>114</v>
      </c>
      <c r="W44" s="51"/>
      <c r="X44" s="52"/>
      <c r="Y44" s="52"/>
      <c r="Z44" s="52"/>
    </row>
    <row r="45" spans="1:26" ht="12" customHeight="1" x14ac:dyDescent="0.3">
      <c r="A45" s="91" t="s">
        <v>114</v>
      </c>
      <c r="B45" s="88" t="s">
        <v>114</v>
      </c>
      <c r="C45" s="88" t="s">
        <v>114</v>
      </c>
      <c r="D45" s="77" t="s">
        <v>114</v>
      </c>
      <c r="E45" s="66" t="s">
        <v>114</v>
      </c>
      <c r="F45" s="77" t="s">
        <v>114</v>
      </c>
      <c r="G45" s="66" t="s">
        <v>114</v>
      </c>
      <c r="H45" s="88" t="s">
        <v>114</v>
      </c>
      <c r="I45" s="89" t="s">
        <v>114</v>
      </c>
      <c r="J45" s="88" t="s">
        <v>114</v>
      </c>
      <c r="K45" s="78" t="s">
        <v>114</v>
      </c>
      <c r="L45" s="141" t="s">
        <v>114</v>
      </c>
      <c r="M45" s="129"/>
      <c r="N45" s="141" t="s">
        <v>114</v>
      </c>
      <c r="O45" s="129"/>
      <c r="P45" s="79" t="s">
        <v>114</v>
      </c>
      <c r="Q45" s="141" t="s">
        <v>114</v>
      </c>
      <c r="R45" s="129"/>
      <c r="S45" s="50"/>
      <c r="T45" s="50"/>
      <c r="U45" s="50"/>
      <c r="V45" s="51" t="s">
        <v>114</v>
      </c>
      <c r="W45" s="51"/>
      <c r="X45" s="52"/>
      <c r="Y45" s="52"/>
      <c r="Z45" s="52"/>
    </row>
    <row r="46" spans="1:26" ht="12" customHeight="1" x14ac:dyDescent="0.3">
      <c r="A46" s="121" t="s">
        <v>93</v>
      </c>
      <c r="B46" s="153" t="s">
        <v>207</v>
      </c>
      <c r="C46" s="146" t="s">
        <v>147</v>
      </c>
      <c r="D46" s="148"/>
      <c r="E46" s="143" t="s">
        <v>208</v>
      </c>
      <c r="F46" s="138"/>
      <c r="G46" s="138"/>
      <c r="H46" s="138"/>
      <c r="I46" s="138"/>
      <c r="J46" s="138"/>
      <c r="K46" s="138"/>
      <c r="L46" s="125"/>
      <c r="M46" s="143" t="s">
        <v>209</v>
      </c>
      <c r="N46" s="138"/>
      <c r="O46" s="138"/>
      <c r="P46" s="138"/>
      <c r="Q46" s="138"/>
      <c r="R46" s="125"/>
      <c r="S46" s="50"/>
      <c r="T46" s="50"/>
      <c r="U46" s="50"/>
      <c r="V46" s="51"/>
      <c r="W46" s="51"/>
      <c r="X46" s="52"/>
      <c r="Y46" s="52"/>
      <c r="Z46" s="52"/>
    </row>
    <row r="47" spans="1:26" ht="9" customHeight="1" x14ac:dyDescent="0.3">
      <c r="A47" s="122"/>
      <c r="B47" s="122"/>
      <c r="C47" s="142" t="s">
        <v>210</v>
      </c>
      <c r="D47" s="142" t="s">
        <v>211</v>
      </c>
      <c r="E47" s="135"/>
      <c r="F47" s="126"/>
      <c r="G47" s="126"/>
      <c r="H47" s="126"/>
      <c r="I47" s="126"/>
      <c r="J47" s="126"/>
      <c r="K47" s="126"/>
      <c r="L47" s="127"/>
      <c r="M47" s="135"/>
      <c r="N47" s="126"/>
      <c r="O47" s="126"/>
      <c r="P47" s="126"/>
      <c r="Q47" s="126"/>
      <c r="R47" s="127"/>
      <c r="S47" s="50"/>
      <c r="T47" s="50"/>
      <c r="U47" s="50"/>
      <c r="V47" s="51"/>
      <c r="W47" s="51"/>
      <c r="X47" s="52"/>
      <c r="Y47" s="52"/>
      <c r="Z47" s="52"/>
    </row>
    <row r="48" spans="1:26" ht="12" customHeight="1" x14ac:dyDescent="0.3">
      <c r="A48" s="122"/>
      <c r="B48" s="122"/>
      <c r="C48" s="122"/>
      <c r="D48" s="122"/>
      <c r="E48" s="142" t="s">
        <v>212</v>
      </c>
      <c r="F48" s="142" t="s">
        <v>213</v>
      </c>
      <c r="G48" s="142" t="s">
        <v>214</v>
      </c>
      <c r="H48" s="142" t="s">
        <v>215</v>
      </c>
      <c r="I48" s="142" t="s">
        <v>216</v>
      </c>
      <c r="J48" s="142" t="s">
        <v>217</v>
      </c>
      <c r="K48" s="143" t="s">
        <v>218</v>
      </c>
      <c r="L48" s="125"/>
      <c r="M48" s="146" t="s">
        <v>159</v>
      </c>
      <c r="N48" s="147"/>
      <c r="O48" s="147"/>
      <c r="P48" s="148"/>
      <c r="Q48" s="143" t="s">
        <v>160</v>
      </c>
      <c r="R48" s="125"/>
      <c r="S48" s="50"/>
      <c r="T48" s="50"/>
      <c r="U48" s="50"/>
      <c r="V48" s="51"/>
      <c r="W48" s="51"/>
      <c r="X48" s="52"/>
      <c r="Y48" s="52"/>
      <c r="Z48" s="52"/>
    </row>
    <row r="49" spans="1:26" ht="12" customHeight="1" x14ac:dyDescent="0.3">
      <c r="A49" s="122"/>
      <c r="B49" s="122"/>
      <c r="C49" s="122"/>
      <c r="D49" s="122"/>
      <c r="E49" s="122"/>
      <c r="F49" s="122"/>
      <c r="G49" s="122"/>
      <c r="H49" s="122"/>
      <c r="I49" s="122"/>
      <c r="J49" s="122"/>
      <c r="K49" s="134"/>
      <c r="L49" s="129"/>
      <c r="M49" s="143" t="s">
        <v>161</v>
      </c>
      <c r="N49" s="138"/>
      <c r="O49" s="125"/>
      <c r="P49" s="142" t="s">
        <v>162</v>
      </c>
      <c r="Q49" s="134"/>
      <c r="R49" s="129"/>
      <c r="S49" s="50"/>
      <c r="T49" s="50"/>
      <c r="U49" s="50"/>
      <c r="V49" s="51"/>
      <c r="W49" s="51"/>
      <c r="X49" s="52"/>
      <c r="Y49" s="52"/>
      <c r="Z49" s="52"/>
    </row>
    <row r="50" spans="1:26" ht="6" customHeight="1" x14ac:dyDescent="0.3">
      <c r="A50" s="123"/>
      <c r="B50" s="123"/>
      <c r="C50" s="123"/>
      <c r="D50" s="123"/>
      <c r="E50" s="123"/>
      <c r="F50" s="123"/>
      <c r="G50" s="123"/>
      <c r="H50" s="123"/>
      <c r="I50" s="123"/>
      <c r="J50" s="123"/>
      <c r="K50" s="135"/>
      <c r="L50" s="127"/>
      <c r="M50" s="135"/>
      <c r="N50" s="126"/>
      <c r="O50" s="127"/>
      <c r="P50" s="123"/>
      <c r="Q50" s="135"/>
      <c r="R50" s="127"/>
      <c r="S50" s="50"/>
      <c r="T50" s="50"/>
      <c r="U50" s="50"/>
      <c r="V50" s="51"/>
      <c r="W50" s="51"/>
      <c r="X50" s="52"/>
      <c r="Y50" s="52"/>
      <c r="Z50" s="52"/>
    </row>
    <row r="51" spans="1:26" ht="12" customHeight="1" x14ac:dyDescent="0.3">
      <c r="A51" s="87" t="s">
        <v>67</v>
      </c>
      <c r="B51" s="79" t="s">
        <v>163</v>
      </c>
      <c r="C51" s="78" t="s">
        <v>114</v>
      </c>
      <c r="D51" s="77" t="s">
        <v>114</v>
      </c>
      <c r="E51" s="78" t="s">
        <v>114</v>
      </c>
      <c r="F51" s="79" t="s">
        <v>114</v>
      </c>
      <c r="G51" s="78" t="s">
        <v>114</v>
      </c>
      <c r="H51" s="79" t="s">
        <v>114</v>
      </c>
      <c r="I51" s="78" t="s">
        <v>114</v>
      </c>
      <c r="J51" s="79" t="s">
        <v>114</v>
      </c>
      <c r="K51" s="141" t="s">
        <v>114</v>
      </c>
      <c r="L51" s="129"/>
      <c r="M51" s="143" t="s">
        <v>114</v>
      </c>
      <c r="N51" s="138"/>
      <c r="O51" s="125"/>
      <c r="P51" s="69" t="s">
        <v>114</v>
      </c>
      <c r="Q51" s="143" t="s">
        <v>114</v>
      </c>
      <c r="R51" s="125"/>
      <c r="S51" s="50"/>
      <c r="T51" s="50"/>
      <c r="U51" s="50"/>
      <c r="V51" s="51" t="s">
        <v>114</v>
      </c>
      <c r="W51" s="51" t="str">
        <f t="shared" ref="W51:W59" si="1">IF(C51="","",IF(C51&gt;=7,"sálico",IF(C51&gt;=4,"salino","")))</f>
        <v/>
      </c>
      <c r="X51" s="52"/>
      <c r="Y51" s="52"/>
      <c r="Z51" s="52"/>
    </row>
    <row r="52" spans="1:26" ht="12" customHeight="1" x14ac:dyDescent="0.3">
      <c r="A52" s="87" t="s">
        <v>67</v>
      </c>
      <c r="B52" s="79" t="s">
        <v>163</v>
      </c>
      <c r="C52" s="78" t="s">
        <v>114</v>
      </c>
      <c r="D52" s="77" t="s">
        <v>114</v>
      </c>
      <c r="E52" s="78" t="s">
        <v>114</v>
      </c>
      <c r="F52" s="79" t="s">
        <v>114</v>
      </c>
      <c r="G52" s="78" t="s">
        <v>114</v>
      </c>
      <c r="H52" s="79" t="s">
        <v>114</v>
      </c>
      <c r="I52" s="78" t="s">
        <v>114</v>
      </c>
      <c r="J52" s="79" t="s">
        <v>114</v>
      </c>
      <c r="K52" s="141" t="s">
        <v>114</v>
      </c>
      <c r="L52" s="108"/>
      <c r="M52" s="141" t="s">
        <v>114</v>
      </c>
      <c r="N52" s="108"/>
      <c r="O52" s="129"/>
      <c r="P52" s="78" t="s">
        <v>114</v>
      </c>
      <c r="Q52" s="141" t="s">
        <v>114</v>
      </c>
      <c r="R52" s="129"/>
      <c r="S52" s="50"/>
      <c r="T52" s="50"/>
      <c r="U52" s="50"/>
      <c r="V52" s="51" t="s">
        <v>114</v>
      </c>
      <c r="W52" s="51" t="str">
        <f t="shared" si="1"/>
        <v/>
      </c>
      <c r="X52" s="52"/>
      <c r="Y52" s="52"/>
      <c r="Z52" s="52"/>
    </row>
    <row r="53" spans="1:26" ht="12" customHeight="1" x14ac:dyDescent="0.3">
      <c r="A53" s="91" t="s">
        <v>114</v>
      </c>
      <c r="B53" s="79" t="s">
        <v>114</v>
      </c>
      <c r="C53" s="78" t="s">
        <v>114</v>
      </c>
      <c r="D53" s="77" t="s">
        <v>114</v>
      </c>
      <c r="E53" s="78" t="s">
        <v>114</v>
      </c>
      <c r="F53" s="79" t="s">
        <v>114</v>
      </c>
      <c r="G53" s="78" t="s">
        <v>114</v>
      </c>
      <c r="H53" s="79" t="s">
        <v>114</v>
      </c>
      <c r="I53" s="78" t="s">
        <v>114</v>
      </c>
      <c r="J53" s="79" t="s">
        <v>114</v>
      </c>
      <c r="K53" s="141" t="s">
        <v>114</v>
      </c>
      <c r="L53" s="108"/>
      <c r="M53" s="141" t="s">
        <v>114</v>
      </c>
      <c r="N53" s="108"/>
      <c r="O53" s="129"/>
      <c r="P53" s="78" t="s">
        <v>114</v>
      </c>
      <c r="Q53" s="141" t="s">
        <v>114</v>
      </c>
      <c r="R53" s="129"/>
      <c r="S53" s="50"/>
      <c r="T53" s="50"/>
      <c r="U53" s="50"/>
      <c r="V53" s="51" t="s">
        <v>114</v>
      </c>
      <c r="W53" s="51" t="str">
        <f t="shared" si="1"/>
        <v/>
      </c>
      <c r="X53" s="52"/>
      <c r="Y53" s="52"/>
      <c r="Z53" s="52"/>
    </row>
    <row r="54" spans="1:26" ht="12" customHeight="1" x14ac:dyDescent="0.3">
      <c r="A54" s="91" t="s">
        <v>114</v>
      </c>
      <c r="B54" s="79" t="s">
        <v>114</v>
      </c>
      <c r="C54" s="78" t="s">
        <v>114</v>
      </c>
      <c r="D54" s="77" t="s">
        <v>114</v>
      </c>
      <c r="E54" s="78" t="s">
        <v>114</v>
      </c>
      <c r="F54" s="79" t="s">
        <v>114</v>
      </c>
      <c r="G54" s="78" t="s">
        <v>114</v>
      </c>
      <c r="H54" s="79" t="s">
        <v>114</v>
      </c>
      <c r="I54" s="78" t="s">
        <v>114</v>
      </c>
      <c r="J54" s="79" t="s">
        <v>114</v>
      </c>
      <c r="K54" s="141" t="s">
        <v>114</v>
      </c>
      <c r="L54" s="108"/>
      <c r="M54" s="141" t="s">
        <v>114</v>
      </c>
      <c r="N54" s="108"/>
      <c r="O54" s="129"/>
      <c r="P54" s="78" t="s">
        <v>114</v>
      </c>
      <c r="Q54" s="141" t="s">
        <v>114</v>
      </c>
      <c r="R54" s="129"/>
      <c r="S54" s="50"/>
      <c r="T54" s="50"/>
      <c r="U54" s="50"/>
      <c r="V54" s="51" t="s">
        <v>114</v>
      </c>
      <c r="W54" s="51" t="str">
        <f t="shared" si="1"/>
        <v/>
      </c>
      <c r="X54" s="52"/>
      <c r="Y54" s="52"/>
      <c r="Z54" s="52"/>
    </row>
    <row r="55" spans="1:26" ht="12" customHeight="1" x14ac:dyDescent="0.3">
      <c r="A55" s="91" t="s">
        <v>114</v>
      </c>
      <c r="B55" s="79" t="s">
        <v>114</v>
      </c>
      <c r="C55" s="78" t="s">
        <v>114</v>
      </c>
      <c r="D55" s="77" t="s">
        <v>114</v>
      </c>
      <c r="E55" s="78" t="s">
        <v>114</v>
      </c>
      <c r="F55" s="79" t="s">
        <v>114</v>
      </c>
      <c r="G55" s="78" t="s">
        <v>114</v>
      </c>
      <c r="H55" s="79" t="s">
        <v>114</v>
      </c>
      <c r="I55" s="78" t="s">
        <v>114</v>
      </c>
      <c r="J55" s="79" t="s">
        <v>114</v>
      </c>
      <c r="K55" s="141" t="s">
        <v>114</v>
      </c>
      <c r="L55" s="108"/>
      <c r="M55" s="141" t="s">
        <v>114</v>
      </c>
      <c r="N55" s="108"/>
      <c r="O55" s="129"/>
      <c r="P55" s="78" t="s">
        <v>114</v>
      </c>
      <c r="Q55" s="141" t="s">
        <v>114</v>
      </c>
      <c r="R55" s="129"/>
      <c r="S55" s="50"/>
      <c r="T55" s="50"/>
      <c r="U55" s="50"/>
      <c r="V55" s="51" t="s">
        <v>114</v>
      </c>
      <c r="W55" s="51" t="str">
        <f t="shared" si="1"/>
        <v/>
      </c>
      <c r="X55" s="52"/>
      <c r="Y55" s="52"/>
      <c r="Z55" s="52"/>
    </row>
    <row r="56" spans="1:26" ht="12" customHeight="1" x14ac:dyDescent="0.3">
      <c r="A56" s="91" t="s">
        <v>114</v>
      </c>
      <c r="B56" s="79" t="s">
        <v>114</v>
      </c>
      <c r="C56" s="78" t="s">
        <v>114</v>
      </c>
      <c r="D56" s="77" t="s">
        <v>114</v>
      </c>
      <c r="E56" s="78" t="s">
        <v>114</v>
      </c>
      <c r="F56" s="79" t="s">
        <v>114</v>
      </c>
      <c r="G56" s="78" t="s">
        <v>114</v>
      </c>
      <c r="H56" s="79" t="s">
        <v>114</v>
      </c>
      <c r="I56" s="78" t="s">
        <v>114</v>
      </c>
      <c r="J56" s="79" t="s">
        <v>114</v>
      </c>
      <c r="K56" s="141" t="s">
        <v>114</v>
      </c>
      <c r="L56" s="108"/>
      <c r="M56" s="141" t="s">
        <v>114</v>
      </c>
      <c r="N56" s="108"/>
      <c r="O56" s="129"/>
      <c r="P56" s="78" t="s">
        <v>114</v>
      </c>
      <c r="Q56" s="141" t="s">
        <v>114</v>
      </c>
      <c r="R56" s="129"/>
      <c r="S56" s="50"/>
      <c r="T56" s="50"/>
      <c r="U56" s="50"/>
      <c r="V56" s="51" t="s">
        <v>114</v>
      </c>
      <c r="W56" s="51" t="str">
        <f t="shared" si="1"/>
        <v/>
      </c>
      <c r="X56" s="52"/>
      <c r="Y56" s="52"/>
      <c r="Z56" s="52"/>
    </row>
    <row r="57" spans="1:26" ht="12" customHeight="1" x14ac:dyDescent="0.3">
      <c r="A57" s="91" t="s">
        <v>114</v>
      </c>
      <c r="B57" s="79" t="s">
        <v>114</v>
      </c>
      <c r="C57" s="78" t="s">
        <v>114</v>
      </c>
      <c r="D57" s="77" t="s">
        <v>114</v>
      </c>
      <c r="E57" s="78" t="s">
        <v>114</v>
      </c>
      <c r="F57" s="79" t="s">
        <v>114</v>
      </c>
      <c r="G57" s="78" t="s">
        <v>114</v>
      </c>
      <c r="H57" s="79" t="s">
        <v>114</v>
      </c>
      <c r="I57" s="78" t="s">
        <v>114</v>
      </c>
      <c r="J57" s="79" t="s">
        <v>114</v>
      </c>
      <c r="K57" s="141" t="s">
        <v>114</v>
      </c>
      <c r="L57" s="108"/>
      <c r="M57" s="141" t="s">
        <v>114</v>
      </c>
      <c r="N57" s="108"/>
      <c r="O57" s="129"/>
      <c r="P57" s="78" t="s">
        <v>114</v>
      </c>
      <c r="Q57" s="141" t="s">
        <v>114</v>
      </c>
      <c r="R57" s="129"/>
      <c r="S57" s="50"/>
      <c r="T57" s="50"/>
      <c r="U57" s="50"/>
      <c r="V57" s="51" t="s">
        <v>114</v>
      </c>
      <c r="W57" s="51" t="str">
        <f t="shared" si="1"/>
        <v/>
      </c>
      <c r="X57" s="52"/>
      <c r="Y57" s="52"/>
      <c r="Z57" s="52"/>
    </row>
    <row r="58" spans="1:26" ht="12" customHeight="1" x14ac:dyDescent="0.3">
      <c r="A58" s="91" t="s">
        <v>114</v>
      </c>
      <c r="B58" s="79" t="s">
        <v>114</v>
      </c>
      <c r="C58" s="78" t="s">
        <v>114</v>
      </c>
      <c r="D58" s="77" t="s">
        <v>114</v>
      </c>
      <c r="E58" s="78" t="s">
        <v>114</v>
      </c>
      <c r="F58" s="79" t="s">
        <v>114</v>
      </c>
      <c r="G58" s="78" t="s">
        <v>114</v>
      </c>
      <c r="H58" s="79" t="s">
        <v>114</v>
      </c>
      <c r="I58" s="78" t="s">
        <v>114</v>
      </c>
      <c r="J58" s="79" t="s">
        <v>114</v>
      </c>
      <c r="K58" s="141" t="s">
        <v>114</v>
      </c>
      <c r="L58" s="108"/>
      <c r="M58" s="141" t="s">
        <v>114</v>
      </c>
      <c r="N58" s="108"/>
      <c r="O58" s="129"/>
      <c r="P58" s="78" t="s">
        <v>114</v>
      </c>
      <c r="Q58" s="141" t="s">
        <v>114</v>
      </c>
      <c r="R58" s="129"/>
      <c r="S58" s="50"/>
      <c r="T58" s="50"/>
      <c r="U58" s="50"/>
      <c r="V58" s="51" t="s">
        <v>114</v>
      </c>
      <c r="W58" s="51" t="str">
        <f t="shared" si="1"/>
        <v/>
      </c>
      <c r="X58" s="52"/>
      <c r="Y58" s="52"/>
      <c r="Z58" s="52"/>
    </row>
    <row r="59" spans="1:26" ht="12" customHeight="1" x14ac:dyDescent="0.3">
      <c r="A59" s="92" t="s">
        <v>114</v>
      </c>
      <c r="B59" s="84" t="s">
        <v>114</v>
      </c>
      <c r="C59" s="83" t="s">
        <v>114</v>
      </c>
      <c r="D59" s="93" t="s">
        <v>114</v>
      </c>
      <c r="E59" s="83" t="s">
        <v>114</v>
      </c>
      <c r="F59" s="84" t="s">
        <v>114</v>
      </c>
      <c r="G59" s="83" t="s">
        <v>114</v>
      </c>
      <c r="H59" s="84" t="s">
        <v>114</v>
      </c>
      <c r="I59" s="83" t="s">
        <v>114</v>
      </c>
      <c r="J59" s="84" t="s">
        <v>114</v>
      </c>
      <c r="K59" s="140" t="s">
        <v>114</v>
      </c>
      <c r="L59" s="127"/>
      <c r="M59" s="140" t="s">
        <v>114</v>
      </c>
      <c r="N59" s="126"/>
      <c r="O59" s="127"/>
      <c r="P59" s="85" t="s">
        <v>114</v>
      </c>
      <c r="Q59" s="140" t="s">
        <v>114</v>
      </c>
      <c r="R59" s="127"/>
      <c r="S59" s="50"/>
      <c r="T59" s="50"/>
      <c r="U59" s="50"/>
      <c r="V59" s="51" t="s">
        <v>114</v>
      </c>
      <c r="W59" s="51" t="str">
        <f t="shared" si="1"/>
        <v/>
      </c>
      <c r="X59" s="52"/>
      <c r="Y59" s="52"/>
      <c r="Z59" s="52"/>
    </row>
    <row r="60" spans="1:26" ht="12" customHeight="1" x14ac:dyDescent="0.3">
      <c r="A60" s="94" t="s">
        <v>164</v>
      </c>
      <c r="B60" s="95"/>
      <c r="C60" s="63"/>
      <c r="D60" s="63"/>
      <c r="E60" s="63"/>
      <c r="F60" s="63"/>
      <c r="G60" s="63"/>
      <c r="H60" s="63"/>
      <c r="I60" s="63"/>
      <c r="J60" s="63"/>
      <c r="K60" s="149"/>
      <c r="L60" s="108"/>
      <c r="M60" s="149"/>
      <c r="N60" s="108"/>
      <c r="O60" s="108"/>
      <c r="P60" s="63"/>
      <c r="Q60" s="149"/>
      <c r="R60" s="108"/>
      <c r="S60" s="50"/>
      <c r="T60" s="50"/>
      <c r="U60" s="50"/>
      <c r="V60" s="51"/>
      <c r="W60" s="51"/>
      <c r="X60" s="52"/>
      <c r="Y60" s="52"/>
      <c r="Z60" s="52"/>
    </row>
    <row r="61" spans="1:26" ht="12" customHeight="1" x14ac:dyDescent="0.3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150"/>
      <c r="L61" s="108"/>
      <c r="M61" s="150"/>
      <c r="N61" s="108"/>
      <c r="O61" s="108"/>
      <c r="P61" s="52"/>
      <c r="Q61" s="150"/>
      <c r="R61" s="108"/>
      <c r="S61" s="50"/>
      <c r="T61" s="50"/>
      <c r="U61" s="50"/>
      <c r="V61" s="51"/>
      <c r="W61" s="51"/>
      <c r="X61" s="52"/>
      <c r="Y61" s="52"/>
      <c r="Z61" s="52"/>
    </row>
    <row r="62" spans="1:26" ht="12" customHeight="1" x14ac:dyDescent="0.3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150"/>
      <c r="L62" s="108"/>
      <c r="M62" s="150"/>
      <c r="N62" s="108"/>
      <c r="O62" s="108"/>
      <c r="P62" s="52"/>
      <c r="Q62" s="150"/>
      <c r="R62" s="108"/>
      <c r="S62" s="50"/>
      <c r="T62" s="50"/>
      <c r="U62" s="50"/>
      <c r="V62" s="51"/>
      <c r="W62" s="51"/>
      <c r="X62" s="52"/>
      <c r="Y62" s="52"/>
      <c r="Z62" s="52"/>
    </row>
    <row r="63" spans="1:26" ht="12" customHeight="1" x14ac:dyDescent="0.3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150"/>
      <c r="L63" s="108"/>
      <c r="M63" s="150"/>
      <c r="N63" s="108"/>
      <c r="O63" s="108"/>
      <c r="P63" s="52"/>
      <c r="Q63" s="150"/>
      <c r="R63" s="108"/>
      <c r="S63" s="50"/>
      <c r="T63" s="50"/>
      <c r="U63" s="50"/>
      <c r="V63" s="51"/>
      <c r="W63" s="51"/>
      <c r="X63" s="52"/>
      <c r="Y63" s="52"/>
      <c r="Z63" s="52"/>
    </row>
    <row r="64" spans="1:26" ht="12" customHeight="1" x14ac:dyDescent="0.3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0"/>
      <c r="T64" s="50"/>
      <c r="U64" s="50"/>
      <c r="V64" s="51"/>
      <c r="W64" s="51"/>
      <c r="X64" s="52"/>
      <c r="Y64" s="52"/>
      <c r="Z64" s="52"/>
    </row>
    <row r="65" spans="1:26" ht="12" customHeight="1" x14ac:dyDescent="0.3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0"/>
      <c r="T65" s="50"/>
      <c r="U65" s="50"/>
      <c r="V65" s="51"/>
      <c r="W65" s="51"/>
      <c r="X65" s="52"/>
      <c r="Y65" s="52"/>
      <c r="Z65" s="52"/>
    </row>
    <row r="66" spans="1:26" ht="12" customHeight="1" x14ac:dyDescent="0.3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0"/>
      <c r="T66" s="50"/>
      <c r="U66" s="50"/>
      <c r="V66" s="51"/>
      <c r="W66" s="51"/>
      <c r="X66" s="52"/>
      <c r="Y66" s="52"/>
      <c r="Z66" s="52"/>
    </row>
    <row r="67" spans="1:26" ht="12" customHeight="1" x14ac:dyDescent="0.3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0"/>
      <c r="T67" s="50"/>
      <c r="U67" s="50"/>
      <c r="V67" s="51"/>
      <c r="W67" s="51"/>
      <c r="X67" s="52"/>
      <c r="Y67" s="52"/>
      <c r="Z67" s="52"/>
    </row>
    <row r="68" spans="1:26" ht="12" customHeight="1" x14ac:dyDescent="0.3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0"/>
      <c r="T68" s="50"/>
      <c r="U68" s="50"/>
      <c r="V68" s="51"/>
      <c r="W68" s="51"/>
      <c r="X68" s="52"/>
      <c r="Y68" s="52"/>
      <c r="Z68" s="52"/>
    </row>
    <row r="69" spans="1:26" ht="12" customHeight="1" x14ac:dyDescent="0.3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0"/>
      <c r="T69" s="50"/>
      <c r="U69" s="50"/>
      <c r="V69" s="51"/>
      <c r="W69" s="51"/>
      <c r="X69" s="52"/>
      <c r="Y69" s="52"/>
      <c r="Z69" s="52"/>
    </row>
    <row r="70" spans="1:26" ht="12" customHeight="1" x14ac:dyDescent="0.3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0"/>
      <c r="T70" s="50"/>
      <c r="U70" s="50"/>
      <c r="V70" s="51"/>
      <c r="W70" s="51"/>
      <c r="X70" s="52"/>
      <c r="Y70" s="52"/>
      <c r="Z70" s="52"/>
    </row>
    <row r="71" spans="1:26" ht="12" customHeight="1" x14ac:dyDescent="0.3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0"/>
      <c r="T71" s="50"/>
      <c r="U71" s="50"/>
      <c r="V71" s="51"/>
      <c r="W71" s="51"/>
      <c r="X71" s="52"/>
      <c r="Y71" s="52"/>
      <c r="Z71" s="52"/>
    </row>
    <row r="72" spans="1:26" ht="12" customHeight="1" x14ac:dyDescent="0.3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0"/>
      <c r="T72" s="50"/>
      <c r="U72" s="50"/>
      <c r="V72" s="51"/>
      <c r="W72" s="51"/>
      <c r="X72" s="52"/>
      <c r="Y72" s="52"/>
      <c r="Z72" s="52"/>
    </row>
    <row r="73" spans="1:26" ht="12" customHeight="1" x14ac:dyDescent="0.3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0"/>
      <c r="T73" s="50"/>
      <c r="U73" s="50"/>
      <c r="V73" s="51"/>
      <c r="W73" s="51"/>
      <c r="X73" s="52"/>
      <c r="Y73" s="52"/>
      <c r="Z73" s="52"/>
    </row>
    <row r="74" spans="1:26" ht="12" customHeight="1" x14ac:dyDescent="0.3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0"/>
      <c r="T74" s="50"/>
      <c r="U74" s="50"/>
      <c r="V74" s="51"/>
      <c r="W74" s="51"/>
      <c r="X74" s="52"/>
      <c r="Y74" s="52"/>
      <c r="Z74" s="52"/>
    </row>
    <row r="75" spans="1:26" ht="12" customHeight="1" x14ac:dyDescent="0.3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0"/>
      <c r="T75" s="50"/>
      <c r="U75" s="50"/>
      <c r="V75" s="51"/>
      <c r="W75" s="51"/>
      <c r="X75" s="52"/>
      <c r="Y75" s="52"/>
      <c r="Z75" s="52"/>
    </row>
    <row r="76" spans="1:26" ht="12" customHeight="1" x14ac:dyDescent="0.3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0"/>
      <c r="T76" s="50"/>
      <c r="U76" s="50"/>
      <c r="V76" s="51"/>
      <c r="W76" s="51"/>
      <c r="X76" s="52"/>
      <c r="Y76" s="52"/>
      <c r="Z76" s="52"/>
    </row>
    <row r="77" spans="1:26" ht="12" customHeight="1" x14ac:dyDescent="0.3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0"/>
      <c r="T77" s="50"/>
      <c r="U77" s="50"/>
      <c r="V77" s="51"/>
      <c r="W77" s="51"/>
      <c r="X77" s="52"/>
      <c r="Y77" s="52"/>
      <c r="Z77" s="52"/>
    </row>
    <row r="78" spans="1:26" ht="12" customHeight="1" x14ac:dyDescent="0.3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0"/>
      <c r="T78" s="50"/>
      <c r="U78" s="50"/>
      <c r="V78" s="51"/>
      <c r="W78" s="51"/>
      <c r="X78" s="52"/>
      <c r="Y78" s="52"/>
      <c r="Z78" s="52"/>
    </row>
    <row r="79" spans="1:26" ht="12" customHeight="1" x14ac:dyDescent="0.3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0"/>
      <c r="T79" s="50"/>
      <c r="U79" s="50"/>
      <c r="V79" s="51"/>
      <c r="W79" s="51"/>
      <c r="X79" s="52"/>
      <c r="Y79" s="52"/>
      <c r="Z79" s="52"/>
    </row>
    <row r="80" spans="1:26" ht="12" customHeight="1" x14ac:dyDescent="0.3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0"/>
      <c r="T80" s="50"/>
      <c r="U80" s="50"/>
      <c r="V80" s="51"/>
      <c r="W80" s="51"/>
      <c r="X80" s="52"/>
      <c r="Y80" s="52"/>
      <c r="Z80" s="52"/>
    </row>
    <row r="81" spans="1:26" ht="12" customHeight="1" x14ac:dyDescent="0.3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0"/>
      <c r="T81" s="50"/>
      <c r="U81" s="50"/>
      <c r="V81" s="51"/>
      <c r="W81" s="51"/>
      <c r="X81" s="52"/>
      <c r="Y81" s="52"/>
      <c r="Z81" s="52"/>
    </row>
    <row r="82" spans="1:26" ht="12" customHeight="1" x14ac:dyDescent="0.3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0"/>
      <c r="T82" s="50"/>
      <c r="U82" s="50"/>
      <c r="V82" s="51"/>
      <c r="W82" s="51"/>
      <c r="X82" s="52"/>
      <c r="Y82" s="52"/>
      <c r="Z82" s="52"/>
    </row>
    <row r="83" spans="1:26" ht="12" customHeight="1" x14ac:dyDescent="0.3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0"/>
      <c r="T83" s="50"/>
      <c r="U83" s="50"/>
      <c r="V83" s="51"/>
      <c r="W83" s="51"/>
      <c r="X83" s="52"/>
      <c r="Y83" s="52"/>
      <c r="Z83" s="52"/>
    </row>
    <row r="84" spans="1:26" ht="12" customHeight="1" x14ac:dyDescent="0.3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0"/>
      <c r="T84" s="50"/>
      <c r="U84" s="50"/>
      <c r="V84" s="51"/>
      <c r="W84" s="51"/>
      <c r="X84" s="52"/>
      <c r="Y84" s="52"/>
      <c r="Z84" s="52"/>
    </row>
    <row r="85" spans="1:26" ht="12" customHeight="1" x14ac:dyDescent="0.3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0"/>
      <c r="T85" s="50"/>
      <c r="U85" s="50"/>
      <c r="V85" s="51"/>
      <c r="W85" s="51"/>
      <c r="X85" s="52"/>
      <c r="Y85" s="52"/>
      <c r="Z85" s="52"/>
    </row>
    <row r="86" spans="1:26" ht="12" customHeight="1" x14ac:dyDescent="0.3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0"/>
      <c r="T86" s="50"/>
      <c r="U86" s="50"/>
      <c r="V86" s="51"/>
      <c r="W86" s="51"/>
      <c r="X86" s="52"/>
      <c r="Y86" s="52"/>
      <c r="Z86" s="52"/>
    </row>
    <row r="87" spans="1:26" ht="12" customHeight="1" x14ac:dyDescent="0.3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0"/>
      <c r="T87" s="50"/>
      <c r="U87" s="50"/>
      <c r="V87" s="51"/>
      <c r="W87" s="51"/>
      <c r="X87" s="52"/>
      <c r="Y87" s="52"/>
      <c r="Z87" s="52"/>
    </row>
    <row r="88" spans="1:26" ht="12" customHeight="1" x14ac:dyDescent="0.3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0"/>
      <c r="T88" s="50"/>
      <c r="U88" s="50"/>
      <c r="V88" s="51"/>
      <c r="W88" s="51"/>
      <c r="X88" s="52"/>
      <c r="Y88" s="52"/>
      <c r="Z88" s="52"/>
    </row>
    <row r="89" spans="1:26" ht="12" customHeight="1" x14ac:dyDescent="0.3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0"/>
      <c r="T89" s="50"/>
      <c r="U89" s="50"/>
      <c r="V89" s="51"/>
      <c r="W89" s="51"/>
      <c r="X89" s="52"/>
      <c r="Y89" s="52"/>
      <c r="Z89" s="52"/>
    </row>
    <row r="90" spans="1:26" ht="12" customHeight="1" x14ac:dyDescent="0.3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0"/>
      <c r="T90" s="50"/>
      <c r="U90" s="50"/>
      <c r="V90" s="51"/>
      <c r="W90" s="51"/>
      <c r="X90" s="52"/>
      <c r="Y90" s="52"/>
      <c r="Z90" s="52"/>
    </row>
    <row r="91" spans="1:26" ht="12" customHeight="1" x14ac:dyDescent="0.3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0"/>
      <c r="T91" s="50"/>
      <c r="U91" s="50"/>
      <c r="V91" s="51"/>
      <c r="W91" s="51"/>
      <c r="X91" s="52"/>
      <c r="Y91" s="52"/>
      <c r="Z91" s="52"/>
    </row>
    <row r="92" spans="1:26" ht="12" customHeight="1" x14ac:dyDescent="0.3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0"/>
      <c r="T92" s="50"/>
      <c r="U92" s="50"/>
      <c r="V92" s="51"/>
      <c r="W92" s="51"/>
      <c r="X92" s="52"/>
      <c r="Y92" s="52"/>
      <c r="Z92" s="52"/>
    </row>
    <row r="93" spans="1:26" ht="12" customHeight="1" x14ac:dyDescent="0.3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0"/>
      <c r="T93" s="50"/>
      <c r="U93" s="50"/>
      <c r="V93" s="51"/>
      <c r="W93" s="51"/>
      <c r="X93" s="52"/>
      <c r="Y93" s="52"/>
      <c r="Z93" s="52"/>
    </row>
    <row r="94" spans="1:26" ht="12" customHeight="1" x14ac:dyDescent="0.3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0"/>
      <c r="T94" s="50"/>
      <c r="U94" s="50"/>
      <c r="V94" s="51"/>
      <c r="W94" s="51"/>
      <c r="X94" s="52"/>
      <c r="Y94" s="52"/>
      <c r="Z94" s="52"/>
    </row>
    <row r="95" spans="1:26" ht="12" customHeight="1" x14ac:dyDescent="0.3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0"/>
      <c r="T95" s="50"/>
      <c r="U95" s="50"/>
      <c r="V95" s="51"/>
      <c r="W95" s="51"/>
      <c r="X95" s="52"/>
      <c r="Y95" s="52"/>
      <c r="Z95" s="52"/>
    </row>
    <row r="96" spans="1:26" ht="12" customHeight="1" x14ac:dyDescent="0.3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0"/>
      <c r="T96" s="50"/>
      <c r="U96" s="50"/>
      <c r="V96" s="51"/>
      <c r="W96" s="51"/>
      <c r="X96" s="52"/>
      <c r="Y96" s="52"/>
      <c r="Z96" s="52"/>
    </row>
    <row r="97" spans="1:26" ht="12" customHeight="1" x14ac:dyDescent="0.3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0"/>
      <c r="T97" s="50"/>
      <c r="U97" s="50"/>
      <c r="V97" s="51"/>
      <c r="W97" s="51"/>
      <c r="X97" s="52"/>
      <c r="Y97" s="52"/>
      <c r="Z97" s="52"/>
    </row>
    <row r="98" spans="1:26" ht="12" customHeight="1" x14ac:dyDescent="0.3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0"/>
      <c r="T98" s="50"/>
      <c r="U98" s="50"/>
      <c r="V98" s="51"/>
      <c r="W98" s="51"/>
      <c r="X98" s="52"/>
      <c r="Y98" s="52"/>
      <c r="Z98" s="52"/>
    </row>
    <row r="99" spans="1:26" ht="12" customHeight="1" x14ac:dyDescent="0.3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0"/>
      <c r="T99" s="50"/>
      <c r="U99" s="50"/>
      <c r="V99" s="51"/>
      <c r="W99" s="51"/>
      <c r="X99" s="52"/>
      <c r="Y99" s="52"/>
      <c r="Z99" s="52"/>
    </row>
    <row r="100" spans="1:26" ht="12" customHeight="1" x14ac:dyDescent="0.3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0"/>
      <c r="T100" s="50"/>
      <c r="U100" s="50"/>
      <c r="V100" s="51"/>
      <c r="W100" s="51"/>
      <c r="X100" s="52"/>
      <c r="Y100" s="52"/>
      <c r="Z100" s="52"/>
    </row>
    <row r="101" spans="1:26" ht="12" customHeight="1" x14ac:dyDescent="0.3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0"/>
      <c r="T101" s="50"/>
      <c r="U101" s="50"/>
      <c r="V101" s="51"/>
      <c r="W101" s="51"/>
      <c r="X101" s="52"/>
      <c r="Y101" s="52"/>
      <c r="Z101" s="52"/>
    </row>
    <row r="102" spans="1:26" ht="12" customHeight="1" x14ac:dyDescent="0.3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0"/>
      <c r="T102" s="50"/>
      <c r="U102" s="50"/>
      <c r="V102" s="51"/>
      <c r="W102" s="51"/>
      <c r="X102" s="52"/>
      <c r="Y102" s="52"/>
      <c r="Z102" s="52"/>
    </row>
    <row r="103" spans="1:26" ht="12" customHeight="1" x14ac:dyDescent="0.3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0"/>
      <c r="T103" s="50"/>
      <c r="U103" s="50"/>
      <c r="V103" s="51"/>
      <c r="W103" s="51"/>
      <c r="X103" s="52"/>
      <c r="Y103" s="52"/>
      <c r="Z103" s="52"/>
    </row>
    <row r="104" spans="1:26" ht="12" customHeight="1" x14ac:dyDescent="0.3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0"/>
      <c r="T104" s="50"/>
      <c r="U104" s="50"/>
      <c r="V104" s="51"/>
      <c r="W104" s="51"/>
      <c r="X104" s="52"/>
      <c r="Y104" s="52"/>
      <c r="Z104" s="52"/>
    </row>
    <row r="105" spans="1:26" ht="12" customHeight="1" x14ac:dyDescent="0.3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0"/>
      <c r="T105" s="50"/>
      <c r="U105" s="50"/>
      <c r="V105" s="51"/>
      <c r="W105" s="51"/>
      <c r="X105" s="52"/>
      <c r="Y105" s="52"/>
      <c r="Z105" s="52"/>
    </row>
    <row r="106" spans="1:26" ht="12" customHeight="1" x14ac:dyDescent="0.3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0"/>
      <c r="T106" s="50"/>
      <c r="U106" s="50"/>
      <c r="V106" s="51"/>
      <c r="W106" s="51"/>
      <c r="X106" s="52"/>
      <c r="Y106" s="52"/>
      <c r="Z106" s="52"/>
    </row>
    <row r="107" spans="1:26" ht="12" customHeight="1" x14ac:dyDescent="0.3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0"/>
      <c r="T107" s="50"/>
      <c r="U107" s="50"/>
      <c r="V107" s="51"/>
      <c r="W107" s="51"/>
      <c r="X107" s="52"/>
      <c r="Y107" s="52"/>
      <c r="Z107" s="52"/>
    </row>
    <row r="108" spans="1:26" ht="12" customHeight="1" x14ac:dyDescent="0.3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0"/>
      <c r="T108" s="50"/>
      <c r="U108" s="50"/>
      <c r="V108" s="51"/>
      <c r="W108" s="51"/>
      <c r="X108" s="52"/>
      <c r="Y108" s="52"/>
      <c r="Z108" s="52"/>
    </row>
    <row r="109" spans="1:26" ht="12" customHeight="1" x14ac:dyDescent="0.3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0"/>
      <c r="T109" s="50"/>
      <c r="U109" s="50"/>
      <c r="V109" s="51"/>
      <c r="W109" s="51"/>
      <c r="X109" s="52"/>
      <c r="Y109" s="52"/>
      <c r="Z109" s="52"/>
    </row>
    <row r="110" spans="1:26" ht="12" customHeight="1" x14ac:dyDescent="0.3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0"/>
      <c r="T110" s="50"/>
      <c r="U110" s="50"/>
      <c r="V110" s="51"/>
      <c r="W110" s="51"/>
      <c r="X110" s="52"/>
      <c r="Y110" s="52"/>
      <c r="Z110" s="52"/>
    </row>
    <row r="111" spans="1:26" ht="12" customHeight="1" x14ac:dyDescent="0.3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0"/>
      <c r="T111" s="50"/>
      <c r="U111" s="50"/>
      <c r="V111" s="51"/>
      <c r="W111" s="51"/>
      <c r="X111" s="52"/>
      <c r="Y111" s="52"/>
      <c r="Z111" s="52"/>
    </row>
    <row r="112" spans="1:26" ht="12" customHeight="1" x14ac:dyDescent="0.3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0"/>
      <c r="T112" s="50"/>
      <c r="U112" s="50"/>
      <c r="V112" s="51"/>
      <c r="W112" s="51"/>
      <c r="X112" s="52"/>
      <c r="Y112" s="52"/>
      <c r="Z112" s="52"/>
    </row>
    <row r="113" spans="1:26" ht="12" customHeight="1" x14ac:dyDescent="0.3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0"/>
      <c r="T113" s="50"/>
      <c r="U113" s="50"/>
      <c r="V113" s="51"/>
      <c r="W113" s="51"/>
      <c r="X113" s="52"/>
      <c r="Y113" s="52"/>
      <c r="Z113" s="52"/>
    </row>
    <row r="114" spans="1:26" ht="12" customHeight="1" x14ac:dyDescent="0.3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0"/>
      <c r="T114" s="50"/>
      <c r="U114" s="50"/>
      <c r="V114" s="51"/>
      <c r="W114" s="51"/>
      <c r="X114" s="52"/>
      <c r="Y114" s="52"/>
      <c r="Z114" s="52"/>
    </row>
    <row r="115" spans="1:26" ht="12" customHeight="1" x14ac:dyDescent="0.3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0"/>
      <c r="T115" s="50"/>
      <c r="U115" s="50"/>
      <c r="V115" s="51"/>
      <c r="W115" s="51"/>
      <c r="X115" s="52"/>
      <c r="Y115" s="52"/>
      <c r="Z115" s="52"/>
    </row>
    <row r="116" spans="1:26" ht="12" customHeight="1" x14ac:dyDescent="0.3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0"/>
      <c r="T116" s="50"/>
      <c r="U116" s="50"/>
      <c r="V116" s="51"/>
      <c r="W116" s="51"/>
      <c r="X116" s="52"/>
      <c r="Y116" s="52"/>
      <c r="Z116" s="52"/>
    </row>
    <row r="117" spans="1:26" ht="12" customHeight="1" x14ac:dyDescent="0.3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0"/>
      <c r="T117" s="50"/>
      <c r="U117" s="50"/>
      <c r="V117" s="51"/>
      <c r="W117" s="51"/>
      <c r="X117" s="52"/>
      <c r="Y117" s="52"/>
      <c r="Z117" s="52"/>
    </row>
    <row r="118" spans="1:26" ht="12" customHeight="1" x14ac:dyDescent="0.3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0"/>
      <c r="T118" s="50"/>
      <c r="U118" s="50"/>
      <c r="V118" s="51"/>
      <c r="W118" s="51"/>
      <c r="X118" s="52"/>
      <c r="Y118" s="52"/>
      <c r="Z118" s="52"/>
    </row>
    <row r="119" spans="1:26" ht="12" customHeight="1" x14ac:dyDescent="0.3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0"/>
      <c r="T119" s="50"/>
      <c r="U119" s="50"/>
      <c r="V119" s="51"/>
      <c r="W119" s="51"/>
      <c r="X119" s="52"/>
      <c r="Y119" s="52"/>
      <c r="Z119" s="52"/>
    </row>
    <row r="120" spans="1:26" ht="12" customHeight="1" x14ac:dyDescent="0.3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0"/>
      <c r="T120" s="50"/>
      <c r="U120" s="50"/>
      <c r="V120" s="51"/>
      <c r="W120" s="51"/>
      <c r="X120" s="52"/>
      <c r="Y120" s="52"/>
      <c r="Z120" s="52"/>
    </row>
    <row r="121" spans="1:26" ht="12" customHeight="1" x14ac:dyDescent="0.3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0"/>
      <c r="T121" s="50"/>
      <c r="U121" s="50"/>
      <c r="V121" s="51"/>
      <c r="W121" s="51"/>
      <c r="X121" s="52"/>
      <c r="Y121" s="52"/>
      <c r="Z121" s="52"/>
    </row>
    <row r="122" spans="1:26" ht="12" customHeight="1" x14ac:dyDescent="0.3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0"/>
      <c r="T122" s="50"/>
      <c r="U122" s="50"/>
      <c r="V122" s="51"/>
      <c r="W122" s="51"/>
      <c r="X122" s="52"/>
      <c r="Y122" s="52"/>
      <c r="Z122" s="52"/>
    </row>
    <row r="123" spans="1:26" ht="12" customHeight="1" x14ac:dyDescent="0.3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0"/>
      <c r="T123" s="50"/>
      <c r="U123" s="50"/>
      <c r="V123" s="51"/>
      <c r="W123" s="51"/>
      <c r="X123" s="52"/>
      <c r="Y123" s="52"/>
      <c r="Z123" s="52"/>
    </row>
    <row r="124" spans="1:26" ht="12" customHeight="1" x14ac:dyDescent="0.3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0"/>
      <c r="T124" s="50"/>
      <c r="U124" s="50"/>
      <c r="V124" s="51"/>
      <c r="W124" s="51"/>
      <c r="X124" s="52"/>
      <c r="Y124" s="52"/>
      <c r="Z124" s="52"/>
    </row>
    <row r="125" spans="1:26" ht="12" customHeight="1" x14ac:dyDescent="0.3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0"/>
      <c r="T125" s="50"/>
      <c r="U125" s="50"/>
      <c r="V125" s="51"/>
      <c r="W125" s="51"/>
      <c r="X125" s="52"/>
      <c r="Y125" s="52"/>
      <c r="Z125" s="52"/>
    </row>
    <row r="126" spans="1:26" ht="12" customHeight="1" x14ac:dyDescent="0.3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0"/>
      <c r="T126" s="50"/>
      <c r="U126" s="50"/>
      <c r="V126" s="51"/>
      <c r="W126" s="51"/>
      <c r="X126" s="52"/>
      <c r="Y126" s="52"/>
      <c r="Z126" s="52"/>
    </row>
    <row r="127" spans="1:26" ht="12" customHeight="1" x14ac:dyDescent="0.3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0"/>
      <c r="T127" s="50"/>
      <c r="U127" s="50"/>
      <c r="V127" s="51"/>
      <c r="W127" s="51"/>
      <c r="X127" s="52"/>
      <c r="Y127" s="52"/>
      <c r="Z127" s="52"/>
    </row>
    <row r="128" spans="1:26" ht="12" customHeight="1" x14ac:dyDescent="0.3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0"/>
      <c r="T128" s="50"/>
      <c r="U128" s="50"/>
      <c r="V128" s="51"/>
      <c r="W128" s="51"/>
      <c r="X128" s="52"/>
      <c r="Y128" s="52"/>
      <c r="Z128" s="52"/>
    </row>
    <row r="129" spans="1:26" ht="12" customHeight="1" x14ac:dyDescent="0.3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0"/>
      <c r="T129" s="50"/>
      <c r="U129" s="50"/>
      <c r="V129" s="51"/>
      <c r="W129" s="51"/>
      <c r="X129" s="52"/>
      <c r="Y129" s="52"/>
      <c r="Z129" s="52"/>
    </row>
    <row r="130" spans="1:26" ht="12" customHeight="1" x14ac:dyDescent="0.3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0"/>
      <c r="T130" s="50"/>
      <c r="U130" s="50"/>
      <c r="V130" s="51"/>
      <c r="W130" s="51"/>
      <c r="X130" s="52"/>
      <c r="Y130" s="52"/>
      <c r="Z130" s="52"/>
    </row>
    <row r="131" spans="1:26" ht="12" customHeight="1" x14ac:dyDescent="0.3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0"/>
      <c r="T131" s="50"/>
      <c r="U131" s="50"/>
      <c r="V131" s="51"/>
      <c r="W131" s="51"/>
      <c r="X131" s="52"/>
      <c r="Y131" s="52"/>
      <c r="Z131" s="52"/>
    </row>
    <row r="132" spans="1:26" ht="12" customHeight="1" x14ac:dyDescent="0.3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0"/>
      <c r="T132" s="50"/>
      <c r="U132" s="50"/>
      <c r="V132" s="51"/>
      <c r="W132" s="51"/>
      <c r="X132" s="52"/>
      <c r="Y132" s="52"/>
      <c r="Z132" s="52"/>
    </row>
    <row r="133" spans="1:26" ht="12" customHeight="1" x14ac:dyDescent="0.3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0"/>
      <c r="T133" s="50"/>
      <c r="U133" s="50"/>
      <c r="V133" s="51"/>
      <c r="W133" s="51"/>
      <c r="X133" s="52"/>
      <c r="Y133" s="52"/>
      <c r="Z133" s="52"/>
    </row>
    <row r="134" spans="1:26" ht="12" customHeight="1" x14ac:dyDescent="0.3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0"/>
      <c r="T134" s="50"/>
      <c r="U134" s="50"/>
      <c r="V134" s="51"/>
      <c r="W134" s="51"/>
      <c r="X134" s="52"/>
      <c r="Y134" s="52"/>
      <c r="Z134" s="52"/>
    </row>
    <row r="135" spans="1:26" ht="12" customHeight="1" x14ac:dyDescent="0.3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0"/>
      <c r="T135" s="50"/>
      <c r="U135" s="50"/>
      <c r="V135" s="51"/>
      <c r="W135" s="51"/>
      <c r="X135" s="52"/>
      <c r="Y135" s="52"/>
      <c r="Z135" s="52"/>
    </row>
    <row r="136" spans="1:26" ht="12" customHeight="1" x14ac:dyDescent="0.3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0"/>
      <c r="T136" s="50"/>
      <c r="U136" s="50"/>
      <c r="V136" s="51"/>
      <c r="W136" s="51"/>
      <c r="X136" s="52"/>
      <c r="Y136" s="52"/>
      <c r="Z136" s="52"/>
    </row>
    <row r="137" spans="1:26" ht="12" customHeight="1" x14ac:dyDescent="0.3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0"/>
      <c r="T137" s="50"/>
      <c r="U137" s="50"/>
      <c r="V137" s="51"/>
      <c r="W137" s="51"/>
      <c r="X137" s="52"/>
      <c r="Y137" s="52"/>
      <c r="Z137" s="52"/>
    </row>
    <row r="138" spans="1:26" ht="12" customHeight="1" x14ac:dyDescent="0.3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0"/>
      <c r="T138" s="50"/>
      <c r="U138" s="50"/>
      <c r="V138" s="51"/>
      <c r="W138" s="51"/>
      <c r="X138" s="52"/>
      <c r="Y138" s="52"/>
      <c r="Z138" s="52"/>
    </row>
    <row r="139" spans="1:26" ht="12" customHeight="1" x14ac:dyDescent="0.3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0"/>
      <c r="T139" s="50"/>
      <c r="U139" s="50"/>
      <c r="V139" s="51"/>
      <c r="W139" s="51"/>
      <c r="X139" s="52"/>
      <c r="Y139" s="52"/>
      <c r="Z139" s="52"/>
    </row>
    <row r="140" spans="1:26" ht="12" customHeight="1" x14ac:dyDescent="0.3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0"/>
      <c r="T140" s="50"/>
      <c r="U140" s="50"/>
      <c r="V140" s="51"/>
      <c r="W140" s="51"/>
      <c r="X140" s="52"/>
      <c r="Y140" s="52"/>
      <c r="Z140" s="52"/>
    </row>
    <row r="141" spans="1:26" ht="12" customHeight="1" x14ac:dyDescent="0.3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0"/>
      <c r="T141" s="50"/>
      <c r="U141" s="50"/>
      <c r="V141" s="51"/>
      <c r="W141" s="51"/>
      <c r="X141" s="52"/>
      <c r="Y141" s="52"/>
      <c r="Z141" s="52"/>
    </row>
    <row r="142" spans="1:26" ht="12" customHeight="1" x14ac:dyDescent="0.3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0"/>
      <c r="T142" s="50"/>
      <c r="U142" s="50"/>
      <c r="V142" s="51"/>
      <c r="W142" s="51"/>
      <c r="X142" s="52"/>
      <c r="Y142" s="52"/>
      <c r="Z142" s="52"/>
    </row>
    <row r="143" spans="1:26" ht="12" customHeight="1" x14ac:dyDescent="0.3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0"/>
      <c r="T143" s="50"/>
      <c r="U143" s="50"/>
      <c r="V143" s="51"/>
      <c r="W143" s="51"/>
      <c r="X143" s="52"/>
      <c r="Y143" s="52"/>
      <c r="Z143" s="52"/>
    </row>
    <row r="144" spans="1:26" ht="12" customHeight="1" x14ac:dyDescent="0.3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0"/>
      <c r="T144" s="50"/>
      <c r="U144" s="50"/>
      <c r="V144" s="51"/>
      <c r="W144" s="51"/>
      <c r="X144" s="52"/>
      <c r="Y144" s="52"/>
      <c r="Z144" s="52"/>
    </row>
    <row r="145" spans="1:26" ht="12" customHeight="1" x14ac:dyDescent="0.3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0"/>
      <c r="T145" s="50"/>
      <c r="U145" s="50"/>
      <c r="V145" s="51"/>
      <c r="W145" s="51"/>
      <c r="X145" s="52"/>
      <c r="Y145" s="52"/>
      <c r="Z145" s="52"/>
    </row>
    <row r="146" spans="1:26" ht="12" customHeight="1" x14ac:dyDescent="0.3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0"/>
      <c r="T146" s="50"/>
      <c r="U146" s="50"/>
      <c r="V146" s="51"/>
      <c r="W146" s="51"/>
      <c r="X146" s="52"/>
      <c r="Y146" s="52"/>
      <c r="Z146" s="52"/>
    </row>
    <row r="147" spans="1:26" ht="12" customHeight="1" x14ac:dyDescent="0.3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0"/>
      <c r="T147" s="50"/>
      <c r="U147" s="50"/>
      <c r="V147" s="51"/>
      <c r="W147" s="51"/>
      <c r="X147" s="52"/>
      <c r="Y147" s="52"/>
      <c r="Z147" s="52"/>
    </row>
    <row r="148" spans="1:26" ht="12" customHeight="1" x14ac:dyDescent="0.3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0"/>
      <c r="T148" s="50"/>
      <c r="U148" s="50"/>
      <c r="V148" s="51"/>
      <c r="W148" s="51"/>
      <c r="X148" s="52"/>
      <c r="Y148" s="52"/>
      <c r="Z148" s="52"/>
    </row>
    <row r="149" spans="1:26" ht="12" customHeight="1" x14ac:dyDescent="0.3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0"/>
      <c r="T149" s="50"/>
      <c r="U149" s="50"/>
      <c r="V149" s="51"/>
      <c r="W149" s="51"/>
      <c r="X149" s="52"/>
      <c r="Y149" s="52"/>
      <c r="Z149" s="52"/>
    </row>
    <row r="150" spans="1:26" ht="12" customHeight="1" x14ac:dyDescent="0.3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0"/>
      <c r="T150" s="50"/>
      <c r="U150" s="50"/>
      <c r="V150" s="51"/>
      <c r="W150" s="51"/>
      <c r="X150" s="52"/>
      <c r="Y150" s="52"/>
      <c r="Z150" s="52"/>
    </row>
    <row r="151" spans="1:26" ht="12" customHeight="1" x14ac:dyDescent="0.3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0"/>
      <c r="T151" s="50"/>
      <c r="U151" s="50"/>
      <c r="V151" s="51"/>
      <c r="W151" s="51"/>
      <c r="X151" s="52"/>
      <c r="Y151" s="52"/>
      <c r="Z151" s="52"/>
    </row>
    <row r="152" spans="1:26" ht="12" customHeight="1" x14ac:dyDescent="0.3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0"/>
      <c r="T152" s="50"/>
      <c r="U152" s="50"/>
      <c r="V152" s="51"/>
      <c r="W152" s="51"/>
      <c r="X152" s="52"/>
      <c r="Y152" s="52"/>
      <c r="Z152" s="52"/>
    </row>
    <row r="153" spans="1:26" ht="12" customHeight="1" x14ac:dyDescent="0.3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0"/>
      <c r="T153" s="50"/>
      <c r="U153" s="50"/>
      <c r="V153" s="51"/>
      <c r="W153" s="51"/>
      <c r="X153" s="52"/>
      <c r="Y153" s="52"/>
      <c r="Z153" s="52"/>
    </row>
    <row r="154" spans="1:26" ht="12" customHeight="1" x14ac:dyDescent="0.3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0"/>
      <c r="T154" s="50"/>
      <c r="U154" s="50"/>
      <c r="V154" s="51"/>
      <c r="W154" s="51"/>
      <c r="X154" s="52"/>
      <c r="Y154" s="52"/>
      <c r="Z154" s="52"/>
    </row>
    <row r="155" spans="1:26" ht="12" customHeight="1" x14ac:dyDescent="0.3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0"/>
      <c r="T155" s="50"/>
      <c r="U155" s="50"/>
      <c r="V155" s="51"/>
      <c r="W155" s="51"/>
      <c r="X155" s="52"/>
      <c r="Y155" s="52"/>
      <c r="Z155" s="52"/>
    </row>
    <row r="156" spans="1:26" ht="12" customHeight="1" x14ac:dyDescent="0.3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0"/>
      <c r="T156" s="50"/>
      <c r="U156" s="50"/>
      <c r="V156" s="51"/>
      <c r="W156" s="51"/>
      <c r="X156" s="52"/>
      <c r="Y156" s="52"/>
      <c r="Z156" s="52"/>
    </row>
    <row r="157" spans="1:26" ht="12" customHeight="1" x14ac:dyDescent="0.3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0"/>
      <c r="T157" s="50"/>
      <c r="U157" s="50"/>
      <c r="V157" s="51"/>
      <c r="W157" s="51"/>
      <c r="X157" s="52"/>
      <c r="Y157" s="52"/>
      <c r="Z157" s="52"/>
    </row>
    <row r="158" spans="1:26" ht="12" customHeight="1" x14ac:dyDescent="0.3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0"/>
      <c r="T158" s="50"/>
      <c r="U158" s="50"/>
      <c r="V158" s="51"/>
      <c r="W158" s="51"/>
      <c r="X158" s="52"/>
      <c r="Y158" s="52"/>
      <c r="Z158" s="52"/>
    </row>
    <row r="159" spans="1:26" ht="12" customHeight="1" x14ac:dyDescent="0.3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0"/>
      <c r="T159" s="50"/>
      <c r="U159" s="50"/>
      <c r="V159" s="51"/>
      <c r="W159" s="51"/>
      <c r="X159" s="52"/>
      <c r="Y159" s="52"/>
      <c r="Z159" s="52"/>
    </row>
    <row r="160" spans="1:26" ht="12" customHeight="1" x14ac:dyDescent="0.3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0"/>
      <c r="T160" s="50"/>
      <c r="U160" s="50"/>
      <c r="V160" s="51"/>
      <c r="W160" s="51"/>
      <c r="X160" s="52"/>
      <c r="Y160" s="52"/>
      <c r="Z160" s="52"/>
    </row>
    <row r="161" spans="1:26" ht="12" customHeight="1" x14ac:dyDescent="0.3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0"/>
      <c r="T161" s="50"/>
      <c r="U161" s="50"/>
      <c r="V161" s="51"/>
      <c r="W161" s="51"/>
      <c r="X161" s="52"/>
      <c r="Y161" s="52"/>
      <c r="Z161" s="52"/>
    </row>
    <row r="162" spans="1:26" ht="12" customHeight="1" x14ac:dyDescent="0.3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0"/>
      <c r="T162" s="50"/>
      <c r="U162" s="50"/>
      <c r="V162" s="51"/>
      <c r="W162" s="51"/>
      <c r="X162" s="52"/>
      <c r="Y162" s="52"/>
      <c r="Z162" s="52"/>
    </row>
    <row r="163" spans="1:26" ht="12" customHeight="1" x14ac:dyDescent="0.3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0"/>
      <c r="T163" s="50"/>
      <c r="U163" s="50"/>
      <c r="V163" s="51"/>
      <c r="W163" s="51"/>
      <c r="X163" s="52"/>
      <c r="Y163" s="52"/>
      <c r="Z163" s="52"/>
    </row>
    <row r="164" spans="1:26" ht="12" customHeight="1" x14ac:dyDescent="0.3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0"/>
      <c r="T164" s="50"/>
      <c r="U164" s="50"/>
      <c r="V164" s="51"/>
      <c r="W164" s="51"/>
      <c r="X164" s="52"/>
      <c r="Y164" s="52"/>
      <c r="Z164" s="52"/>
    </row>
    <row r="165" spans="1:26" ht="12" customHeight="1" x14ac:dyDescent="0.3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0"/>
      <c r="T165" s="50"/>
      <c r="U165" s="50"/>
      <c r="V165" s="51"/>
      <c r="W165" s="51"/>
      <c r="X165" s="52"/>
      <c r="Y165" s="52"/>
      <c r="Z165" s="52"/>
    </row>
    <row r="166" spans="1:26" ht="12" customHeight="1" x14ac:dyDescent="0.3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0"/>
      <c r="T166" s="50"/>
      <c r="U166" s="50"/>
      <c r="V166" s="51"/>
      <c r="W166" s="51"/>
      <c r="X166" s="52"/>
      <c r="Y166" s="52"/>
      <c r="Z166" s="52"/>
    </row>
    <row r="167" spans="1:26" ht="12" customHeight="1" x14ac:dyDescent="0.3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0"/>
      <c r="T167" s="50"/>
      <c r="U167" s="50"/>
      <c r="V167" s="51"/>
      <c r="W167" s="51"/>
      <c r="X167" s="52"/>
      <c r="Y167" s="52"/>
      <c r="Z167" s="52"/>
    </row>
    <row r="168" spans="1:26" ht="12" customHeight="1" x14ac:dyDescent="0.3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0"/>
      <c r="T168" s="50"/>
      <c r="U168" s="50"/>
      <c r="V168" s="51"/>
      <c r="W168" s="51"/>
      <c r="X168" s="52"/>
      <c r="Y168" s="52"/>
      <c r="Z168" s="52"/>
    </row>
    <row r="169" spans="1:26" ht="12" customHeight="1" x14ac:dyDescent="0.3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0"/>
      <c r="T169" s="50"/>
      <c r="U169" s="50"/>
      <c r="V169" s="51"/>
      <c r="W169" s="51"/>
      <c r="X169" s="52"/>
      <c r="Y169" s="52"/>
      <c r="Z169" s="52"/>
    </row>
    <row r="170" spans="1:26" ht="12" customHeight="1" x14ac:dyDescent="0.3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0"/>
      <c r="T170" s="50"/>
      <c r="U170" s="50"/>
      <c r="V170" s="51"/>
      <c r="W170" s="51"/>
      <c r="X170" s="52"/>
      <c r="Y170" s="52"/>
      <c r="Z170" s="52"/>
    </row>
    <row r="171" spans="1:26" ht="12" customHeight="1" x14ac:dyDescent="0.3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0"/>
      <c r="T171" s="50"/>
      <c r="U171" s="50"/>
      <c r="V171" s="51"/>
      <c r="W171" s="51"/>
      <c r="X171" s="52"/>
      <c r="Y171" s="52"/>
      <c r="Z171" s="52"/>
    </row>
    <row r="172" spans="1:26" ht="12" customHeight="1" x14ac:dyDescent="0.3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0"/>
      <c r="T172" s="50"/>
      <c r="U172" s="50"/>
      <c r="V172" s="51"/>
      <c r="W172" s="51"/>
      <c r="X172" s="52"/>
      <c r="Y172" s="52"/>
      <c r="Z172" s="52"/>
    </row>
    <row r="173" spans="1:26" ht="12" customHeight="1" x14ac:dyDescent="0.3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0"/>
      <c r="T173" s="50"/>
      <c r="U173" s="50"/>
      <c r="V173" s="51"/>
      <c r="W173" s="51"/>
      <c r="X173" s="52"/>
      <c r="Y173" s="52"/>
      <c r="Z173" s="52"/>
    </row>
    <row r="174" spans="1:26" ht="12" customHeight="1" x14ac:dyDescent="0.3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0"/>
      <c r="T174" s="50"/>
      <c r="U174" s="50"/>
      <c r="V174" s="51"/>
      <c r="W174" s="51"/>
      <c r="X174" s="52"/>
      <c r="Y174" s="52"/>
      <c r="Z174" s="52"/>
    </row>
    <row r="175" spans="1:26" ht="12" customHeight="1" x14ac:dyDescent="0.3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0"/>
      <c r="T175" s="50"/>
      <c r="U175" s="50"/>
      <c r="V175" s="51"/>
      <c r="W175" s="51"/>
      <c r="X175" s="52"/>
      <c r="Y175" s="52"/>
      <c r="Z175" s="52"/>
    </row>
    <row r="176" spans="1:26" ht="12" customHeight="1" x14ac:dyDescent="0.3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0"/>
      <c r="T176" s="50"/>
      <c r="U176" s="50"/>
      <c r="V176" s="51"/>
      <c r="W176" s="51"/>
      <c r="X176" s="52"/>
      <c r="Y176" s="52"/>
      <c r="Z176" s="52"/>
    </row>
    <row r="177" spans="1:26" ht="12" customHeight="1" x14ac:dyDescent="0.3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0"/>
      <c r="T177" s="50"/>
      <c r="U177" s="50"/>
      <c r="V177" s="51"/>
      <c r="W177" s="51"/>
      <c r="X177" s="52"/>
      <c r="Y177" s="52"/>
      <c r="Z177" s="52"/>
    </row>
    <row r="178" spans="1:26" ht="12" customHeight="1" x14ac:dyDescent="0.3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0"/>
      <c r="T178" s="50"/>
      <c r="U178" s="50"/>
      <c r="V178" s="51"/>
      <c r="W178" s="51"/>
      <c r="X178" s="52"/>
      <c r="Y178" s="52"/>
      <c r="Z178" s="52"/>
    </row>
    <row r="179" spans="1:26" ht="12" customHeight="1" x14ac:dyDescent="0.3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0"/>
      <c r="T179" s="50"/>
      <c r="U179" s="50"/>
      <c r="V179" s="51"/>
      <c r="W179" s="51"/>
      <c r="X179" s="52"/>
      <c r="Y179" s="52"/>
      <c r="Z179" s="52"/>
    </row>
    <row r="180" spans="1:26" ht="12" customHeight="1" x14ac:dyDescent="0.3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0"/>
      <c r="T180" s="50"/>
      <c r="U180" s="50"/>
      <c r="V180" s="51"/>
      <c r="W180" s="51"/>
      <c r="X180" s="52"/>
      <c r="Y180" s="52"/>
      <c r="Z180" s="52"/>
    </row>
    <row r="181" spans="1:26" ht="12" customHeight="1" x14ac:dyDescent="0.3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0"/>
      <c r="T181" s="50"/>
      <c r="U181" s="50"/>
      <c r="V181" s="51"/>
      <c r="W181" s="51"/>
      <c r="X181" s="52"/>
      <c r="Y181" s="52"/>
      <c r="Z181" s="52"/>
    </row>
    <row r="182" spans="1:26" ht="12" customHeight="1" x14ac:dyDescent="0.3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0"/>
      <c r="T182" s="50"/>
      <c r="U182" s="50"/>
      <c r="V182" s="51"/>
      <c r="W182" s="51"/>
      <c r="X182" s="52"/>
      <c r="Y182" s="52"/>
      <c r="Z182" s="52"/>
    </row>
    <row r="183" spans="1:26" ht="12" customHeight="1" x14ac:dyDescent="0.3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0"/>
      <c r="T183" s="50"/>
      <c r="U183" s="50"/>
      <c r="V183" s="51"/>
      <c r="W183" s="51"/>
      <c r="X183" s="52"/>
      <c r="Y183" s="52"/>
      <c r="Z183" s="52"/>
    </row>
    <row r="184" spans="1:26" ht="12" customHeight="1" x14ac:dyDescent="0.3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0"/>
      <c r="T184" s="50"/>
      <c r="U184" s="50"/>
      <c r="V184" s="51"/>
      <c r="W184" s="51"/>
      <c r="X184" s="52"/>
      <c r="Y184" s="52"/>
      <c r="Z184" s="52"/>
    </row>
    <row r="185" spans="1:26" ht="12" customHeight="1" x14ac:dyDescent="0.3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0"/>
      <c r="T185" s="50"/>
      <c r="U185" s="50"/>
      <c r="V185" s="51"/>
      <c r="W185" s="51"/>
      <c r="X185" s="52"/>
      <c r="Y185" s="52"/>
      <c r="Z185" s="52"/>
    </row>
    <row r="186" spans="1:26" ht="12" customHeight="1" x14ac:dyDescent="0.3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0"/>
      <c r="T186" s="50"/>
      <c r="U186" s="50"/>
      <c r="V186" s="51"/>
      <c r="W186" s="51"/>
      <c r="X186" s="52"/>
      <c r="Y186" s="52"/>
      <c r="Z186" s="52"/>
    </row>
    <row r="187" spans="1:26" ht="12" customHeight="1" x14ac:dyDescent="0.3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0"/>
      <c r="T187" s="50"/>
      <c r="U187" s="50"/>
      <c r="V187" s="51"/>
      <c r="W187" s="51"/>
      <c r="X187" s="52"/>
      <c r="Y187" s="52"/>
      <c r="Z187" s="52"/>
    </row>
    <row r="188" spans="1:26" ht="12" customHeight="1" x14ac:dyDescent="0.3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0"/>
      <c r="T188" s="50"/>
      <c r="U188" s="50"/>
      <c r="V188" s="51"/>
      <c r="W188" s="51"/>
      <c r="X188" s="52"/>
      <c r="Y188" s="52"/>
      <c r="Z188" s="52"/>
    </row>
    <row r="189" spans="1:26" ht="12" customHeight="1" x14ac:dyDescent="0.3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0"/>
      <c r="T189" s="50"/>
      <c r="U189" s="50"/>
      <c r="V189" s="51"/>
      <c r="W189" s="51"/>
      <c r="X189" s="52"/>
      <c r="Y189" s="52"/>
      <c r="Z189" s="52"/>
    </row>
    <row r="190" spans="1:26" ht="12" customHeight="1" x14ac:dyDescent="0.3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0"/>
      <c r="T190" s="50"/>
      <c r="U190" s="50"/>
      <c r="V190" s="51"/>
      <c r="W190" s="51"/>
      <c r="X190" s="52"/>
      <c r="Y190" s="52"/>
      <c r="Z190" s="52"/>
    </row>
    <row r="191" spans="1:26" ht="12" customHeight="1" x14ac:dyDescent="0.3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0"/>
      <c r="T191" s="50"/>
      <c r="U191" s="50"/>
      <c r="V191" s="51"/>
      <c r="W191" s="51"/>
      <c r="X191" s="52"/>
      <c r="Y191" s="52"/>
      <c r="Z191" s="52"/>
    </row>
    <row r="192" spans="1:26" ht="12" customHeight="1" x14ac:dyDescent="0.3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0"/>
      <c r="T192" s="50"/>
      <c r="U192" s="50"/>
      <c r="V192" s="51"/>
      <c r="W192" s="51"/>
      <c r="X192" s="52"/>
      <c r="Y192" s="52"/>
      <c r="Z192" s="52"/>
    </row>
    <row r="193" spans="1:26" ht="12" customHeight="1" x14ac:dyDescent="0.3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0"/>
      <c r="T193" s="50"/>
      <c r="U193" s="50"/>
      <c r="V193" s="51"/>
      <c r="W193" s="51"/>
      <c r="X193" s="52"/>
      <c r="Y193" s="52"/>
      <c r="Z193" s="52"/>
    </row>
    <row r="194" spans="1:26" ht="12" customHeight="1" x14ac:dyDescent="0.3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0"/>
      <c r="T194" s="50"/>
      <c r="U194" s="50"/>
      <c r="V194" s="51"/>
      <c r="W194" s="51"/>
      <c r="X194" s="52"/>
      <c r="Y194" s="52"/>
      <c r="Z194" s="52"/>
    </row>
    <row r="195" spans="1:26" ht="12" customHeight="1" x14ac:dyDescent="0.3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0"/>
      <c r="T195" s="50"/>
      <c r="U195" s="50"/>
      <c r="V195" s="51"/>
      <c r="W195" s="51"/>
      <c r="X195" s="52"/>
      <c r="Y195" s="52"/>
      <c r="Z195" s="52"/>
    </row>
    <row r="196" spans="1:26" ht="12" customHeight="1" x14ac:dyDescent="0.3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0"/>
      <c r="T196" s="50"/>
      <c r="U196" s="50"/>
      <c r="V196" s="51"/>
      <c r="W196" s="51"/>
      <c r="X196" s="52"/>
      <c r="Y196" s="52"/>
      <c r="Z196" s="52"/>
    </row>
    <row r="197" spans="1:26" ht="12" customHeight="1" x14ac:dyDescent="0.3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0"/>
      <c r="T197" s="50"/>
      <c r="U197" s="50"/>
      <c r="V197" s="51"/>
      <c r="W197" s="51"/>
      <c r="X197" s="52"/>
      <c r="Y197" s="52"/>
      <c r="Z197" s="52"/>
    </row>
    <row r="198" spans="1:26" ht="12" customHeight="1" x14ac:dyDescent="0.3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0"/>
      <c r="T198" s="50"/>
      <c r="U198" s="50"/>
      <c r="V198" s="51"/>
      <c r="W198" s="51"/>
      <c r="X198" s="52"/>
      <c r="Y198" s="52"/>
      <c r="Z198" s="52"/>
    </row>
    <row r="199" spans="1:26" ht="12" customHeight="1" x14ac:dyDescent="0.3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0"/>
      <c r="T199" s="50"/>
      <c r="U199" s="50"/>
      <c r="V199" s="51"/>
      <c r="W199" s="51"/>
      <c r="X199" s="52"/>
      <c r="Y199" s="52"/>
      <c r="Z199" s="52"/>
    </row>
    <row r="200" spans="1:26" ht="12" customHeight="1" x14ac:dyDescent="0.3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0"/>
      <c r="T200" s="50"/>
      <c r="U200" s="50"/>
      <c r="V200" s="51"/>
      <c r="W200" s="51"/>
      <c r="X200" s="52"/>
      <c r="Y200" s="52"/>
      <c r="Z200" s="52"/>
    </row>
    <row r="201" spans="1:26" ht="12" customHeight="1" x14ac:dyDescent="0.3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0"/>
      <c r="T201" s="50"/>
      <c r="U201" s="50"/>
      <c r="V201" s="51"/>
      <c r="W201" s="51"/>
      <c r="X201" s="52"/>
      <c r="Y201" s="52"/>
      <c r="Z201" s="52"/>
    </row>
    <row r="202" spans="1:26" ht="12" customHeight="1" x14ac:dyDescent="0.3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0"/>
      <c r="T202" s="50"/>
      <c r="U202" s="50"/>
      <c r="V202" s="51"/>
      <c r="W202" s="51"/>
      <c r="X202" s="52"/>
      <c r="Y202" s="52"/>
      <c r="Z202" s="52"/>
    </row>
    <row r="203" spans="1:26" ht="12" customHeight="1" x14ac:dyDescent="0.3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0"/>
      <c r="T203" s="50"/>
      <c r="U203" s="50"/>
      <c r="V203" s="51"/>
      <c r="W203" s="51"/>
      <c r="X203" s="52"/>
      <c r="Y203" s="52"/>
      <c r="Z203" s="52"/>
    </row>
    <row r="204" spans="1:26" ht="12" customHeight="1" x14ac:dyDescent="0.3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0"/>
      <c r="T204" s="50"/>
      <c r="U204" s="50"/>
      <c r="V204" s="51"/>
      <c r="W204" s="51"/>
      <c r="X204" s="52"/>
      <c r="Y204" s="52"/>
      <c r="Z204" s="52"/>
    </row>
    <row r="205" spans="1:26" ht="12" customHeight="1" x14ac:dyDescent="0.3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0"/>
      <c r="T205" s="50"/>
      <c r="U205" s="50"/>
      <c r="V205" s="51"/>
      <c r="W205" s="51"/>
      <c r="X205" s="52"/>
      <c r="Y205" s="52"/>
      <c r="Z205" s="52"/>
    </row>
    <row r="206" spans="1:26" ht="12" customHeight="1" x14ac:dyDescent="0.3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0"/>
      <c r="T206" s="50"/>
      <c r="U206" s="50"/>
      <c r="V206" s="51"/>
      <c r="W206" s="51"/>
      <c r="X206" s="52"/>
      <c r="Y206" s="52"/>
      <c r="Z206" s="52"/>
    </row>
    <row r="207" spans="1:26" ht="12" customHeight="1" x14ac:dyDescent="0.3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0"/>
      <c r="T207" s="50"/>
      <c r="U207" s="50"/>
      <c r="V207" s="51"/>
      <c r="W207" s="51"/>
      <c r="X207" s="52"/>
      <c r="Y207" s="52"/>
      <c r="Z207" s="52"/>
    </row>
    <row r="208" spans="1:26" ht="12" customHeight="1" x14ac:dyDescent="0.3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0"/>
      <c r="T208" s="50"/>
      <c r="U208" s="50"/>
      <c r="V208" s="51"/>
      <c r="W208" s="51"/>
      <c r="X208" s="52"/>
      <c r="Y208" s="52"/>
      <c r="Z208" s="52"/>
    </row>
    <row r="209" spans="1:26" ht="12" customHeight="1" x14ac:dyDescent="0.3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0"/>
      <c r="T209" s="50"/>
      <c r="U209" s="50"/>
      <c r="V209" s="51"/>
      <c r="W209" s="51"/>
      <c r="X209" s="52"/>
      <c r="Y209" s="52"/>
      <c r="Z209" s="52"/>
    </row>
    <row r="210" spans="1:26" ht="12" customHeight="1" x14ac:dyDescent="0.3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0"/>
      <c r="T210" s="50"/>
      <c r="U210" s="50"/>
      <c r="V210" s="51"/>
      <c r="W210" s="51"/>
      <c r="X210" s="52"/>
      <c r="Y210" s="52"/>
      <c r="Z210" s="52"/>
    </row>
    <row r="211" spans="1:26" ht="12" customHeight="1" x14ac:dyDescent="0.3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0"/>
      <c r="T211" s="50"/>
      <c r="U211" s="50"/>
      <c r="V211" s="51"/>
      <c r="W211" s="51"/>
      <c r="X211" s="52"/>
      <c r="Y211" s="52"/>
      <c r="Z211" s="52"/>
    </row>
    <row r="212" spans="1:26" ht="12" customHeight="1" x14ac:dyDescent="0.3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0"/>
      <c r="T212" s="50"/>
      <c r="U212" s="50"/>
      <c r="V212" s="51"/>
      <c r="W212" s="51"/>
      <c r="X212" s="52"/>
      <c r="Y212" s="52"/>
      <c r="Z212" s="52"/>
    </row>
    <row r="213" spans="1:26" ht="12" customHeight="1" x14ac:dyDescent="0.3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0"/>
      <c r="T213" s="50"/>
      <c r="U213" s="50"/>
      <c r="V213" s="51"/>
      <c r="W213" s="51"/>
      <c r="X213" s="52"/>
      <c r="Y213" s="52"/>
      <c r="Z213" s="52"/>
    </row>
    <row r="214" spans="1:26" ht="12" customHeight="1" x14ac:dyDescent="0.3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0"/>
      <c r="T214" s="50"/>
      <c r="U214" s="50"/>
      <c r="V214" s="51"/>
      <c r="W214" s="51"/>
      <c r="X214" s="52"/>
      <c r="Y214" s="52"/>
      <c r="Z214" s="52"/>
    </row>
    <row r="215" spans="1:26" ht="12" customHeight="1" x14ac:dyDescent="0.3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0"/>
      <c r="T215" s="50"/>
      <c r="U215" s="50"/>
      <c r="V215" s="51"/>
      <c r="W215" s="51"/>
      <c r="X215" s="52"/>
      <c r="Y215" s="52"/>
      <c r="Z215" s="52"/>
    </row>
    <row r="216" spans="1:26" ht="12" customHeight="1" x14ac:dyDescent="0.3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0"/>
      <c r="T216" s="50"/>
      <c r="U216" s="50"/>
      <c r="V216" s="51"/>
      <c r="W216" s="51"/>
      <c r="X216" s="52"/>
      <c r="Y216" s="52"/>
      <c r="Z216" s="52"/>
    </row>
    <row r="217" spans="1:26" ht="12" customHeight="1" x14ac:dyDescent="0.3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0"/>
      <c r="T217" s="50"/>
      <c r="U217" s="50"/>
      <c r="V217" s="51"/>
      <c r="W217" s="51"/>
      <c r="X217" s="52"/>
      <c r="Y217" s="52"/>
      <c r="Z217" s="52"/>
    </row>
    <row r="218" spans="1:26" ht="12" customHeight="1" x14ac:dyDescent="0.3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0"/>
      <c r="T218" s="50"/>
      <c r="U218" s="50"/>
      <c r="V218" s="51"/>
      <c r="W218" s="51"/>
      <c r="X218" s="52"/>
      <c r="Y218" s="52"/>
      <c r="Z218" s="52"/>
    </row>
    <row r="219" spans="1:26" ht="12" customHeight="1" x14ac:dyDescent="0.3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0"/>
      <c r="T219" s="50"/>
      <c r="U219" s="50"/>
      <c r="V219" s="51"/>
      <c r="W219" s="51"/>
      <c r="X219" s="52"/>
      <c r="Y219" s="52"/>
      <c r="Z219" s="52"/>
    </row>
    <row r="220" spans="1:26" ht="12" customHeight="1" x14ac:dyDescent="0.3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0"/>
      <c r="T220" s="50"/>
      <c r="U220" s="50"/>
      <c r="V220" s="51"/>
      <c r="W220" s="51"/>
      <c r="X220" s="52"/>
      <c r="Y220" s="52"/>
      <c r="Z220" s="52"/>
    </row>
    <row r="221" spans="1:26" ht="12" customHeight="1" x14ac:dyDescent="0.3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0"/>
      <c r="T221" s="50"/>
      <c r="U221" s="50"/>
      <c r="V221" s="51"/>
      <c r="W221" s="51"/>
      <c r="X221" s="52"/>
      <c r="Y221" s="52"/>
      <c r="Z221" s="52"/>
    </row>
    <row r="222" spans="1:26" ht="12" customHeight="1" x14ac:dyDescent="0.3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0"/>
      <c r="T222" s="50"/>
      <c r="U222" s="50"/>
      <c r="V222" s="51"/>
      <c r="W222" s="51"/>
      <c r="X222" s="52"/>
      <c r="Y222" s="52"/>
      <c r="Z222" s="52"/>
    </row>
    <row r="223" spans="1:26" ht="12" customHeight="1" x14ac:dyDescent="0.3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0"/>
      <c r="T223" s="50"/>
      <c r="U223" s="50"/>
      <c r="V223" s="51"/>
      <c r="W223" s="51"/>
      <c r="X223" s="52"/>
      <c r="Y223" s="52"/>
      <c r="Z223" s="52"/>
    </row>
    <row r="224" spans="1:26" ht="12" customHeight="1" x14ac:dyDescent="0.3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0"/>
      <c r="T224" s="50"/>
      <c r="U224" s="50"/>
      <c r="V224" s="51"/>
      <c r="W224" s="51"/>
      <c r="X224" s="52"/>
      <c r="Y224" s="52"/>
      <c r="Z224" s="52"/>
    </row>
    <row r="225" spans="1:26" ht="12" customHeight="1" x14ac:dyDescent="0.3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0"/>
      <c r="T225" s="50"/>
      <c r="U225" s="50"/>
      <c r="V225" s="51"/>
      <c r="W225" s="51"/>
      <c r="X225" s="52"/>
      <c r="Y225" s="52"/>
      <c r="Z225" s="52"/>
    </row>
    <row r="226" spans="1:26" ht="12" customHeight="1" x14ac:dyDescent="0.3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0"/>
      <c r="T226" s="50"/>
      <c r="U226" s="50"/>
      <c r="V226" s="51"/>
      <c r="W226" s="51"/>
      <c r="X226" s="52"/>
      <c r="Y226" s="52"/>
      <c r="Z226" s="52"/>
    </row>
    <row r="227" spans="1:26" ht="12" customHeight="1" x14ac:dyDescent="0.3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0"/>
      <c r="T227" s="50"/>
      <c r="U227" s="50"/>
      <c r="V227" s="51"/>
      <c r="W227" s="51"/>
      <c r="X227" s="52"/>
      <c r="Y227" s="52"/>
      <c r="Z227" s="52"/>
    </row>
    <row r="228" spans="1:26" ht="12" customHeight="1" x14ac:dyDescent="0.3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0"/>
      <c r="T228" s="50"/>
      <c r="U228" s="50"/>
      <c r="V228" s="51"/>
      <c r="W228" s="51"/>
      <c r="X228" s="52"/>
      <c r="Y228" s="52"/>
      <c r="Z228" s="52"/>
    </row>
    <row r="229" spans="1:26" ht="12" customHeight="1" x14ac:dyDescent="0.3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0"/>
      <c r="T229" s="50"/>
      <c r="U229" s="50"/>
      <c r="V229" s="51"/>
      <c r="W229" s="51"/>
      <c r="X229" s="52"/>
      <c r="Y229" s="52"/>
      <c r="Z229" s="52"/>
    </row>
    <row r="230" spans="1:26" ht="12" customHeight="1" x14ac:dyDescent="0.3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0"/>
      <c r="T230" s="50"/>
      <c r="U230" s="50"/>
      <c r="V230" s="51"/>
      <c r="W230" s="51"/>
      <c r="X230" s="52"/>
      <c r="Y230" s="52"/>
      <c r="Z230" s="52"/>
    </row>
    <row r="231" spans="1:26" ht="12" customHeight="1" x14ac:dyDescent="0.3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0"/>
      <c r="T231" s="50"/>
      <c r="U231" s="50"/>
      <c r="V231" s="51"/>
      <c r="W231" s="51"/>
      <c r="X231" s="52"/>
      <c r="Y231" s="52"/>
      <c r="Z231" s="52"/>
    </row>
    <row r="232" spans="1:26" ht="12" customHeight="1" x14ac:dyDescent="0.3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0"/>
      <c r="T232" s="50"/>
      <c r="U232" s="50"/>
      <c r="V232" s="51"/>
      <c r="W232" s="51"/>
      <c r="X232" s="52"/>
      <c r="Y232" s="52"/>
      <c r="Z232" s="52"/>
    </row>
    <row r="233" spans="1:26" ht="12" customHeight="1" x14ac:dyDescent="0.3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0"/>
      <c r="T233" s="50"/>
      <c r="U233" s="50"/>
      <c r="V233" s="51"/>
      <c r="W233" s="51"/>
      <c r="X233" s="52"/>
      <c r="Y233" s="52"/>
      <c r="Z233" s="52"/>
    </row>
    <row r="234" spans="1:26" ht="12" customHeight="1" x14ac:dyDescent="0.3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0"/>
      <c r="T234" s="50"/>
      <c r="U234" s="50"/>
      <c r="V234" s="51"/>
      <c r="W234" s="51"/>
      <c r="X234" s="52"/>
      <c r="Y234" s="52"/>
      <c r="Z234" s="52"/>
    </row>
    <row r="235" spans="1:26" ht="12" customHeight="1" x14ac:dyDescent="0.3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0"/>
      <c r="T235" s="50"/>
      <c r="U235" s="50"/>
      <c r="V235" s="51"/>
      <c r="W235" s="51"/>
      <c r="X235" s="52"/>
      <c r="Y235" s="52"/>
      <c r="Z235" s="52"/>
    </row>
    <row r="236" spans="1:26" ht="12" customHeight="1" x14ac:dyDescent="0.3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0"/>
      <c r="T236" s="50"/>
      <c r="U236" s="50"/>
      <c r="V236" s="51"/>
      <c r="W236" s="51"/>
      <c r="X236" s="52"/>
      <c r="Y236" s="52"/>
      <c r="Z236" s="52"/>
    </row>
    <row r="237" spans="1:26" ht="12" customHeight="1" x14ac:dyDescent="0.3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0"/>
      <c r="T237" s="50"/>
      <c r="U237" s="50"/>
      <c r="V237" s="51"/>
      <c r="W237" s="51"/>
      <c r="X237" s="52"/>
      <c r="Y237" s="52"/>
      <c r="Z237" s="52"/>
    </row>
    <row r="238" spans="1:26" ht="12" customHeight="1" x14ac:dyDescent="0.3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0"/>
      <c r="T238" s="50"/>
      <c r="U238" s="50"/>
      <c r="V238" s="51"/>
      <c r="W238" s="51"/>
      <c r="X238" s="52"/>
      <c r="Y238" s="52"/>
      <c r="Z238" s="52"/>
    </row>
    <row r="239" spans="1:26" ht="12" customHeight="1" x14ac:dyDescent="0.3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0"/>
      <c r="T239" s="50"/>
      <c r="U239" s="50"/>
      <c r="V239" s="51"/>
      <c r="W239" s="51"/>
      <c r="X239" s="52"/>
      <c r="Y239" s="52"/>
      <c r="Z239" s="52"/>
    </row>
    <row r="240" spans="1:26" ht="12" customHeight="1" x14ac:dyDescent="0.3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0"/>
      <c r="T240" s="50"/>
      <c r="U240" s="50"/>
      <c r="V240" s="51"/>
      <c r="W240" s="51"/>
      <c r="X240" s="52"/>
      <c r="Y240" s="52"/>
      <c r="Z240" s="52"/>
    </row>
    <row r="241" spans="1:26" ht="12" customHeight="1" x14ac:dyDescent="0.3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0"/>
      <c r="T241" s="50"/>
      <c r="U241" s="50"/>
      <c r="V241" s="51"/>
      <c r="W241" s="51"/>
      <c r="X241" s="52"/>
      <c r="Y241" s="52"/>
      <c r="Z241" s="52"/>
    </row>
    <row r="242" spans="1:26" ht="12" customHeight="1" x14ac:dyDescent="0.3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0"/>
      <c r="T242" s="50"/>
      <c r="U242" s="50"/>
      <c r="V242" s="51"/>
      <c r="W242" s="51"/>
      <c r="X242" s="52"/>
      <c r="Y242" s="52"/>
      <c r="Z242" s="52"/>
    </row>
    <row r="243" spans="1:26" ht="12" customHeight="1" x14ac:dyDescent="0.3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0"/>
      <c r="T243" s="50"/>
      <c r="U243" s="50"/>
      <c r="V243" s="51"/>
      <c r="W243" s="51"/>
      <c r="X243" s="52"/>
      <c r="Y243" s="52"/>
      <c r="Z243" s="52"/>
    </row>
    <row r="244" spans="1:26" ht="12" customHeight="1" x14ac:dyDescent="0.3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0"/>
      <c r="T244" s="50"/>
      <c r="U244" s="50"/>
      <c r="V244" s="51"/>
      <c r="W244" s="51"/>
      <c r="X244" s="52"/>
      <c r="Y244" s="52"/>
      <c r="Z244" s="52"/>
    </row>
    <row r="245" spans="1:26" ht="12" customHeight="1" x14ac:dyDescent="0.3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0"/>
      <c r="T245" s="50"/>
      <c r="U245" s="50"/>
      <c r="V245" s="51"/>
      <c r="W245" s="51"/>
      <c r="X245" s="52"/>
      <c r="Y245" s="52"/>
      <c r="Z245" s="52"/>
    </row>
    <row r="246" spans="1:26" ht="12" customHeight="1" x14ac:dyDescent="0.3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0"/>
      <c r="T246" s="50"/>
      <c r="U246" s="50"/>
      <c r="V246" s="51"/>
      <c r="W246" s="51"/>
      <c r="X246" s="52"/>
      <c r="Y246" s="52"/>
      <c r="Z246" s="52"/>
    </row>
    <row r="247" spans="1:26" ht="12" customHeight="1" x14ac:dyDescent="0.3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0"/>
      <c r="T247" s="50"/>
      <c r="U247" s="50"/>
      <c r="V247" s="51"/>
      <c r="W247" s="51"/>
      <c r="X247" s="52"/>
      <c r="Y247" s="52"/>
      <c r="Z247" s="52"/>
    </row>
    <row r="248" spans="1:26" ht="12" customHeight="1" x14ac:dyDescent="0.3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0"/>
      <c r="T248" s="50"/>
      <c r="U248" s="50"/>
      <c r="V248" s="51"/>
      <c r="W248" s="51"/>
      <c r="X248" s="52"/>
      <c r="Y248" s="52"/>
      <c r="Z248" s="52"/>
    </row>
    <row r="249" spans="1:26" ht="12" customHeight="1" x14ac:dyDescent="0.3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0"/>
      <c r="T249" s="50"/>
      <c r="U249" s="50"/>
      <c r="V249" s="51"/>
      <c r="W249" s="51"/>
      <c r="X249" s="52"/>
      <c r="Y249" s="52"/>
      <c r="Z249" s="52"/>
    </row>
    <row r="250" spans="1:26" ht="12" customHeight="1" x14ac:dyDescent="0.3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0"/>
      <c r="T250" s="50"/>
      <c r="U250" s="50"/>
      <c r="V250" s="51"/>
      <c r="W250" s="51"/>
      <c r="X250" s="52"/>
      <c r="Y250" s="52"/>
      <c r="Z250" s="52"/>
    </row>
    <row r="251" spans="1:26" ht="12" customHeight="1" x14ac:dyDescent="0.3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0"/>
      <c r="T251" s="50"/>
      <c r="U251" s="50"/>
      <c r="V251" s="51"/>
      <c r="W251" s="51"/>
      <c r="X251" s="52"/>
      <c r="Y251" s="52"/>
      <c r="Z251" s="52"/>
    </row>
    <row r="252" spans="1:26" ht="12" customHeight="1" x14ac:dyDescent="0.3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0"/>
      <c r="T252" s="50"/>
      <c r="U252" s="50"/>
      <c r="V252" s="51"/>
      <c r="W252" s="51"/>
      <c r="X252" s="52"/>
      <c r="Y252" s="52"/>
      <c r="Z252" s="52"/>
    </row>
    <row r="253" spans="1:26" ht="12" customHeight="1" x14ac:dyDescent="0.3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0"/>
      <c r="T253" s="50"/>
      <c r="U253" s="50"/>
      <c r="V253" s="51"/>
      <c r="W253" s="51"/>
      <c r="X253" s="52"/>
      <c r="Y253" s="52"/>
      <c r="Z253" s="52"/>
    </row>
    <row r="254" spans="1:26" ht="12" customHeight="1" x14ac:dyDescent="0.3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0"/>
      <c r="T254" s="50"/>
      <c r="U254" s="50"/>
      <c r="V254" s="51"/>
      <c r="W254" s="51"/>
      <c r="X254" s="52"/>
      <c r="Y254" s="52"/>
      <c r="Z254" s="52"/>
    </row>
    <row r="255" spans="1:26" ht="12" customHeight="1" x14ac:dyDescent="0.3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0"/>
      <c r="T255" s="50"/>
      <c r="U255" s="50"/>
      <c r="V255" s="51"/>
      <c r="W255" s="51"/>
      <c r="X255" s="52"/>
      <c r="Y255" s="52"/>
      <c r="Z255" s="52"/>
    </row>
    <row r="256" spans="1:26" ht="12" customHeight="1" x14ac:dyDescent="0.3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0"/>
      <c r="T256" s="50"/>
      <c r="U256" s="50"/>
      <c r="V256" s="51"/>
      <c r="W256" s="51"/>
      <c r="X256" s="52"/>
      <c r="Y256" s="52"/>
      <c r="Z256" s="52"/>
    </row>
    <row r="257" spans="1:26" ht="12" customHeight="1" x14ac:dyDescent="0.3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0"/>
      <c r="T257" s="50"/>
      <c r="U257" s="50"/>
      <c r="V257" s="51"/>
      <c r="W257" s="51"/>
      <c r="X257" s="52"/>
      <c r="Y257" s="52"/>
      <c r="Z257" s="52"/>
    </row>
    <row r="258" spans="1:26" ht="12" customHeight="1" x14ac:dyDescent="0.3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0"/>
      <c r="T258" s="50"/>
      <c r="U258" s="50"/>
      <c r="V258" s="51"/>
      <c r="W258" s="51"/>
      <c r="X258" s="52"/>
      <c r="Y258" s="52"/>
      <c r="Z258" s="52"/>
    </row>
    <row r="259" spans="1:26" ht="12" customHeight="1" x14ac:dyDescent="0.3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0"/>
      <c r="T259" s="50"/>
      <c r="U259" s="50"/>
      <c r="V259" s="51"/>
      <c r="W259" s="51"/>
      <c r="X259" s="52"/>
      <c r="Y259" s="52"/>
      <c r="Z259" s="52"/>
    </row>
    <row r="260" spans="1:26" ht="12" customHeight="1" x14ac:dyDescent="0.3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0"/>
      <c r="T260" s="50"/>
      <c r="U260" s="50"/>
      <c r="V260" s="51"/>
      <c r="W260" s="51"/>
      <c r="X260" s="52"/>
      <c r="Y260" s="52"/>
      <c r="Z260" s="5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00">
    <mergeCell ref="A46:A50"/>
    <mergeCell ref="B46:B50"/>
    <mergeCell ref="C46:D46"/>
    <mergeCell ref="C47:C50"/>
    <mergeCell ref="D47:D50"/>
    <mergeCell ref="E48:E50"/>
    <mergeCell ref="Q41:R41"/>
    <mergeCell ref="Q42:R42"/>
    <mergeCell ref="Q43:R43"/>
    <mergeCell ref="Q44:R44"/>
    <mergeCell ref="Q45:R45"/>
    <mergeCell ref="E46:L47"/>
    <mergeCell ref="M46:R47"/>
    <mergeCell ref="Q32:R32"/>
    <mergeCell ref="P33:P36"/>
    <mergeCell ref="Q33:R36"/>
    <mergeCell ref="Q37:R37"/>
    <mergeCell ref="Q38:R38"/>
    <mergeCell ref="Q39:R39"/>
    <mergeCell ref="Q40:R40"/>
    <mergeCell ref="M24:O24"/>
    <mergeCell ref="Q24:R24"/>
    <mergeCell ref="M25:O25"/>
    <mergeCell ref="Q25:R25"/>
    <mergeCell ref="Q26:R26"/>
    <mergeCell ref="Q29:R29"/>
    <mergeCell ref="Q30:R30"/>
    <mergeCell ref="M26:O26"/>
    <mergeCell ref="M27:O27"/>
    <mergeCell ref="Q27:R27"/>
    <mergeCell ref="M28:O28"/>
    <mergeCell ref="Q28:R28"/>
    <mergeCell ref="M29:O29"/>
    <mergeCell ref="M30:O30"/>
    <mergeCell ref="A20:A23"/>
    <mergeCell ref="B20:C21"/>
    <mergeCell ref="D20:L21"/>
    <mergeCell ref="M20:O23"/>
    <mergeCell ref="P20:P23"/>
    <mergeCell ref="Q20:R23"/>
    <mergeCell ref="B22:B23"/>
    <mergeCell ref="K22:L23"/>
    <mergeCell ref="I22:I23"/>
    <mergeCell ref="J22:J23"/>
    <mergeCell ref="Q58:R58"/>
    <mergeCell ref="Q59:R59"/>
    <mergeCell ref="Q60:R60"/>
    <mergeCell ref="Q61:R61"/>
    <mergeCell ref="Q62:R62"/>
    <mergeCell ref="Q63:R63"/>
    <mergeCell ref="Q51:R51"/>
    <mergeCell ref="Q52:R52"/>
    <mergeCell ref="Q53:R53"/>
    <mergeCell ref="Q54:R54"/>
    <mergeCell ref="Q55:R55"/>
    <mergeCell ref="Q56:R56"/>
    <mergeCell ref="Q57:R57"/>
    <mergeCell ref="K61:L61"/>
    <mergeCell ref="K62:L62"/>
    <mergeCell ref="K63:L63"/>
    <mergeCell ref="M57:O57"/>
    <mergeCell ref="M58:O58"/>
    <mergeCell ref="M59:O59"/>
    <mergeCell ref="M60:O60"/>
    <mergeCell ref="M61:O61"/>
    <mergeCell ref="M62:O62"/>
    <mergeCell ref="M63:O63"/>
    <mergeCell ref="K51:L51"/>
    <mergeCell ref="M51:O51"/>
    <mergeCell ref="K52:L52"/>
    <mergeCell ref="M52:O52"/>
    <mergeCell ref="K56:L56"/>
    <mergeCell ref="K57:L57"/>
    <mergeCell ref="K58:L58"/>
    <mergeCell ref="K59:L59"/>
    <mergeCell ref="K60:L60"/>
    <mergeCell ref="K53:L53"/>
    <mergeCell ref="M53:O53"/>
    <mergeCell ref="K54:L54"/>
    <mergeCell ref="M54:O54"/>
    <mergeCell ref="K55:L55"/>
    <mergeCell ref="M55:O55"/>
    <mergeCell ref="M56:O56"/>
    <mergeCell ref="F48:F50"/>
    <mergeCell ref="G48:G50"/>
    <mergeCell ref="H48:H50"/>
    <mergeCell ref="I48:I50"/>
    <mergeCell ref="J48:J50"/>
    <mergeCell ref="K48:L50"/>
    <mergeCell ref="Q48:R50"/>
    <mergeCell ref="M48:P48"/>
    <mergeCell ref="M49:O50"/>
    <mergeCell ref="P49:P50"/>
    <mergeCell ref="M31:O31"/>
    <mergeCell ref="Q31:R31"/>
    <mergeCell ref="M32:O32"/>
    <mergeCell ref="A33:A36"/>
    <mergeCell ref="B33:B36"/>
    <mergeCell ref="C33:C36"/>
    <mergeCell ref="K33:O34"/>
    <mergeCell ref="N35:O36"/>
    <mergeCell ref="E33:J34"/>
    <mergeCell ref="E35:E36"/>
    <mergeCell ref="F35:F36"/>
    <mergeCell ref="G35:G36"/>
    <mergeCell ref="H35:H36"/>
    <mergeCell ref="I35:I36"/>
    <mergeCell ref="J35:J36"/>
    <mergeCell ref="D33:D36"/>
    <mergeCell ref="L44:M44"/>
    <mergeCell ref="N44:O44"/>
    <mergeCell ref="L45:M45"/>
    <mergeCell ref="N45:O45"/>
    <mergeCell ref="L39:M39"/>
    <mergeCell ref="L40:M40"/>
    <mergeCell ref="N40:O40"/>
    <mergeCell ref="L41:M41"/>
    <mergeCell ref="N41:O41"/>
    <mergeCell ref="L42:M42"/>
    <mergeCell ref="N42:O42"/>
    <mergeCell ref="K35:K36"/>
    <mergeCell ref="L35:M36"/>
    <mergeCell ref="L37:M37"/>
    <mergeCell ref="N37:O37"/>
    <mergeCell ref="L38:M38"/>
    <mergeCell ref="N38:O38"/>
    <mergeCell ref="N39:O39"/>
    <mergeCell ref="L43:M43"/>
    <mergeCell ref="N43:O43"/>
    <mergeCell ref="C22:C23"/>
    <mergeCell ref="D22:D23"/>
    <mergeCell ref="E22:E23"/>
    <mergeCell ref="F22:F23"/>
    <mergeCell ref="G22:G23"/>
    <mergeCell ref="H22:H23"/>
    <mergeCell ref="K13:L13"/>
    <mergeCell ref="K14:L14"/>
    <mergeCell ref="K15:L15"/>
    <mergeCell ref="K16:L16"/>
    <mergeCell ref="K17:L17"/>
    <mergeCell ref="K18:L18"/>
    <mergeCell ref="K19:L19"/>
    <mergeCell ref="I8:I10"/>
    <mergeCell ref="M14:N14"/>
    <mergeCell ref="M15:N15"/>
    <mergeCell ref="M16:N16"/>
    <mergeCell ref="M17:N17"/>
    <mergeCell ref="M18:N18"/>
    <mergeCell ref="M19:N19"/>
    <mergeCell ref="K6:L10"/>
    <mergeCell ref="M6:N10"/>
    <mergeCell ref="K11:L11"/>
    <mergeCell ref="M11:N11"/>
    <mergeCell ref="K12:L12"/>
    <mergeCell ref="M12:N12"/>
    <mergeCell ref="M13:N13"/>
    <mergeCell ref="K31:L31"/>
    <mergeCell ref="K32:L32"/>
    <mergeCell ref="K24:L24"/>
    <mergeCell ref="K25:L25"/>
    <mergeCell ref="K26:L26"/>
    <mergeCell ref="K27:L27"/>
    <mergeCell ref="K28:L28"/>
    <mergeCell ref="K29:L29"/>
    <mergeCell ref="K30:L30"/>
    <mergeCell ref="Q16:R16"/>
    <mergeCell ref="Q17:R17"/>
    <mergeCell ref="Q18:R18"/>
    <mergeCell ref="Q19:R19"/>
    <mergeCell ref="Q5:R5"/>
    <mergeCell ref="Q6:R10"/>
    <mergeCell ref="Q11:R11"/>
    <mergeCell ref="Q12:R12"/>
    <mergeCell ref="Q13:R13"/>
    <mergeCell ref="Q14:R14"/>
    <mergeCell ref="Q15:R15"/>
    <mergeCell ref="A1:R1"/>
    <mergeCell ref="K3:L3"/>
    <mergeCell ref="M3:N3"/>
    <mergeCell ref="Q3:R3"/>
    <mergeCell ref="K4:L4"/>
    <mergeCell ref="M4:N4"/>
    <mergeCell ref="Q4:R4"/>
    <mergeCell ref="A8:A10"/>
    <mergeCell ref="B8:B10"/>
    <mergeCell ref="C8:C10"/>
    <mergeCell ref="D8:D10"/>
    <mergeCell ref="E8:E10"/>
    <mergeCell ref="F8:F10"/>
    <mergeCell ref="G8:G10"/>
    <mergeCell ref="H8:H10"/>
    <mergeCell ref="O6:P7"/>
    <mergeCell ref="O8:O10"/>
    <mergeCell ref="P8:P10"/>
    <mergeCell ref="K5:L5"/>
    <mergeCell ref="M5:N5"/>
    <mergeCell ref="A6:B7"/>
    <mergeCell ref="C6:E7"/>
    <mergeCell ref="F6:I7"/>
    <mergeCell ref="J6:J10"/>
  </mergeCells>
  <conditionalFormatting sqref="B24:G32 B37:C45 C51:P59 E37:J45 F11:J19 I24:J32 O11:R19 P37:R45 Q24:R32">
    <cfRule type="cellIs" dxfId="19" priority="1" stopIfTrue="1" operator="lessThan">
      <formula>0</formula>
    </cfRule>
  </conditionalFormatting>
  <conditionalFormatting sqref="C11:D19">
    <cfRule type="cellIs" dxfId="18" priority="2" stopIfTrue="1" operator="lessThan">
      <formula>0</formula>
    </cfRule>
  </conditionalFormatting>
  <conditionalFormatting sqref="Q11:R19">
    <cfRule type="cellIs" dxfId="17" priority="3" stopIfTrue="1" operator="lessThan">
      <formula>0</formula>
    </cfRule>
  </conditionalFormatting>
  <conditionalFormatting sqref="A4">
    <cfRule type="cellIs" dxfId="16" priority="4" stopIfTrue="1" operator="equal">
      <formula>"erro"</formula>
    </cfRule>
  </conditionalFormatting>
  <pageMargins left="0.78740157480314965" right="0.51181102362204722" top="0.94488188976377963" bottom="0.55118110236220474" header="0" footer="0"/>
  <pageSetup orientation="portrait"/>
  <rowBreaks count="1" manualBreakCount="1">
    <brk id="60" man="1"/>
  </rowBreaks>
  <colBreaks count="1" manualBreakCount="1">
    <brk id="18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 x14ac:dyDescent="0.3"/>
  <cols>
    <col min="1" max="1" width="8" customWidth="1"/>
    <col min="2" max="2" width="7" customWidth="1"/>
    <col min="3" max="3" width="6.33203125" customWidth="1"/>
    <col min="4" max="4" width="5.109375" customWidth="1"/>
    <col min="5" max="5" width="5.33203125" customWidth="1"/>
    <col min="6" max="6" width="5.6640625" customWidth="1"/>
    <col min="7" max="7" width="5.88671875" customWidth="1"/>
    <col min="8" max="8" width="6.109375" customWidth="1"/>
    <col min="9" max="9" width="5.88671875" customWidth="1"/>
    <col min="10" max="10" width="6.88671875" customWidth="1"/>
    <col min="11" max="11" width="4.6640625" customWidth="1"/>
    <col min="12" max="12" width="1.109375" customWidth="1"/>
    <col min="13" max="13" width="3.88671875" customWidth="1"/>
    <col min="14" max="14" width="2.44140625" customWidth="1"/>
    <col min="15" max="15" width="4.109375" customWidth="1"/>
    <col min="16" max="16" width="7" customWidth="1"/>
    <col min="17" max="17" width="2.33203125" customWidth="1"/>
    <col min="18" max="18" width="6.109375" customWidth="1"/>
    <col min="19" max="21" width="11.44140625" hidden="1" customWidth="1"/>
    <col min="22" max="26" width="11.44140625" customWidth="1"/>
  </cols>
  <sheetData>
    <row r="1" spans="1:26" ht="12" customHeight="1" x14ac:dyDescent="0.3">
      <c r="A1" s="118" t="s">
        <v>89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50"/>
      <c r="T1" s="50"/>
      <c r="U1" s="50"/>
      <c r="V1" s="51"/>
      <c r="W1" s="51"/>
      <c r="X1" s="52"/>
      <c r="Y1" s="52"/>
      <c r="Z1" s="52"/>
    </row>
    <row r="2" spans="1:26" ht="5.25" customHeight="1" x14ac:dyDescent="0.3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50"/>
      <c r="T2" s="50"/>
      <c r="U2" s="50"/>
      <c r="V2" s="51"/>
      <c r="W2" s="51"/>
      <c r="X2" s="52"/>
      <c r="Y2" s="52"/>
      <c r="Z2" s="52"/>
    </row>
    <row r="3" spans="1:26" ht="12" customHeight="1" x14ac:dyDescent="0.3">
      <c r="A3" s="53" t="s">
        <v>219</v>
      </c>
      <c r="B3" s="54"/>
      <c r="C3" s="54"/>
      <c r="D3" s="55"/>
      <c r="E3" s="55"/>
      <c r="F3" s="55"/>
      <c r="G3" s="55"/>
      <c r="H3" s="55"/>
      <c r="I3" s="55"/>
      <c r="J3" s="55"/>
      <c r="K3" s="119"/>
      <c r="L3" s="108"/>
      <c r="M3" s="119"/>
      <c r="N3" s="108"/>
      <c r="O3" s="55"/>
      <c r="P3" s="55"/>
      <c r="Q3" s="119"/>
      <c r="R3" s="108"/>
      <c r="S3" s="56"/>
      <c r="T3" s="56"/>
      <c r="U3" s="56"/>
      <c r="V3" s="57"/>
      <c r="W3" s="57"/>
      <c r="X3" s="58"/>
      <c r="Y3" s="58"/>
      <c r="Z3" s="58"/>
    </row>
    <row r="4" spans="1:26" ht="12" customHeight="1" x14ac:dyDescent="0.3">
      <c r="A4" s="59" t="s">
        <v>220</v>
      </c>
      <c r="B4" s="60"/>
      <c r="C4" s="60"/>
      <c r="D4" s="61"/>
      <c r="E4" s="61"/>
      <c r="F4" s="61"/>
      <c r="G4" s="61"/>
      <c r="H4" s="61"/>
      <c r="I4" s="61"/>
      <c r="J4" s="61"/>
      <c r="K4" s="120"/>
      <c r="L4" s="108"/>
      <c r="M4" s="120"/>
      <c r="N4" s="108"/>
      <c r="O4" s="61"/>
      <c r="P4" s="61"/>
      <c r="Q4" s="120"/>
      <c r="R4" s="108"/>
      <c r="S4" s="56"/>
      <c r="T4" s="56"/>
      <c r="U4" s="56"/>
      <c r="V4" s="57"/>
      <c r="W4" s="57"/>
      <c r="X4" s="58"/>
      <c r="Y4" s="58"/>
      <c r="Z4" s="58"/>
    </row>
    <row r="5" spans="1:26" ht="12" customHeight="1" x14ac:dyDescent="0.3">
      <c r="A5" s="53" t="s">
        <v>92</v>
      </c>
      <c r="B5" s="61"/>
      <c r="C5" s="61"/>
      <c r="D5" s="61"/>
      <c r="E5" s="61"/>
      <c r="F5" s="61"/>
      <c r="G5" s="61"/>
      <c r="H5" s="61"/>
      <c r="I5" s="61"/>
      <c r="J5" s="61"/>
      <c r="K5" s="120"/>
      <c r="L5" s="108"/>
      <c r="M5" s="120"/>
      <c r="N5" s="108"/>
      <c r="O5" s="60"/>
      <c r="P5" s="60"/>
      <c r="Q5" s="132"/>
      <c r="R5" s="126"/>
      <c r="S5" s="56"/>
      <c r="T5" s="56"/>
      <c r="U5" s="56"/>
      <c r="V5" s="57"/>
      <c r="W5" s="57"/>
      <c r="X5" s="58"/>
      <c r="Y5" s="58"/>
      <c r="Z5" s="58"/>
    </row>
    <row r="6" spans="1:26" ht="12" customHeight="1" x14ac:dyDescent="0.3">
      <c r="A6" s="133" t="s">
        <v>93</v>
      </c>
      <c r="B6" s="125"/>
      <c r="C6" s="133" t="s">
        <v>221</v>
      </c>
      <c r="D6" s="138"/>
      <c r="E6" s="125"/>
      <c r="F6" s="133" t="s">
        <v>222</v>
      </c>
      <c r="G6" s="138"/>
      <c r="H6" s="138"/>
      <c r="I6" s="125"/>
      <c r="J6" s="121" t="s">
        <v>223</v>
      </c>
      <c r="K6" s="133" t="s">
        <v>224</v>
      </c>
      <c r="L6" s="125"/>
      <c r="M6" s="133" t="s">
        <v>98</v>
      </c>
      <c r="N6" s="125"/>
      <c r="O6" s="124" t="s">
        <v>225</v>
      </c>
      <c r="P6" s="125"/>
      <c r="Q6" s="133" t="s">
        <v>226</v>
      </c>
      <c r="R6" s="125"/>
      <c r="S6" s="50"/>
      <c r="T6" s="50"/>
      <c r="U6" s="50"/>
      <c r="V6" s="51"/>
      <c r="W6" s="51"/>
      <c r="X6" s="52"/>
      <c r="Y6" s="52"/>
      <c r="Z6" s="52"/>
    </row>
    <row r="7" spans="1:26" ht="19.5" customHeight="1" x14ac:dyDescent="0.3">
      <c r="A7" s="135"/>
      <c r="B7" s="127"/>
      <c r="C7" s="135"/>
      <c r="D7" s="126"/>
      <c r="E7" s="127"/>
      <c r="F7" s="135"/>
      <c r="G7" s="126"/>
      <c r="H7" s="126"/>
      <c r="I7" s="127"/>
      <c r="J7" s="122"/>
      <c r="K7" s="134"/>
      <c r="L7" s="129"/>
      <c r="M7" s="134"/>
      <c r="N7" s="129"/>
      <c r="O7" s="126"/>
      <c r="P7" s="127"/>
      <c r="Q7" s="134"/>
      <c r="R7" s="129"/>
      <c r="S7" s="62"/>
      <c r="T7" s="50"/>
      <c r="U7" s="50"/>
      <c r="V7" s="51"/>
      <c r="W7" s="51"/>
      <c r="X7" s="52"/>
      <c r="Y7" s="52"/>
      <c r="Z7" s="52"/>
    </row>
    <row r="8" spans="1:26" ht="12" customHeight="1" x14ac:dyDescent="0.3">
      <c r="A8" s="121" t="s">
        <v>101</v>
      </c>
      <c r="B8" s="121" t="s">
        <v>227</v>
      </c>
      <c r="C8" s="121" t="s">
        <v>228</v>
      </c>
      <c r="D8" s="121" t="s">
        <v>229</v>
      </c>
      <c r="E8" s="121" t="s">
        <v>230</v>
      </c>
      <c r="F8" s="121" t="s">
        <v>231</v>
      </c>
      <c r="G8" s="121" t="s">
        <v>232</v>
      </c>
      <c r="H8" s="121" t="s">
        <v>233</v>
      </c>
      <c r="I8" s="121" t="s">
        <v>234</v>
      </c>
      <c r="J8" s="122"/>
      <c r="K8" s="134"/>
      <c r="L8" s="129"/>
      <c r="M8" s="134"/>
      <c r="N8" s="129"/>
      <c r="O8" s="128" t="s">
        <v>110</v>
      </c>
      <c r="P8" s="121" t="s">
        <v>111</v>
      </c>
      <c r="Q8" s="134"/>
      <c r="R8" s="129"/>
      <c r="S8" s="62"/>
      <c r="T8" s="62"/>
      <c r="U8" s="62"/>
      <c r="V8" s="51"/>
      <c r="W8" s="51"/>
      <c r="X8" s="52"/>
      <c r="Y8" s="52"/>
      <c r="Z8" s="52"/>
    </row>
    <row r="9" spans="1:26" ht="12" customHeight="1" x14ac:dyDescent="0.3">
      <c r="A9" s="122"/>
      <c r="B9" s="122"/>
      <c r="C9" s="122"/>
      <c r="D9" s="122"/>
      <c r="E9" s="122"/>
      <c r="F9" s="122"/>
      <c r="G9" s="122"/>
      <c r="H9" s="122"/>
      <c r="I9" s="122"/>
      <c r="J9" s="122"/>
      <c r="K9" s="134"/>
      <c r="L9" s="129"/>
      <c r="M9" s="134"/>
      <c r="N9" s="129"/>
      <c r="O9" s="129"/>
      <c r="P9" s="122"/>
      <c r="Q9" s="134"/>
      <c r="R9" s="129"/>
      <c r="S9" s="62"/>
      <c r="T9" s="50"/>
      <c r="U9" s="62"/>
      <c r="V9" s="51"/>
      <c r="W9" s="51"/>
      <c r="X9" s="52"/>
      <c r="Y9" s="52"/>
      <c r="Z9" s="63"/>
    </row>
    <row r="10" spans="1:26" ht="14.25" customHeight="1" x14ac:dyDescent="0.3">
      <c r="A10" s="123"/>
      <c r="B10" s="123"/>
      <c r="C10" s="123"/>
      <c r="D10" s="123"/>
      <c r="E10" s="123"/>
      <c r="F10" s="123"/>
      <c r="G10" s="123"/>
      <c r="H10" s="123"/>
      <c r="I10" s="123"/>
      <c r="J10" s="123"/>
      <c r="K10" s="135"/>
      <c r="L10" s="127"/>
      <c r="M10" s="135"/>
      <c r="N10" s="127"/>
      <c r="O10" s="127"/>
      <c r="P10" s="123"/>
      <c r="Q10" s="135"/>
      <c r="R10" s="127"/>
      <c r="S10" s="50" t="s">
        <v>112</v>
      </c>
      <c r="T10" s="50" t="s">
        <v>112</v>
      </c>
      <c r="U10" s="50" t="s">
        <v>112</v>
      </c>
      <c r="V10" s="51"/>
      <c r="W10" s="51"/>
      <c r="X10" s="52"/>
      <c r="Y10" s="52"/>
      <c r="Z10" s="63"/>
    </row>
    <row r="11" spans="1:26" ht="12" customHeight="1" x14ac:dyDescent="0.3">
      <c r="A11" s="64" t="s">
        <v>60</v>
      </c>
      <c r="B11" s="65" t="s">
        <v>113</v>
      </c>
      <c r="C11" s="66" t="s">
        <v>114</v>
      </c>
      <c r="D11" s="67" t="s">
        <v>114</v>
      </c>
      <c r="E11" s="66" t="s">
        <v>114</v>
      </c>
      <c r="F11" s="67">
        <v>289</v>
      </c>
      <c r="G11" s="66">
        <v>154</v>
      </c>
      <c r="H11" s="67">
        <v>107</v>
      </c>
      <c r="I11" s="66">
        <v>450</v>
      </c>
      <c r="J11" s="68" t="s">
        <v>114</v>
      </c>
      <c r="K11" s="130" t="s">
        <v>114</v>
      </c>
      <c r="L11" s="108"/>
      <c r="M11" s="141">
        <v>0.24</v>
      </c>
      <c r="N11" s="129"/>
      <c r="O11" s="70" t="s">
        <v>114</v>
      </c>
      <c r="P11" s="71" t="s">
        <v>114</v>
      </c>
      <c r="Q11" s="136" t="s">
        <v>114</v>
      </c>
      <c r="R11" s="125"/>
      <c r="S11" s="72" t="s">
        <v>68</v>
      </c>
      <c r="T11" s="72" t="s">
        <v>68</v>
      </c>
      <c r="U11" s="72" t="s">
        <v>68</v>
      </c>
      <c r="V11" s="73" t="s">
        <v>68</v>
      </c>
      <c r="W11" s="74"/>
      <c r="X11" s="52"/>
      <c r="Y11" s="52"/>
      <c r="Z11" s="63"/>
    </row>
    <row r="12" spans="1:26" ht="12" customHeight="1" x14ac:dyDescent="0.3">
      <c r="A12" s="98" t="s">
        <v>60</v>
      </c>
      <c r="B12" s="76" t="s">
        <v>115</v>
      </c>
      <c r="C12" s="66" t="s">
        <v>114</v>
      </c>
      <c r="D12" s="77" t="s">
        <v>114</v>
      </c>
      <c r="E12" s="77" t="s">
        <v>114</v>
      </c>
      <c r="F12" s="66">
        <v>243</v>
      </c>
      <c r="G12" s="77">
        <v>146</v>
      </c>
      <c r="H12" s="66">
        <v>120</v>
      </c>
      <c r="I12" s="77">
        <v>491</v>
      </c>
      <c r="J12" s="66" t="s">
        <v>114</v>
      </c>
      <c r="K12" s="130" t="s">
        <v>114</v>
      </c>
      <c r="L12" s="129"/>
      <c r="M12" s="139">
        <v>0.24</v>
      </c>
      <c r="N12" s="108"/>
      <c r="O12" s="79" t="s">
        <v>114</v>
      </c>
      <c r="P12" s="78" t="s">
        <v>114</v>
      </c>
      <c r="Q12" s="130" t="s">
        <v>114</v>
      </c>
      <c r="R12" s="129"/>
      <c r="S12" s="72" t="s">
        <v>68</v>
      </c>
      <c r="T12" s="72" t="s">
        <v>68</v>
      </c>
      <c r="U12" s="72" t="s">
        <v>68</v>
      </c>
      <c r="V12" s="73" t="s">
        <v>68</v>
      </c>
      <c r="W12" s="51"/>
      <c r="X12" s="52"/>
      <c r="Y12" s="52"/>
      <c r="Z12" s="63"/>
    </row>
    <row r="13" spans="1:26" ht="12" customHeight="1" x14ac:dyDescent="0.3">
      <c r="A13" s="96" t="s">
        <v>114</v>
      </c>
      <c r="B13" s="76" t="s">
        <v>114</v>
      </c>
      <c r="C13" s="66" t="s">
        <v>114</v>
      </c>
      <c r="D13" s="77" t="s">
        <v>114</v>
      </c>
      <c r="E13" s="77" t="s">
        <v>114</v>
      </c>
      <c r="F13" s="66" t="s">
        <v>114</v>
      </c>
      <c r="G13" s="77" t="s">
        <v>114</v>
      </c>
      <c r="H13" s="66" t="s">
        <v>114</v>
      </c>
      <c r="I13" s="77" t="s">
        <v>114</v>
      </c>
      <c r="J13" s="66" t="s">
        <v>114</v>
      </c>
      <c r="K13" s="130" t="s">
        <v>114</v>
      </c>
      <c r="L13" s="129"/>
      <c r="M13" s="139" t="s">
        <v>114</v>
      </c>
      <c r="N13" s="108"/>
      <c r="O13" s="79" t="s">
        <v>114</v>
      </c>
      <c r="P13" s="78" t="s">
        <v>114</v>
      </c>
      <c r="Q13" s="130" t="s">
        <v>114</v>
      </c>
      <c r="R13" s="129"/>
      <c r="S13" s="72" t="s">
        <v>114</v>
      </c>
      <c r="T13" s="72" t="s">
        <v>114</v>
      </c>
      <c r="U13" s="72" t="s">
        <v>114</v>
      </c>
      <c r="V13" s="73" t="s">
        <v>114</v>
      </c>
      <c r="W13" s="51"/>
      <c r="X13" s="52"/>
      <c r="Y13" s="52"/>
      <c r="Z13" s="63"/>
    </row>
    <row r="14" spans="1:26" ht="12" customHeight="1" x14ac:dyDescent="0.3">
      <c r="A14" s="96" t="s">
        <v>114</v>
      </c>
      <c r="B14" s="76" t="s">
        <v>114</v>
      </c>
      <c r="C14" s="66" t="s">
        <v>114</v>
      </c>
      <c r="D14" s="77" t="s">
        <v>114</v>
      </c>
      <c r="E14" s="77" t="s">
        <v>114</v>
      </c>
      <c r="F14" s="66" t="s">
        <v>114</v>
      </c>
      <c r="G14" s="77" t="s">
        <v>114</v>
      </c>
      <c r="H14" s="66" t="s">
        <v>114</v>
      </c>
      <c r="I14" s="77" t="s">
        <v>114</v>
      </c>
      <c r="J14" s="66" t="s">
        <v>114</v>
      </c>
      <c r="K14" s="130" t="s">
        <v>114</v>
      </c>
      <c r="L14" s="129"/>
      <c r="M14" s="139" t="s">
        <v>114</v>
      </c>
      <c r="N14" s="108"/>
      <c r="O14" s="79" t="s">
        <v>114</v>
      </c>
      <c r="P14" s="78" t="s">
        <v>114</v>
      </c>
      <c r="Q14" s="130" t="s">
        <v>114</v>
      </c>
      <c r="R14" s="129"/>
      <c r="S14" s="72" t="s">
        <v>114</v>
      </c>
      <c r="T14" s="72" t="s">
        <v>114</v>
      </c>
      <c r="U14" s="72" t="s">
        <v>114</v>
      </c>
      <c r="V14" s="73" t="s">
        <v>114</v>
      </c>
      <c r="W14" s="51"/>
      <c r="X14" s="52"/>
      <c r="Y14" s="52"/>
      <c r="Z14" s="63"/>
    </row>
    <row r="15" spans="1:26" ht="12" customHeight="1" x14ac:dyDescent="0.3">
      <c r="A15" s="96" t="s">
        <v>114</v>
      </c>
      <c r="B15" s="76" t="s">
        <v>114</v>
      </c>
      <c r="C15" s="66" t="s">
        <v>114</v>
      </c>
      <c r="D15" s="77" t="s">
        <v>114</v>
      </c>
      <c r="E15" s="77" t="s">
        <v>114</v>
      </c>
      <c r="F15" s="66" t="s">
        <v>114</v>
      </c>
      <c r="G15" s="77" t="s">
        <v>114</v>
      </c>
      <c r="H15" s="66" t="s">
        <v>114</v>
      </c>
      <c r="I15" s="77" t="s">
        <v>114</v>
      </c>
      <c r="J15" s="66" t="s">
        <v>114</v>
      </c>
      <c r="K15" s="130" t="s">
        <v>114</v>
      </c>
      <c r="L15" s="129"/>
      <c r="M15" s="139" t="s">
        <v>114</v>
      </c>
      <c r="N15" s="108"/>
      <c r="O15" s="79" t="s">
        <v>114</v>
      </c>
      <c r="P15" s="78" t="s">
        <v>114</v>
      </c>
      <c r="Q15" s="130" t="s">
        <v>114</v>
      </c>
      <c r="R15" s="129"/>
      <c r="S15" s="72" t="s">
        <v>114</v>
      </c>
      <c r="T15" s="72" t="s">
        <v>114</v>
      </c>
      <c r="U15" s="72" t="s">
        <v>114</v>
      </c>
      <c r="V15" s="73" t="s">
        <v>114</v>
      </c>
      <c r="W15" s="51"/>
      <c r="X15" s="52"/>
      <c r="Y15" s="52"/>
      <c r="Z15" s="63"/>
    </row>
    <row r="16" spans="1:26" ht="12" customHeight="1" x14ac:dyDescent="0.3">
      <c r="A16" s="96" t="s">
        <v>114</v>
      </c>
      <c r="B16" s="76" t="s">
        <v>114</v>
      </c>
      <c r="C16" s="66" t="s">
        <v>114</v>
      </c>
      <c r="D16" s="77" t="s">
        <v>114</v>
      </c>
      <c r="E16" s="77" t="s">
        <v>114</v>
      </c>
      <c r="F16" s="66" t="s">
        <v>114</v>
      </c>
      <c r="G16" s="77" t="s">
        <v>114</v>
      </c>
      <c r="H16" s="66" t="s">
        <v>114</v>
      </c>
      <c r="I16" s="77" t="s">
        <v>114</v>
      </c>
      <c r="J16" s="66" t="s">
        <v>114</v>
      </c>
      <c r="K16" s="130" t="s">
        <v>114</v>
      </c>
      <c r="L16" s="129"/>
      <c r="M16" s="139" t="s">
        <v>114</v>
      </c>
      <c r="N16" s="108"/>
      <c r="O16" s="79" t="s">
        <v>114</v>
      </c>
      <c r="P16" s="78" t="s">
        <v>114</v>
      </c>
      <c r="Q16" s="130" t="s">
        <v>114</v>
      </c>
      <c r="R16" s="129"/>
      <c r="S16" s="72" t="s">
        <v>114</v>
      </c>
      <c r="T16" s="72" t="s">
        <v>114</v>
      </c>
      <c r="U16" s="72" t="s">
        <v>114</v>
      </c>
      <c r="V16" s="73" t="s">
        <v>114</v>
      </c>
      <c r="W16" s="51"/>
      <c r="X16" s="52"/>
      <c r="Y16" s="52"/>
      <c r="Z16" s="63"/>
    </row>
    <row r="17" spans="1:26" ht="12" customHeight="1" x14ac:dyDescent="0.3">
      <c r="A17" s="96" t="s">
        <v>114</v>
      </c>
      <c r="B17" s="76" t="s">
        <v>114</v>
      </c>
      <c r="C17" s="78" t="s">
        <v>114</v>
      </c>
      <c r="D17" s="79" t="s">
        <v>114</v>
      </c>
      <c r="E17" s="79" t="s">
        <v>114</v>
      </c>
      <c r="F17" s="78" t="s">
        <v>114</v>
      </c>
      <c r="G17" s="79" t="s">
        <v>114</v>
      </c>
      <c r="H17" s="78" t="s">
        <v>114</v>
      </c>
      <c r="I17" s="79" t="s">
        <v>114</v>
      </c>
      <c r="J17" s="78" t="s">
        <v>114</v>
      </c>
      <c r="K17" s="130" t="s">
        <v>114</v>
      </c>
      <c r="L17" s="129"/>
      <c r="M17" s="139" t="s">
        <v>114</v>
      </c>
      <c r="N17" s="108"/>
      <c r="O17" s="79" t="s">
        <v>114</v>
      </c>
      <c r="P17" s="78" t="s">
        <v>114</v>
      </c>
      <c r="Q17" s="130" t="s">
        <v>114</v>
      </c>
      <c r="R17" s="129"/>
      <c r="S17" s="72" t="s">
        <v>114</v>
      </c>
      <c r="T17" s="72" t="s">
        <v>114</v>
      </c>
      <c r="U17" s="72" t="s">
        <v>114</v>
      </c>
      <c r="V17" s="73" t="s">
        <v>114</v>
      </c>
      <c r="W17" s="51"/>
      <c r="X17" s="52"/>
      <c r="Y17" s="52"/>
      <c r="Z17" s="63"/>
    </row>
    <row r="18" spans="1:26" ht="12" customHeight="1" x14ac:dyDescent="0.3">
      <c r="A18" s="96" t="s">
        <v>114</v>
      </c>
      <c r="B18" s="76" t="s">
        <v>114</v>
      </c>
      <c r="C18" s="78" t="s">
        <v>114</v>
      </c>
      <c r="D18" s="79" t="s">
        <v>114</v>
      </c>
      <c r="E18" s="79" t="s">
        <v>114</v>
      </c>
      <c r="F18" s="78" t="s">
        <v>114</v>
      </c>
      <c r="G18" s="79" t="s">
        <v>114</v>
      </c>
      <c r="H18" s="78" t="s">
        <v>114</v>
      </c>
      <c r="I18" s="79" t="s">
        <v>114</v>
      </c>
      <c r="J18" s="78" t="s">
        <v>114</v>
      </c>
      <c r="K18" s="130" t="s">
        <v>114</v>
      </c>
      <c r="L18" s="129"/>
      <c r="M18" s="139" t="s">
        <v>114</v>
      </c>
      <c r="N18" s="108"/>
      <c r="O18" s="79" t="s">
        <v>114</v>
      </c>
      <c r="P18" s="78" t="s">
        <v>114</v>
      </c>
      <c r="Q18" s="130" t="s">
        <v>114</v>
      </c>
      <c r="R18" s="129"/>
      <c r="S18" s="72" t="s">
        <v>114</v>
      </c>
      <c r="T18" s="72" t="s">
        <v>114</v>
      </c>
      <c r="U18" s="72" t="s">
        <v>114</v>
      </c>
      <c r="V18" s="73" t="s">
        <v>114</v>
      </c>
      <c r="W18" s="51"/>
      <c r="X18" s="52"/>
      <c r="Y18" s="52"/>
      <c r="Z18" s="63"/>
    </row>
    <row r="19" spans="1:26" ht="12" customHeight="1" x14ac:dyDescent="0.3">
      <c r="A19" s="81" t="s">
        <v>114</v>
      </c>
      <c r="B19" s="82" t="s">
        <v>114</v>
      </c>
      <c r="C19" s="83" t="s">
        <v>114</v>
      </c>
      <c r="D19" s="84" t="s">
        <v>114</v>
      </c>
      <c r="E19" s="83" t="s">
        <v>114</v>
      </c>
      <c r="F19" s="84" t="s">
        <v>114</v>
      </c>
      <c r="G19" s="83" t="s">
        <v>114</v>
      </c>
      <c r="H19" s="84" t="s">
        <v>114</v>
      </c>
      <c r="I19" s="83" t="s">
        <v>114</v>
      </c>
      <c r="J19" s="85" t="s">
        <v>114</v>
      </c>
      <c r="K19" s="131" t="s">
        <v>114</v>
      </c>
      <c r="L19" s="126"/>
      <c r="M19" s="140" t="s">
        <v>114</v>
      </c>
      <c r="N19" s="127"/>
      <c r="O19" s="86" t="s">
        <v>114</v>
      </c>
      <c r="P19" s="84" t="s">
        <v>114</v>
      </c>
      <c r="Q19" s="131" t="s">
        <v>114</v>
      </c>
      <c r="R19" s="127"/>
      <c r="S19" s="72" t="s">
        <v>114</v>
      </c>
      <c r="T19" s="72" t="s">
        <v>114</v>
      </c>
      <c r="U19" s="72" t="s">
        <v>114</v>
      </c>
      <c r="V19" s="73" t="s">
        <v>114</v>
      </c>
      <c r="W19" s="51"/>
      <c r="X19" s="52"/>
      <c r="Y19" s="52"/>
      <c r="Z19" s="63"/>
    </row>
    <row r="20" spans="1:26" ht="12" customHeight="1" x14ac:dyDescent="0.3">
      <c r="A20" s="151" t="s">
        <v>93</v>
      </c>
      <c r="B20" s="141" t="s">
        <v>235</v>
      </c>
      <c r="C20" s="129"/>
      <c r="D20" s="141" t="s">
        <v>236</v>
      </c>
      <c r="E20" s="108"/>
      <c r="F20" s="108"/>
      <c r="G20" s="108"/>
      <c r="H20" s="108"/>
      <c r="I20" s="108"/>
      <c r="J20" s="108"/>
      <c r="K20" s="108"/>
      <c r="L20" s="129"/>
      <c r="M20" s="141" t="s">
        <v>237</v>
      </c>
      <c r="N20" s="108"/>
      <c r="O20" s="129"/>
      <c r="P20" s="152" t="s">
        <v>238</v>
      </c>
      <c r="Q20" s="141" t="s">
        <v>239</v>
      </c>
      <c r="R20" s="129"/>
      <c r="S20" s="50"/>
      <c r="T20" s="50"/>
      <c r="U20" s="62"/>
      <c r="V20" s="51"/>
      <c r="W20" s="51"/>
      <c r="X20" s="52"/>
      <c r="Y20" s="52"/>
      <c r="Z20" s="63"/>
    </row>
    <row r="21" spans="1:26" ht="9.75" customHeight="1" x14ac:dyDescent="0.3">
      <c r="A21" s="122"/>
      <c r="B21" s="135"/>
      <c r="C21" s="127"/>
      <c r="D21" s="135"/>
      <c r="E21" s="126"/>
      <c r="F21" s="126"/>
      <c r="G21" s="126"/>
      <c r="H21" s="126"/>
      <c r="I21" s="126"/>
      <c r="J21" s="126"/>
      <c r="K21" s="126"/>
      <c r="L21" s="127"/>
      <c r="M21" s="134"/>
      <c r="N21" s="108"/>
      <c r="O21" s="129"/>
      <c r="P21" s="122"/>
      <c r="Q21" s="134"/>
      <c r="R21" s="129"/>
      <c r="S21" s="50"/>
      <c r="T21" s="50"/>
      <c r="U21" s="62"/>
      <c r="V21" s="51"/>
      <c r="W21" s="51"/>
      <c r="X21" s="52"/>
      <c r="Y21" s="52"/>
      <c r="Z21" s="52"/>
    </row>
    <row r="22" spans="1:26" ht="9.75" customHeight="1" x14ac:dyDescent="0.3">
      <c r="A22" s="122"/>
      <c r="B22" s="142" t="s">
        <v>121</v>
      </c>
      <c r="C22" s="142" t="s">
        <v>240</v>
      </c>
      <c r="D22" s="142" t="s">
        <v>241</v>
      </c>
      <c r="E22" s="142" t="s">
        <v>242</v>
      </c>
      <c r="F22" s="142" t="s">
        <v>243</v>
      </c>
      <c r="G22" s="142" t="s">
        <v>244</v>
      </c>
      <c r="H22" s="142" t="s">
        <v>245</v>
      </c>
      <c r="I22" s="142" t="s">
        <v>246</v>
      </c>
      <c r="J22" s="142" t="s">
        <v>247</v>
      </c>
      <c r="K22" s="143" t="s">
        <v>130</v>
      </c>
      <c r="L22" s="125"/>
      <c r="M22" s="134"/>
      <c r="N22" s="108"/>
      <c r="O22" s="129"/>
      <c r="P22" s="122"/>
      <c r="Q22" s="134"/>
      <c r="R22" s="129"/>
      <c r="S22" s="50"/>
      <c r="T22" s="50"/>
      <c r="U22" s="50"/>
      <c r="V22" s="51"/>
      <c r="W22" s="51"/>
      <c r="X22" s="52"/>
      <c r="Y22" s="52"/>
      <c r="Z22" s="63"/>
    </row>
    <row r="23" spans="1:26" ht="11.25" customHeight="1" x14ac:dyDescent="0.3">
      <c r="A23" s="123"/>
      <c r="B23" s="123"/>
      <c r="C23" s="123"/>
      <c r="D23" s="123"/>
      <c r="E23" s="123"/>
      <c r="F23" s="123"/>
      <c r="G23" s="123"/>
      <c r="H23" s="123"/>
      <c r="I23" s="123"/>
      <c r="J23" s="123"/>
      <c r="K23" s="135"/>
      <c r="L23" s="127"/>
      <c r="M23" s="135"/>
      <c r="N23" s="126"/>
      <c r="O23" s="127"/>
      <c r="P23" s="123"/>
      <c r="Q23" s="135"/>
      <c r="R23" s="127"/>
      <c r="S23" s="50" t="s">
        <v>112</v>
      </c>
      <c r="T23" s="50" t="s">
        <v>112</v>
      </c>
      <c r="U23" s="50"/>
      <c r="V23" s="51"/>
      <c r="W23" s="51"/>
      <c r="X23" s="52"/>
      <c r="Y23" s="52"/>
      <c r="Z23" s="63"/>
    </row>
    <row r="24" spans="1:26" ht="12" customHeight="1" x14ac:dyDescent="0.3">
      <c r="A24" s="87" t="s">
        <v>60</v>
      </c>
      <c r="B24" s="88">
        <v>4.3</v>
      </c>
      <c r="C24" s="89" t="s">
        <v>114</v>
      </c>
      <c r="D24" s="88">
        <v>0.3</v>
      </c>
      <c r="E24" s="89" t="s">
        <v>114</v>
      </c>
      <c r="F24" s="79">
        <v>0.08</v>
      </c>
      <c r="G24" s="79">
        <v>0.01</v>
      </c>
      <c r="H24" s="88">
        <v>0.4</v>
      </c>
      <c r="I24" s="89">
        <v>1.9</v>
      </c>
      <c r="J24" s="88">
        <v>4.3</v>
      </c>
      <c r="K24" s="137">
        <v>6.6</v>
      </c>
      <c r="L24" s="129"/>
      <c r="M24" s="144">
        <v>6</v>
      </c>
      <c r="N24" s="108"/>
      <c r="O24" s="129"/>
      <c r="P24" s="90">
        <v>83</v>
      </c>
      <c r="Q24" s="130">
        <v>2</v>
      </c>
      <c r="R24" s="129"/>
      <c r="S24" s="50" t="s">
        <v>40</v>
      </c>
      <c r="T24" s="97">
        <v>0.4</v>
      </c>
      <c r="U24" s="50"/>
      <c r="V24" s="51" t="s">
        <v>73</v>
      </c>
      <c r="W24" s="51" t="str">
        <f t="shared" ref="W24:W32" si="0">IF(OR(H24="",I24="",I11="",M24=""),"",IF(1000*(H24+I24)/I11&gt;1.5,"",IF(C24&gt;=5,"ácrico",IF(C24-B24&gt;=0,"ácrico",""))))</f>
        <v/>
      </c>
      <c r="X24" s="52"/>
      <c r="Y24" s="52"/>
      <c r="Z24" s="63"/>
    </row>
    <row r="25" spans="1:26" ht="12" customHeight="1" x14ac:dyDescent="0.3">
      <c r="A25" s="87" t="s">
        <v>60</v>
      </c>
      <c r="B25" s="88">
        <v>4.4000000000000004</v>
      </c>
      <c r="C25" s="89" t="s">
        <v>114</v>
      </c>
      <c r="D25" s="88">
        <v>0</v>
      </c>
      <c r="E25" s="89" t="s">
        <v>114</v>
      </c>
      <c r="F25" s="79">
        <v>0.03</v>
      </c>
      <c r="G25" s="79">
        <v>0.01</v>
      </c>
      <c r="H25" s="88">
        <v>0</v>
      </c>
      <c r="I25" s="89">
        <v>1.8</v>
      </c>
      <c r="J25" s="88">
        <v>3.6</v>
      </c>
      <c r="K25" s="137">
        <v>5.4</v>
      </c>
      <c r="L25" s="129"/>
      <c r="M25" s="144">
        <v>0</v>
      </c>
      <c r="N25" s="108"/>
      <c r="O25" s="129"/>
      <c r="P25" s="90">
        <v>100</v>
      </c>
      <c r="Q25" s="130">
        <v>1</v>
      </c>
      <c r="R25" s="129"/>
      <c r="S25" s="50" t="s">
        <v>40</v>
      </c>
      <c r="T25" s="50">
        <v>0</v>
      </c>
      <c r="U25" s="50"/>
      <c r="V25" s="51" t="s">
        <v>73</v>
      </c>
      <c r="W25" s="51" t="str">
        <f t="shared" si="0"/>
        <v/>
      </c>
      <c r="X25" s="52"/>
      <c r="Y25" s="52"/>
      <c r="Z25" s="63"/>
    </row>
    <row r="26" spans="1:26" ht="12" customHeight="1" x14ac:dyDescent="0.3">
      <c r="A26" s="91" t="s">
        <v>114</v>
      </c>
      <c r="B26" s="88" t="s">
        <v>114</v>
      </c>
      <c r="C26" s="89" t="s">
        <v>114</v>
      </c>
      <c r="D26" s="88" t="s">
        <v>114</v>
      </c>
      <c r="E26" s="89" t="s">
        <v>114</v>
      </c>
      <c r="F26" s="79" t="s">
        <v>114</v>
      </c>
      <c r="G26" s="79" t="s">
        <v>114</v>
      </c>
      <c r="H26" s="88" t="s">
        <v>114</v>
      </c>
      <c r="I26" s="89" t="s">
        <v>114</v>
      </c>
      <c r="J26" s="88" t="s">
        <v>114</v>
      </c>
      <c r="K26" s="137" t="s">
        <v>114</v>
      </c>
      <c r="L26" s="129"/>
      <c r="M26" s="144" t="s">
        <v>114</v>
      </c>
      <c r="N26" s="108"/>
      <c r="O26" s="129"/>
      <c r="P26" s="90" t="s">
        <v>114</v>
      </c>
      <c r="Q26" s="130" t="s">
        <v>114</v>
      </c>
      <c r="R26" s="129"/>
      <c r="S26" s="50" t="s">
        <v>114</v>
      </c>
      <c r="T26" s="50" t="s">
        <v>114</v>
      </c>
      <c r="U26" s="50"/>
      <c r="V26" s="51" t="s">
        <v>114</v>
      </c>
      <c r="W26" s="51" t="str">
        <f t="shared" si="0"/>
        <v/>
      </c>
      <c r="X26" s="52"/>
      <c r="Y26" s="52"/>
      <c r="Z26" s="63"/>
    </row>
    <row r="27" spans="1:26" ht="12" customHeight="1" x14ac:dyDescent="0.3">
      <c r="A27" s="91" t="s">
        <v>114</v>
      </c>
      <c r="B27" s="88" t="s">
        <v>114</v>
      </c>
      <c r="C27" s="89" t="s">
        <v>114</v>
      </c>
      <c r="D27" s="88" t="s">
        <v>114</v>
      </c>
      <c r="E27" s="89" t="s">
        <v>114</v>
      </c>
      <c r="F27" s="79" t="s">
        <v>114</v>
      </c>
      <c r="G27" s="79" t="s">
        <v>114</v>
      </c>
      <c r="H27" s="88" t="s">
        <v>114</v>
      </c>
      <c r="I27" s="89" t="s">
        <v>114</v>
      </c>
      <c r="J27" s="88" t="s">
        <v>114</v>
      </c>
      <c r="K27" s="137" t="s">
        <v>114</v>
      </c>
      <c r="L27" s="129"/>
      <c r="M27" s="144" t="s">
        <v>114</v>
      </c>
      <c r="N27" s="108"/>
      <c r="O27" s="129"/>
      <c r="P27" s="90" t="s">
        <v>114</v>
      </c>
      <c r="Q27" s="130" t="s">
        <v>114</v>
      </c>
      <c r="R27" s="129"/>
      <c r="S27" s="50" t="s">
        <v>114</v>
      </c>
      <c r="T27" s="50" t="s">
        <v>114</v>
      </c>
      <c r="U27" s="50"/>
      <c r="V27" s="51" t="s">
        <v>114</v>
      </c>
      <c r="W27" s="51" t="str">
        <f t="shared" si="0"/>
        <v/>
      </c>
      <c r="X27" s="52"/>
      <c r="Y27" s="52"/>
      <c r="Z27" s="63"/>
    </row>
    <row r="28" spans="1:26" ht="12" customHeight="1" x14ac:dyDescent="0.3">
      <c r="A28" s="91" t="s">
        <v>114</v>
      </c>
      <c r="B28" s="88" t="s">
        <v>114</v>
      </c>
      <c r="C28" s="89" t="s">
        <v>114</v>
      </c>
      <c r="D28" s="88" t="s">
        <v>114</v>
      </c>
      <c r="E28" s="89" t="s">
        <v>114</v>
      </c>
      <c r="F28" s="79" t="s">
        <v>114</v>
      </c>
      <c r="G28" s="79" t="s">
        <v>114</v>
      </c>
      <c r="H28" s="88" t="s">
        <v>114</v>
      </c>
      <c r="I28" s="89" t="s">
        <v>114</v>
      </c>
      <c r="J28" s="88" t="s">
        <v>114</v>
      </c>
      <c r="K28" s="137" t="s">
        <v>114</v>
      </c>
      <c r="L28" s="129"/>
      <c r="M28" s="144" t="s">
        <v>114</v>
      </c>
      <c r="N28" s="108"/>
      <c r="O28" s="129"/>
      <c r="P28" s="90" t="s">
        <v>114</v>
      </c>
      <c r="Q28" s="130" t="s">
        <v>114</v>
      </c>
      <c r="R28" s="129"/>
      <c r="S28" s="50" t="s">
        <v>114</v>
      </c>
      <c r="T28" s="50" t="s">
        <v>114</v>
      </c>
      <c r="U28" s="50"/>
      <c r="V28" s="51" t="s">
        <v>114</v>
      </c>
      <c r="W28" s="51" t="str">
        <f t="shared" si="0"/>
        <v/>
      </c>
      <c r="X28" s="52"/>
      <c r="Y28" s="52"/>
      <c r="Z28" s="63"/>
    </row>
    <row r="29" spans="1:26" ht="12" customHeight="1" x14ac:dyDescent="0.3">
      <c r="A29" s="91" t="s">
        <v>114</v>
      </c>
      <c r="B29" s="88" t="s">
        <v>114</v>
      </c>
      <c r="C29" s="89" t="s">
        <v>114</v>
      </c>
      <c r="D29" s="88" t="s">
        <v>114</v>
      </c>
      <c r="E29" s="89" t="s">
        <v>114</v>
      </c>
      <c r="F29" s="79" t="s">
        <v>114</v>
      </c>
      <c r="G29" s="79" t="s">
        <v>114</v>
      </c>
      <c r="H29" s="88" t="s">
        <v>114</v>
      </c>
      <c r="I29" s="89" t="s">
        <v>114</v>
      </c>
      <c r="J29" s="88" t="s">
        <v>114</v>
      </c>
      <c r="K29" s="137" t="s">
        <v>114</v>
      </c>
      <c r="L29" s="129"/>
      <c r="M29" s="144" t="s">
        <v>114</v>
      </c>
      <c r="N29" s="108"/>
      <c r="O29" s="129"/>
      <c r="P29" s="90" t="s">
        <v>114</v>
      </c>
      <c r="Q29" s="130" t="s">
        <v>114</v>
      </c>
      <c r="R29" s="129"/>
      <c r="S29" s="50" t="s">
        <v>114</v>
      </c>
      <c r="T29" s="50" t="s">
        <v>114</v>
      </c>
      <c r="U29" s="50"/>
      <c r="V29" s="51" t="s">
        <v>114</v>
      </c>
      <c r="W29" s="51" t="str">
        <f t="shared" si="0"/>
        <v/>
      </c>
      <c r="X29" s="52"/>
      <c r="Y29" s="52"/>
      <c r="Z29" s="63"/>
    </row>
    <row r="30" spans="1:26" ht="12" customHeight="1" x14ac:dyDescent="0.3">
      <c r="A30" s="91" t="s">
        <v>114</v>
      </c>
      <c r="B30" s="88" t="s">
        <v>114</v>
      </c>
      <c r="C30" s="89" t="s">
        <v>114</v>
      </c>
      <c r="D30" s="88" t="s">
        <v>114</v>
      </c>
      <c r="E30" s="89" t="s">
        <v>114</v>
      </c>
      <c r="F30" s="79" t="s">
        <v>114</v>
      </c>
      <c r="G30" s="79" t="s">
        <v>114</v>
      </c>
      <c r="H30" s="88" t="s">
        <v>114</v>
      </c>
      <c r="I30" s="89" t="s">
        <v>114</v>
      </c>
      <c r="J30" s="88" t="s">
        <v>114</v>
      </c>
      <c r="K30" s="137" t="s">
        <v>114</v>
      </c>
      <c r="L30" s="129"/>
      <c r="M30" s="144" t="s">
        <v>114</v>
      </c>
      <c r="N30" s="108"/>
      <c r="O30" s="129"/>
      <c r="P30" s="90" t="s">
        <v>114</v>
      </c>
      <c r="Q30" s="130" t="s">
        <v>114</v>
      </c>
      <c r="R30" s="129"/>
      <c r="S30" s="50" t="s">
        <v>114</v>
      </c>
      <c r="T30" s="50" t="s">
        <v>114</v>
      </c>
      <c r="U30" s="50"/>
      <c r="V30" s="51" t="s">
        <v>114</v>
      </c>
      <c r="W30" s="51" t="str">
        <f t="shared" si="0"/>
        <v/>
      </c>
      <c r="X30" s="52"/>
      <c r="Y30" s="52"/>
      <c r="Z30" s="63"/>
    </row>
    <row r="31" spans="1:26" ht="12" customHeight="1" x14ac:dyDescent="0.3">
      <c r="A31" s="91" t="s">
        <v>114</v>
      </c>
      <c r="B31" s="88" t="s">
        <v>114</v>
      </c>
      <c r="C31" s="89" t="s">
        <v>114</v>
      </c>
      <c r="D31" s="88" t="s">
        <v>114</v>
      </c>
      <c r="E31" s="89" t="s">
        <v>114</v>
      </c>
      <c r="F31" s="79" t="s">
        <v>114</v>
      </c>
      <c r="G31" s="79" t="s">
        <v>114</v>
      </c>
      <c r="H31" s="88" t="s">
        <v>114</v>
      </c>
      <c r="I31" s="89" t="s">
        <v>114</v>
      </c>
      <c r="J31" s="88" t="s">
        <v>114</v>
      </c>
      <c r="K31" s="137" t="s">
        <v>114</v>
      </c>
      <c r="L31" s="129"/>
      <c r="M31" s="144" t="s">
        <v>114</v>
      </c>
      <c r="N31" s="108"/>
      <c r="O31" s="129"/>
      <c r="P31" s="90" t="s">
        <v>114</v>
      </c>
      <c r="Q31" s="130" t="s">
        <v>114</v>
      </c>
      <c r="R31" s="129"/>
      <c r="S31" s="50" t="s">
        <v>114</v>
      </c>
      <c r="T31" s="50" t="s">
        <v>114</v>
      </c>
      <c r="U31" s="50"/>
      <c r="V31" s="51" t="s">
        <v>114</v>
      </c>
      <c r="W31" s="51" t="str">
        <f t="shared" si="0"/>
        <v/>
      </c>
      <c r="X31" s="52"/>
      <c r="Y31" s="52"/>
      <c r="Z31" s="63"/>
    </row>
    <row r="32" spans="1:26" ht="12" customHeight="1" x14ac:dyDescent="0.3">
      <c r="A32" s="91" t="s">
        <v>114</v>
      </c>
      <c r="B32" s="88" t="s">
        <v>114</v>
      </c>
      <c r="C32" s="89" t="s">
        <v>114</v>
      </c>
      <c r="D32" s="88" t="s">
        <v>114</v>
      </c>
      <c r="E32" s="89" t="s">
        <v>114</v>
      </c>
      <c r="F32" s="79" t="s">
        <v>114</v>
      </c>
      <c r="G32" s="79" t="s">
        <v>114</v>
      </c>
      <c r="H32" s="88" t="s">
        <v>114</v>
      </c>
      <c r="I32" s="89" t="s">
        <v>114</v>
      </c>
      <c r="J32" s="88" t="s">
        <v>114</v>
      </c>
      <c r="K32" s="137" t="s">
        <v>114</v>
      </c>
      <c r="L32" s="129"/>
      <c r="M32" s="144" t="s">
        <v>114</v>
      </c>
      <c r="N32" s="108"/>
      <c r="O32" s="129"/>
      <c r="P32" s="90" t="s">
        <v>114</v>
      </c>
      <c r="Q32" s="130" t="s">
        <v>114</v>
      </c>
      <c r="R32" s="129"/>
      <c r="S32" s="50" t="s">
        <v>114</v>
      </c>
      <c r="T32" s="50" t="s">
        <v>114</v>
      </c>
      <c r="U32" s="50"/>
      <c r="V32" s="51" t="s">
        <v>114</v>
      </c>
      <c r="W32" s="51" t="str">
        <f t="shared" si="0"/>
        <v/>
      </c>
      <c r="X32" s="52"/>
      <c r="Y32" s="52"/>
      <c r="Z32" s="63"/>
    </row>
    <row r="33" spans="1:26" ht="12" customHeight="1" x14ac:dyDescent="0.3">
      <c r="A33" s="121" t="s">
        <v>93</v>
      </c>
      <c r="B33" s="142" t="s">
        <v>248</v>
      </c>
      <c r="C33" s="142" t="s">
        <v>249</v>
      </c>
      <c r="D33" s="142" t="s">
        <v>41</v>
      </c>
      <c r="E33" s="143" t="s">
        <v>250</v>
      </c>
      <c r="F33" s="138"/>
      <c r="G33" s="138"/>
      <c r="H33" s="138"/>
      <c r="I33" s="138"/>
      <c r="J33" s="125"/>
      <c r="K33" s="143" t="s">
        <v>134</v>
      </c>
      <c r="L33" s="138"/>
      <c r="M33" s="138"/>
      <c r="N33" s="138"/>
      <c r="O33" s="125"/>
      <c r="P33" s="142" t="s">
        <v>251</v>
      </c>
      <c r="Q33" s="143" t="s">
        <v>252</v>
      </c>
      <c r="R33" s="125"/>
      <c r="S33" s="50"/>
      <c r="T33" s="50"/>
      <c r="U33" s="50"/>
      <c r="V33" s="51"/>
      <c r="W33" s="51"/>
      <c r="X33" s="52"/>
      <c r="Y33" s="52"/>
      <c r="Z33" s="63"/>
    </row>
    <row r="34" spans="1:26" ht="8.25" customHeight="1" x14ac:dyDescent="0.3">
      <c r="A34" s="122"/>
      <c r="B34" s="122"/>
      <c r="C34" s="122"/>
      <c r="D34" s="122"/>
      <c r="E34" s="135"/>
      <c r="F34" s="126"/>
      <c r="G34" s="126"/>
      <c r="H34" s="126"/>
      <c r="I34" s="126"/>
      <c r="J34" s="127"/>
      <c r="K34" s="135"/>
      <c r="L34" s="126"/>
      <c r="M34" s="126"/>
      <c r="N34" s="126"/>
      <c r="O34" s="127"/>
      <c r="P34" s="122"/>
      <c r="Q34" s="134"/>
      <c r="R34" s="129"/>
      <c r="S34" s="50"/>
      <c r="T34" s="50"/>
      <c r="U34" s="50"/>
      <c r="V34" s="51"/>
      <c r="W34" s="51"/>
      <c r="X34" s="52"/>
      <c r="Y34" s="52"/>
      <c r="Z34" s="63"/>
    </row>
    <row r="35" spans="1:26" ht="10.5" customHeight="1" x14ac:dyDescent="0.3">
      <c r="A35" s="122"/>
      <c r="B35" s="122"/>
      <c r="C35" s="122"/>
      <c r="D35" s="122"/>
      <c r="E35" s="142" t="s">
        <v>253</v>
      </c>
      <c r="F35" s="142" t="s">
        <v>254</v>
      </c>
      <c r="G35" s="142" t="s">
        <v>255</v>
      </c>
      <c r="H35" s="142" t="s">
        <v>256</v>
      </c>
      <c r="I35" s="142" t="s">
        <v>257</v>
      </c>
      <c r="J35" s="142" t="s">
        <v>142</v>
      </c>
      <c r="K35" s="142" t="s">
        <v>258</v>
      </c>
      <c r="L35" s="143" t="s">
        <v>259</v>
      </c>
      <c r="M35" s="125"/>
      <c r="N35" s="145" t="s">
        <v>260</v>
      </c>
      <c r="O35" s="125"/>
      <c r="P35" s="122"/>
      <c r="Q35" s="134"/>
      <c r="R35" s="129"/>
      <c r="S35" s="50"/>
      <c r="T35" s="50"/>
      <c r="U35" s="50"/>
      <c r="V35" s="51"/>
      <c r="W35" s="51"/>
      <c r="X35" s="52"/>
      <c r="Y35" s="52"/>
      <c r="Z35" s="52"/>
    </row>
    <row r="36" spans="1:26" ht="21" customHeight="1" x14ac:dyDescent="0.3">
      <c r="A36" s="123"/>
      <c r="B36" s="123"/>
      <c r="C36" s="123"/>
      <c r="D36" s="123"/>
      <c r="E36" s="123"/>
      <c r="F36" s="123"/>
      <c r="G36" s="123"/>
      <c r="H36" s="123"/>
      <c r="I36" s="123"/>
      <c r="J36" s="123"/>
      <c r="K36" s="123"/>
      <c r="L36" s="135"/>
      <c r="M36" s="127"/>
      <c r="N36" s="135"/>
      <c r="O36" s="127"/>
      <c r="P36" s="123"/>
      <c r="Q36" s="135"/>
      <c r="R36" s="127"/>
      <c r="S36" s="50"/>
      <c r="T36" s="50"/>
      <c r="U36" s="50"/>
      <c r="V36" s="51"/>
      <c r="W36" s="51"/>
      <c r="X36" s="52"/>
      <c r="Y36" s="52"/>
      <c r="Z36" s="52"/>
    </row>
    <row r="37" spans="1:26" ht="12" customHeight="1" x14ac:dyDescent="0.3">
      <c r="A37" s="87" t="s">
        <v>60</v>
      </c>
      <c r="B37" s="88">
        <v>11.7</v>
      </c>
      <c r="C37" s="88">
        <v>1.2</v>
      </c>
      <c r="D37" s="77">
        <v>10</v>
      </c>
      <c r="E37" s="66" t="s">
        <v>114</v>
      </c>
      <c r="F37" s="77" t="s">
        <v>114</v>
      </c>
      <c r="G37" s="66" t="s">
        <v>114</v>
      </c>
      <c r="H37" s="88" t="s">
        <v>114</v>
      </c>
      <c r="I37" s="89" t="s">
        <v>114</v>
      </c>
      <c r="J37" s="88" t="s">
        <v>114</v>
      </c>
      <c r="K37" s="78" t="s">
        <v>114</v>
      </c>
      <c r="L37" s="143" t="s">
        <v>114</v>
      </c>
      <c r="M37" s="125"/>
      <c r="N37" s="141" t="s">
        <v>114</v>
      </c>
      <c r="O37" s="129"/>
      <c r="P37" s="79" t="s">
        <v>114</v>
      </c>
      <c r="Q37" s="141" t="s">
        <v>114</v>
      </c>
      <c r="R37" s="129"/>
      <c r="S37" s="50"/>
      <c r="T37" s="50"/>
      <c r="U37" s="50"/>
      <c r="V37" s="51" t="s">
        <v>114</v>
      </c>
      <c r="W37" s="51"/>
      <c r="X37" s="52"/>
      <c r="Y37" s="52"/>
      <c r="Z37" s="52"/>
    </row>
    <row r="38" spans="1:26" ht="12" customHeight="1" x14ac:dyDescent="0.3">
      <c r="A38" s="87" t="s">
        <v>60</v>
      </c>
      <c r="B38" s="88">
        <v>7.7</v>
      </c>
      <c r="C38" s="88">
        <v>0.8</v>
      </c>
      <c r="D38" s="77">
        <v>10</v>
      </c>
      <c r="E38" s="66" t="s">
        <v>114</v>
      </c>
      <c r="F38" s="77" t="s">
        <v>114</v>
      </c>
      <c r="G38" s="66" t="s">
        <v>114</v>
      </c>
      <c r="H38" s="88" t="s">
        <v>114</v>
      </c>
      <c r="I38" s="89" t="s">
        <v>114</v>
      </c>
      <c r="J38" s="88" t="s">
        <v>114</v>
      </c>
      <c r="K38" s="78" t="s">
        <v>114</v>
      </c>
      <c r="L38" s="141" t="s">
        <v>114</v>
      </c>
      <c r="M38" s="129"/>
      <c r="N38" s="139" t="s">
        <v>114</v>
      </c>
      <c r="O38" s="129"/>
      <c r="P38" s="79" t="s">
        <v>114</v>
      </c>
      <c r="Q38" s="141" t="s">
        <v>114</v>
      </c>
      <c r="R38" s="129"/>
      <c r="S38" s="50"/>
      <c r="T38" s="50"/>
      <c r="U38" s="50"/>
      <c r="V38" s="51" t="s">
        <v>114</v>
      </c>
      <c r="W38" s="51"/>
      <c r="X38" s="52"/>
      <c r="Y38" s="52"/>
      <c r="Z38" s="52"/>
    </row>
    <row r="39" spans="1:26" ht="12" customHeight="1" x14ac:dyDescent="0.3">
      <c r="A39" s="91" t="s">
        <v>114</v>
      </c>
      <c r="B39" s="88" t="s">
        <v>114</v>
      </c>
      <c r="C39" s="88" t="s">
        <v>114</v>
      </c>
      <c r="D39" s="77" t="s">
        <v>114</v>
      </c>
      <c r="E39" s="66" t="s">
        <v>114</v>
      </c>
      <c r="F39" s="77" t="s">
        <v>114</v>
      </c>
      <c r="G39" s="66" t="s">
        <v>114</v>
      </c>
      <c r="H39" s="88" t="s">
        <v>114</v>
      </c>
      <c r="I39" s="89" t="s">
        <v>114</v>
      </c>
      <c r="J39" s="88" t="s">
        <v>114</v>
      </c>
      <c r="K39" s="78" t="s">
        <v>114</v>
      </c>
      <c r="L39" s="141" t="s">
        <v>114</v>
      </c>
      <c r="M39" s="129"/>
      <c r="N39" s="139" t="s">
        <v>114</v>
      </c>
      <c r="O39" s="129"/>
      <c r="P39" s="79" t="s">
        <v>114</v>
      </c>
      <c r="Q39" s="141" t="s">
        <v>114</v>
      </c>
      <c r="R39" s="129"/>
      <c r="S39" s="50"/>
      <c r="T39" s="50"/>
      <c r="U39" s="50"/>
      <c r="V39" s="51" t="s">
        <v>114</v>
      </c>
      <c r="W39" s="51"/>
      <c r="X39" s="52"/>
      <c r="Y39" s="52"/>
      <c r="Z39" s="52"/>
    </row>
    <row r="40" spans="1:26" ht="12" customHeight="1" x14ac:dyDescent="0.3">
      <c r="A40" s="91" t="s">
        <v>114</v>
      </c>
      <c r="B40" s="88" t="s">
        <v>114</v>
      </c>
      <c r="C40" s="88" t="s">
        <v>114</v>
      </c>
      <c r="D40" s="77" t="s">
        <v>114</v>
      </c>
      <c r="E40" s="66" t="s">
        <v>114</v>
      </c>
      <c r="F40" s="77" t="s">
        <v>114</v>
      </c>
      <c r="G40" s="66" t="s">
        <v>114</v>
      </c>
      <c r="H40" s="88" t="s">
        <v>114</v>
      </c>
      <c r="I40" s="89" t="s">
        <v>114</v>
      </c>
      <c r="J40" s="88" t="s">
        <v>114</v>
      </c>
      <c r="K40" s="78" t="s">
        <v>114</v>
      </c>
      <c r="L40" s="141" t="s">
        <v>114</v>
      </c>
      <c r="M40" s="129"/>
      <c r="N40" s="139" t="s">
        <v>114</v>
      </c>
      <c r="O40" s="129"/>
      <c r="P40" s="79" t="s">
        <v>114</v>
      </c>
      <c r="Q40" s="141" t="s">
        <v>114</v>
      </c>
      <c r="R40" s="129"/>
      <c r="S40" s="50"/>
      <c r="T40" s="50"/>
      <c r="U40" s="50"/>
      <c r="V40" s="51" t="s">
        <v>114</v>
      </c>
      <c r="W40" s="51"/>
      <c r="X40" s="52"/>
      <c r="Y40" s="52"/>
      <c r="Z40" s="52"/>
    </row>
    <row r="41" spans="1:26" ht="12" customHeight="1" x14ac:dyDescent="0.3">
      <c r="A41" s="91" t="s">
        <v>114</v>
      </c>
      <c r="B41" s="88" t="s">
        <v>114</v>
      </c>
      <c r="C41" s="88" t="s">
        <v>114</v>
      </c>
      <c r="D41" s="77" t="s">
        <v>114</v>
      </c>
      <c r="E41" s="66" t="s">
        <v>114</v>
      </c>
      <c r="F41" s="77" t="s">
        <v>114</v>
      </c>
      <c r="G41" s="66" t="s">
        <v>114</v>
      </c>
      <c r="H41" s="88" t="s">
        <v>114</v>
      </c>
      <c r="I41" s="89" t="s">
        <v>114</v>
      </c>
      <c r="J41" s="88" t="s">
        <v>114</v>
      </c>
      <c r="K41" s="78" t="s">
        <v>114</v>
      </c>
      <c r="L41" s="141" t="s">
        <v>114</v>
      </c>
      <c r="M41" s="129"/>
      <c r="N41" s="139" t="s">
        <v>114</v>
      </c>
      <c r="O41" s="129"/>
      <c r="P41" s="79" t="s">
        <v>114</v>
      </c>
      <c r="Q41" s="141" t="s">
        <v>114</v>
      </c>
      <c r="R41" s="129"/>
      <c r="S41" s="50"/>
      <c r="T41" s="50"/>
      <c r="U41" s="50"/>
      <c r="V41" s="51" t="s">
        <v>114</v>
      </c>
      <c r="W41" s="51"/>
      <c r="X41" s="52"/>
      <c r="Y41" s="52"/>
      <c r="Z41" s="52"/>
    </row>
    <row r="42" spans="1:26" ht="12" customHeight="1" x14ac:dyDescent="0.3">
      <c r="A42" s="91" t="s">
        <v>114</v>
      </c>
      <c r="B42" s="88" t="s">
        <v>114</v>
      </c>
      <c r="C42" s="88" t="s">
        <v>114</v>
      </c>
      <c r="D42" s="77" t="s">
        <v>114</v>
      </c>
      <c r="E42" s="66" t="s">
        <v>114</v>
      </c>
      <c r="F42" s="77" t="s">
        <v>114</v>
      </c>
      <c r="G42" s="66" t="s">
        <v>114</v>
      </c>
      <c r="H42" s="88" t="s">
        <v>114</v>
      </c>
      <c r="I42" s="89" t="s">
        <v>114</v>
      </c>
      <c r="J42" s="88" t="s">
        <v>114</v>
      </c>
      <c r="K42" s="78" t="s">
        <v>114</v>
      </c>
      <c r="L42" s="141" t="s">
        <v>114</v>
      </c>
      <c r="M42" s="129"/>
      <c r="N42" s="139" t="s">
        <v>114</v>
      </c>
      <c r="O42" s="129"/>
      <c r="P42" s="79" t="s">
        <v>114</v>
      </c>
      <c r="Q42" s="141" t="s">
        <v>114</v>
      </c>
      <c r="R42" s="129"/>
      <c r="S42" s="50"/>
      <c r="T42" s="50"/>
      <c r="U42" s="50"/>
      <c r="V42" s="51" t="s">
        <v>114</v>
      </c>
      <c r="W42" s="51"/>
      <c r="X42" s="52"/>
      <c r="Y42" s="52"/>
      <c r="Z42" s="52"/>
    </row>
    <row r="43" spans="1:26" ht="12" customHeight="1" x14ac:dyDescent="0.3">
      <c r="A43" s="91" t="s">
        <v>114</v>
      </c>
      <c r="B43" s="88" t="s">
        <v>114</v>
      </c>
      <c r="C43" s="88" t="s">
        <v>114</v>
      </c>
      <c r="D43" s="77" t="s">
        <v>114</v>
      </c>
      <c r="E43" s="66" t="s">
        <v>114</v>
      </c>
      <c r="F43" s="77" t="s">
        <v>114</v>
      </c>
      <c r="G43" s="66" t="s">
        <v>114</v>
      </c>
      <c r="H43" s="88" t="s">
        <v>114</v>
      </c>
      <c r="I43" s="89" t="s">
        <v>114</v>
      </c>
      <c r="J43" s="88" t="s">
        <v>114</v>
      </c>
      <c r="K43" s="78" t="s">
        <v>114</v>
      </c>
      <c r="L43" s="141" t="s">
        <v>114</v>
      </c>
      <c r="M43" s="129"/>
      <c r="N43" s="139" t="s">
        <v>114</v>
      </c>
      <c r="O43" s="129"/>
      <c r="P43" s="79" t="s">
        <v>114</v>
      </c>
      <c r="Q43" s="141" t="s">
        <v>114</v>
      </c>
      <c r="R43" s="129"/>
      <c r="S43" s="50"/>
      <c r="T43" s="50"/>
      <c r="U43" s="50"/>
      <c r="V43" s="51" t="s">
        <v>114</v>
      </c>
      <c r="W43" s="51"/>
      <c r="X43" s="52"/>
      <c r="Y43" s="52"/>
      <c r="Z43" s="52"/>
    </row>
    <row r="44" spans="1:26" ht="12" customHeight="1" x14ac:dyDescent="0.3">
      <c r="A44" s="91" t="s">
        <v>114</v>
      </c>
      <c r="B44" s="88" t="s">
        <v>114</v>
      </c>
      <c r="C44" s="88" t="s">
        <v>114</v>
      </c>
      <c r="D44" s="77" t="s">
        <v>114</v>
      </c>
      <c r="E44" s="66" t="s">
        <v>114</v>
      </c>
      <c r="F44" s="77" t="s">
        <v>114</v>
      </c>
      <c r="G44" s="66" t="s">
        <v>114</v>
      </c>
      <c r="H44" s="88" t="s">
        <v>114</v>
      </c>
      <c r="I44" s="89" t="s">
        <v>114</v>
      </c>
      <c r="J44" s="88" t="s">
        <v>114</v>
      </c>
      <c r="K44" s="78" t="s">
        <v>114</v>
      </c>
      <c r="L44" s="141" t="s">
        <v>114</v>
      </c>
      <c r="M44" s="129"/>
      <c r="N44" s="139" t="s">
        <v>114</v>
      </c>
      <c r="O44" s="129"/>
      <c r="P44" s="79" t="s">
        <v>114</v>
      </c>
      <c r="Q44" s="141" t="s">
        <v>114</v>
      </c>
      <c r="R44" s="129"/>
      <c r="S44" s="50"/>
      <c r="T44" s="50"/>
      <c r="U44" s="50"/>
      <c r="V44" s="51" t="s">
        <v>114</v>
      </c>
      <c r="W44" s="51"/>
      <c r="X44" s="52"/>
      <c r="Y44" s="52"/>
      <c r="Z44" s="52"/>
    </row>
    <row r="45" spans="1:26" ht="12" customHeight="1" x14ac:dyDescent="0.3">
      <c r="A45" s="91" t="s">
        <v>114</v>
      </c>
      <c r="B45" s="88" t="s">
        <v>114</v>
      </c>
      <c r="C45" s="88" t="s">
        <v>114</v>
      </c>
      <c r="D45" s="77" t="s">
        <v>114</v>
      </c>
      <c r="E45" s="66" t="s">
        <v>114</v>
      </c>
      <c r="F45" s="77" t="s">
        <v>114</v>
      </c>
      <c r="G45" s="66" t="s">
        <v>114</v>
      </c>
      <c r="H45" s="88" t="s">
        <v>114</v>
      </c>
      <c r="I45" s="89" t="s">
        <v>114</v>
      </c>
      <c r="J45" s="88" t="s">
        <v>114</v>
      </c>
      <c r="K45" s="78" t="s">
        <v>114</v>
      </c>
      <c r="L45" s="141" t="s">
        <v>114</v>
      </c>
      <c r="M45" s="129"/>
      <c r="N45" s="141" t="s">
        <v>114</v>
      </c>
      <c r="O45" s="129"/>
      <c r="P45" s="79" t="s">
        <v>114</v>
      </c>
      <c r="Q45" s="141" t="s">
        <v>114</v>
      </c>
      <c r="R45" s="129"/>
      <c r="S45" s="50"/>
      <c r="T45" s="50"/>
      <c r="U45" s="50"/>
      <c r="V45" s="51" t="s">
        <v>114</v>
      </c>
      <c r="W45" s="51"/>
      <c r="X45" s="52"/>
      <c r="Y45" s="52"/>
      <c r="Z45" s="52"/>
    </row>
    <row r="46" spans="1:26" ht="12" customHeight="1" x14ac:dyDescent="0.3">
      <c r="A46" s="121" t="s">
        <v>93</v>
      </c>
      <c r="B46" s="153" t="s">
        <v>261</v>
      </c>
      <c r="C46" s="146" t="s">
        <v>147</v>
      </c>
      <c r="D46" s="148"/>
      <c r="E46" s="143" t="s">
        <v>262</v>
      </c>
      <c r="F46" s="138"/>
      <c r="G46" s="138"/>
      <c r="H46" s="138"/>
      <c r="I46" s="138"/>
      <c r="J46" s="138"/>
      <c r="K46" s="138"/>
      <c r="L46" s="125"/>
      <c r="M46" s="143" t="s">
        <v>263</v>
      </c>
      <c r="N46" s="138"/>
      <c r="O46" s="138"/>
      <c r="P46" s="138"/>
      <c r="Q46" s="138"/>
      <c r="R46" s="125"/>
      <c r="S46" s="50"/>
      <c r="T46" s="50"/>
      <c r="U46" s="50"/>
      <c r="V46" s="51"/>
      <c r="W46" s="51"/>
      <c r="X46" s="52"/>
      <c r="Y46" s="52"/>
      <c r="Z46" s="52"/>
    </row>
    <row r="47" spans="1:26" ht="9" customHeight="1" x14ac:dyDescent="0.3">
      <c r="A47" s="122"/>
      <c r="B47" s="122"/>
      <c r="C47" s="142" t="s">
        <v>264</v>
      </c>
      <c r="D47" s="142" t="s">
        <v>265</v>
      </c>
      <c r="E47" s="135"/>
      <c r="F47" s="126"/>
      <c r="G47" s="126"/>
      <c r="H47" s="126"/>
      <c r="I47" s="126"/>
      <c r="J47" s="126"/>
      <c r="K47" s="126"/>
      <c r="L47" s="127"/>
      <c r="M47" s="135"/>
      <c r="N47" s="126"/>
      <c r="O47" s="126"/>
      <c r="P47" s="126"/>
      <c r="Q47" s="126"/>
      <c r="R47" s="127"/>
      <c r="S47" s="50"/>
      <c r="T47" s="50"/>
      <c r="U47" s="50"/>
      <c r="V47" s="51"/>
      <c r="W47" s="51"/>
      <c r="X47" s="52"/>
      <c r="Y47" s="52"/>
      <c r="Z47" s="52"/>
    </row>
    <row r="48" spans="1:26" ht="12" customHeight="1" x14ac:dyDescent="0.3">
      <c r="A48" s="122"/>
      <c r="B48" s="122"/>
      <c r="C48" s="122"/>
      <c r="D48" s="122"/>
      <c r="E48" s="142" t="s">
        <v>266</v>
      </c>
      <c r="F48" s="142" t="s">
        <v>267</v>
      </c>
      <c r="G48" s="142" t="s">
        <v>268</v>
      </c>
      <c r="H48" s="142" t="s">
        <v>269</v>
      </c>
      <c r="I48" s="142" t="s">
        <v>270</v>
      </c>
      <c r="J48" s="142" t="s">
        <v>271</v>
      </c>
      <c r="K48" s="143" t="s">
        <v>272</v>
      </c>
      <c r="L48" s="125"/>
      <c r="M48" s="146" t="s">
        <v>159</v>
      </c>
      <c r="N48" s="147"/>
      <c r="O48" s="147"/>
      <c r="P48" s="148"/>
      <c r="Q48" s="143" t="s">
        <v>160</v>
      </c>
      <c r="R48" s="125"/>
      <c r="S48" s="50"/>
      <c r="T48" s="50"/>
      <c r="U48" s="50"/>
      <c r="V48" s="51"/>
      <c r="W48" s="51"/>
      <c r="X48" s="52"/>
      <c r="Y48" s="52"/>
      <c r="Z48" s="52"/>
    </row>
    <row r="49" spans="1:26" ht="12" customHeight="1" x14ac:dyDescent="0.3">
      <c r="A49" s="122"/>
      <c r="B49" s="122"/>
      <c r="C49" s="122"/>
      <c r="D49" s="122"/>
      <c r="E49" s="122"/>
      <c r="F49" s="122"/>
      <c r="G49" s="122"/>
      <c r="H49" s="122"/>
      <c r="I49" s="122"/>
      <c r="J49" s="122"/>
      <c r="K49" s="134"/>
      <c r="L49" s="129"/>
      <c r="M49" s="143" t="s">
        <v>161</v>
      </c>
      <c r="N49" s="138"/>
      <c r="O49" s="125"/>
      <c r="P49" s="142" t="s">
        <v>162</v>
      </c>
      <c r="Q49" s="134"/>
      <c r="R49" s="129"/>
      <c r="S49" s="50"/>
      <c r="T49" s="50"/>
      <c r="U49" s="50"/>
      <c r="V49" s="51"/>
      <c r="W49" s="51"/>
      <c r="X49" s="52"/>
      <c r="Y49" s="52"/>
      <c r="Z49" s="52"/>
    </row>
    <row r="50" spans="1:26" ht="6" customHeight="1" x14ac:dyDescent="0.3">
      <c r="A50" s="123"/>
      <c r="B50" s="123"/>
      <c r="C50" s="123"/>
      <c r="D50" s="123"/>
      <c r="E50" s="123"/>
      <c r="F50" s="123"/>
      <c r="G50" s="123"/>
      <c r="H50" s="123"/>
      <c r="I50" s="123"/>
      <c r="J50" s="123"/>
      <c r="K50" s="135"/>
      <c r="L50" s="127"/>
      <c r="M50" s="135"/>
      <c r="N50" s="126"/>
      <c r="O50" s="127"/>
      <c r="P50" s="123"/>
      <c r="Q50" s="135"/>
      <c r="R50" s="127"/>
      <c r="S50" s="50"/>
      <c r="T50" s="50"/>
      <c r="U50" s="50"/>
      <c r="V50" s="51"/>
      <c r="W50" s="51"/>
      <c r="X50" s="52"/>
      <c r="Y50" s="52"/>
      <c r="Z50" s="52"/>
    </row>
    <row r="51" spans="1:26" ht="12" customHeight="1" x14ac:dyDescent="0.3">
      <c r="A51" s="87" t="s">
        <v>60</v>
      </c>
      <c r="B51" s="79" t="s">
        <v>163</v>
      </c>
      <c r="C51" s="78" t="s">
        <v>114</v>
      </c>
      <c r="D51" s="77" t="s">
        <v>114</v>
      </c>
      <c r="E51" s="78" t="s">
        <v>114</v>
      </c>
      <c r="F51" s="79" t="s">
        <v>114</v>
      </c>
      <c r="G51" s="78" t="s">
        <v>114</v>
      </c>
      <c r="H51" s="79" t="s">
        <v>114</v>
      </c>
      <c r="I51" s="78" t="s">
        <v>114</v>
      </c>
      <c r="J51" s="79" t="s">
        <v>114</v>
      </c>
      <c r="K51" s="141" t="s">
        <v>114</v>
      </c>
      <c r="L51" s="129"/>
      <c r="M51" s="143" t="s">
        <v>114</v>
      </c>
      <c r="N51" s="138"/>
      <c r="O51" s="125"/>
      <c r="P51" s="69" t="s">
        <v>114</v>
      </c>
      <c r="Q51" s="143" t="s">
        <v>114</v>
      </c>
      <c r="R51" s="125"/>
      <c r="S51" s="50"/>
      <c r="T51" s="50"/>
      <c r="U51" s="50"/>
      <c r="V51" s="51" t="s">
        <v>114</v>
      </c>
      <c r="W51" s="51" t="str">
        <f t="shared" ref="W51:W59" si="1">IF(C51="","",IF(C51&gt;=7,"sálico",IF(C51&gt;=4,"salino","")))</f>
        <v/>
      </c>
      <c r="X51" s="52"/>
      <c r="Y51" s="52"/>
      <c r="Z51" s="52"/>
    </row>
    <row r="52" spans="1:26" ht="12" customHeight="1" x14ac:dyDescent="0.3">
      <c r="A52" s="87" t="s">
        <v>60</v>
      </c>
      <c r="B52" s="79" t="s">
        <v>163</v>
      </c>
      <c r="C52" s="78" t="s">
        <v>114</v>
      </c>
      <c r="D52" s="77" t="s">
        <v>114</v>
      </c>
      <c r="E52" s="78" t="s">
        <v>114</v>
      </c>
      <c r="F52" s="79" t="s">
        <v>114</v>
      </c>
      <c r="G52" s="78" t="s">
        <v>114</v>
      </c>
      <c r="H52" s="79" t="s">
        <v>114</v>
      </c>
      <c r="I52" s="78" t="s">
        <v>114</v>
      </c>
      <c r="J52" s="79" t="s">
        <v>114</v>
      </c>
      <c r="K52" s="141" t="s">
        <v>114</v>
      </c>
      <c r="L52" s="108"/>
      <c r="M52" s="141" t="s">
        <v>114</v>
      </c>
      <c r="N52" s="108"/>
      <c r="O52" s="129"/>
      <c r="P52" s="78" t="s">
        <v>114</v>
      </c>
      <c r="Q52" s="141" t="s">
        <v>114</v>
      </c>
      <c r="R52" s="129"/>
      <c r="S52" s="50"/>
      <c r="T52" s="50"/>
      <c r="U52" s="50"/>
      <c r="V52" s="51" t="s">
        <v>114</v>
      </c>
      <c r="W52" s="51" t="str">
        <f t="shared" si="1"/>
        <v/>
      </c>
      <c r="X52" s="52"/>
      <c r="Y52" s="52"/>
      <c r="Z52" s="52"/>
    </row>
    <row r="53" spans="1:26" ht="12" customHeight="1" x14ac:dyDescent="0.3">
      <c r="A53" s="91" t="s">
        <v>114</v>
      </c>
      <c r="B53" s="79" t="s">
        <v>114</v>
      </c>
      <c r="C53" s="78" t="s">
        <v>114</v>
      </c>
      <c r="D53" s="77" t="s">
        <v>114</v>
      </c>
      <c r="E53" s="78" t="s">
        <v>114</v>
      </c>
      <c r="F53" s="79" t="s">
        <v>114</v>
      </c>
      <c r="G53" s="78" t="s">
        <v>114</v>
      </c>
      <c r="H53" s="79" t="s">
        <v>114</v>
      </c>
      <c r="I53" s="78" t="s">
        <v>114</v>
      </c>
      <c r="J53" s="79" t="s">
        <v>114</v>
      </c>
      <c r="K53" s="141" t="s">
        <v>114</v>
      </c>
      <c r="L53" s="108"/>
      <c r="M53" s="141" t="s">
        <v>114</v>
      </c>
      <c r="N53" s="108"/>
      <c r="O53" s="129"/>
      <c r="P53" s="78" t="s">
        <v>114</v>
      </c>
      <c r="Q53" s="141" t="s">
        <v>114</v>
      </c>
      <c r="R53" s="129"/>
      <c r="S53" s="50"/>
      <c r="T53" s="50"/>
      <c r="U53" s="50"/>
      <c r="V53" s="51" t="s">
        <v>114</v>
      </c>
      <c r="W53" s="51" t="str">
        <f t="shared" si="1"/>
        <v/>
      </c>
      <c r="X53" s="52"/>
      <c r="Y53" s="52"/>
      <c r="Z53" s="52"/>
    </row>
    <row r="54" spans="1:26" ht="12" customHeight="1" x14ac:dyDescent="0.3">
      <c r="A54" s="91" t="s">
        <v>114</v>
      </c>
      <c r="B54" s="79" t="s">
        <v>114</v>
      </c>
      <c r="C54" s="78" t="s">
        <v>114</v>
      </c>
      <c r="D54" s="77" t="s">
        <v>114</v>
      </c>
      <c r="E54" s="78" t="s">
        <v>114</v>
      </c>
      <c r="F54" s="79" t="s">
        <v>114</v>
      </c>
      <c r="G54" s="78" t="s">
        <v>114</v>
      </c>
      <c r="H54" s="79" t="s">
        <v>114</v>
      </c>
      <c r="I54" s="78" t="s">
        <v>114</v>
      </c>
      <c r="J54" s="79" t="s">
        <v>114</v>
      </c>
      <c r="K54" s="141" t="s">
        <v>114</v>
      </c>
      <c r="L54" s="108"/>
      <c r="M54" s="141" t="s">
        <v>114</v>
      </c>
      <c r="N54" s="108"/>
      <c r="O54" s="129"/>
      <c r="P54" s="78" t="s">
        <v>114</v>
      </c>
      <c r="Q54" s="141" t="s">
        <v>114</v>
      </c>
      <c r="R54" s="129"/>
      <c r="S54" s="50"/>
      <c r="T54" s="50"/>
      <c r="U54" s="50"/>
      <c r="V54" s="51" t="s">
        <v>114</v>
      </c>
      <c r="W54" s="51" t="str">
        <f t="shared" si="1"/>
        <v/>
      </c>
      <c r="X54" s="52"/>
      <c r="Y54" s="52"/>
      <c r="Z54" s="52"/>
    </row>
    <row r="55" spans="1:26" ht="12" customHeight="1" x14ac:dyDescent="0.3">
      <c r="A55" s="91" t="s">
        <v>114</v>
      </c>
      <c r="B55" s="79" t="s">
        <v>114</v>
      </c>
      <c r="C55" s="78" t="s">
        <v>114</v>
      </c>
      <c r="D55" s="77" t="s">
        <v>114</v>
      </c>
      <c r="E55" s="78" t="s">
        <v>114</v>
      </c>
      <c r="F55" s="79" t="s">
        <v>114</v>
      </c>
      <c r="G55" s="78" t="s">
        <v>114</v>
      </c>
      <c r="H55" s="79" t="s">
        <v>114</v>
      </c>
      <c r="I55" s="78" t="s">
        <v>114</v>
      </c>
      <c r="J55" s="79" t="s">
        <v>114</v>
      </c>
      <c r="K55" s="141" t="s">
        <v>114</v>
      </c>
      <c r="L55" s="108"/>
      <c r="M55" s="141" t="s">
        <v>114</v>
      </c>
      <c r="N55" s="108"/>
      <c r="O55" s="129"/>
      <c r="P55" s="78" t="s">
        <v>114</v>
      </c>
      <c r="Q55" s="141" t="s">
        <v>114</v>
      </c>
      <c r="R55" s="129"/>
      <c r="S55" s="50"/>
      <c r="T55" s="50"/>
      <c r="U55" s="50"/>
      <c r="V55" s="51" t="s">
        <v>114</v>
      </c>
      <c r="W55" s="51" t="str">
        <f t="shared" si="1"/>
        <v/>
      </c>
      <c r="X55" s="52"/>
      <c r="Y55" s="52"/>
      <c r="Z55" s="52"/>
    </row>
    <row r="56" spans="1:26" ht="12" customHeight="1" x14ac:dyDescent="0.3">
      <c r="A56" s="91" t="s">
        <v>114</v>
      </c>
      <c r="B56" s="79" t="s">
        <v>114</v>
      </c>
      <c r="C56" s="78" t="s">
        <v>114</v>
      </c>
      <c r="D56" s="77" t="s">
        <v>114</v>
      </c>
      <c r="E56" s="78" t="s">
        <v>114</v>
      </c>
      <c r="F56" s="79" t="s">
        <v>114</v>
      </c>
      <c r="G56" s="78" t="s">
        <v>114</v>
      </c>
      <c r="H56" s="79" t="s">
        <v>114</v>
      </c>
      <c r="I56" s="78" t="s">
        <v>114</v>
      </c>
      <c r="J56" s="79" t="s">
        <v>114</v>
      </c>
      <c r="K56" s="141" t="s">
        <v>114</v>
      </c>
      <c r="L56" s="108"/>
      <c r="M56" s="141" t="s">
        <v>114</v>
      </c>
      <c r="N56" s="108"/>
      <c r="O56" s="129"/>
      <c r="P56" s="78" t="s">
        <v>114</v>
      </c>
      <c r="Q56" s="141" t="s">
        <v>114</v>
      </c>
      <c r="R56" s="129"/>
      <c r="S56" s="50"/>
      <c r="T56" s="50"/>
      <c r="U56" s="50"/>
      <c r="V56" s="51" t="s">
        <v>114</v>
      </c>
      <c r="W56" s="51" t="str">
        <f t="shared" si="1"/>
        <v/>
      </c>
      <c r="X56" s="52"/>
      <c r="Y56" s="52"/>
      <c r="Z56" s="52"/>
    </row>
    <row r="57" spans="1:26" ht="12" customHeight="1" x14ac:dyDescent="0.3">
      <c r="A57" s="91" t="s">
        <v>114</v>
      </c>
      <c r="B57" s="79" t="s">
        <v>114</v>
      </c>
      <c r="C57" s="78" t="s">
        <v>114</v>
      </c>
      <c r="D57" s="77" t="s">
        <v>114</v>
      </c>
      <c r="E57" s="78" t="s">
        <v>114</v>
      </c>
      <c r="F57" s="79" t="s">
        <v>114</v>
      </c>
      <c r="G57" s="78" t="s">
        <v>114</v>
      </c>
      <c r="H57" s="79" t="s">
        <v>114</v>
      </c>
      <c r="I57" s="78" t="s">
        <v>114</v>
      </c>
      <c r="J57" s="79" t="s">
        <v>114</v>
      </c>
      <c r="K57" s="141" t="s">
        <v>114</v>
      </c>
      <c r="L57" s="108"/>
      <c r="M57" s="141" t="s">
        <v>114</v>
      </c>
      <c r="N57" s="108"/>
      <c r="O57" s="129"/>
      <c r="P57" s="78" t="s">
        <v>114</v>
      </c>
      <c r="Q57" s="141" t="s">
        <v>114</v>
      </c>
      <c r="R57" s="129"/>
      <c r="S57" s="50"/>
      <c r="T57" s="50"/>
      <c r="U57" s="50"/>
      <c r="V57" s="51" t="s">
        <v>114</v>
      </c>
      <c r="W57" s="51" t="str">
        <f t="shared" si="1"/>
        <v/>
      </c>
      <c r="X57" s="52"/>
      <c r="Y57" s="52"/>
      <c r="Z57" s="52"/>
    </row>
    <row r="58" spans="1:26" ht="12" customHeight="1" x14ac:dyDescent="0.3">
      <c r="A58" s="91" t="s">
        <v>114</v>
      </c>
      <c r="B58" s="79" t="s">
        <v>114</v>
      </c>
      <c r="C58" s="78" t="s">
        <v>114</v>
      </c>
      <c r="D58" s="77" t="s">
        <v>114</v>
      </c>
      <c r="E58" s="78" t="s">
        <v>114</v>
      </c>
      <c r="F58" s="79" t="s">
        <v>114</v>
      </c>
      <c r="G58" s="78" t="s">
        <v>114</v>
      </c>
      <c r="H58" s="79" t="s">
        <v>114</v>
      </c>
      <c r="I58" s="78" t="s">
        <v>114</v>
      </c>
      <c r="J58" s="79" t="s">
        <v>114</v>
      </c>
      <c r="K58" s="141" t="s">
        <v>114</v>
      </c>
      <c r="L58" s="108"/>
      <c r="M58" s="141" t="s">
        <v>114</v>
      </c>
      <c r="N58" s="108"/>
      <c r="O58" s="129"/>
      <c r="P58" s="78" t="s">
        <v>114</v>
      </c>
      <c r="Q58" s="141" t="s">
        <v>114</v>
      </c>
      <c r="R58" s="129"/>
      <c r="S58" s="50"/>
      <c r="T58" s="50"/>
      <c r="U58" s="50"/>
      <c r="V58" s="51" t="s">
        <v>114</v>
      </c>
      <c r="W58" s="51" t="str">
        <f t="shared" si="1"/>
        <v/>
      </c>
      <c r="X58" s="52"/>
      <c r="Y58" s="52"/>
      <c r="Z58" s="52"/>
    </row>
    <row r="59" spans="1:26" ht="12" customHeight="1" x14ac:dyDescent="0.3">
      <c r="A59" s="92" t="s">
        <v>114</v>
      </c>
      <c r="B59" s="84" t="s">
        <v>114</v>
      </c>
      <c r="C59" s="83" t="s">
        <v>114</v>
      </c>
      <c r="D59" s="93" t="s">
        <v>114</v>
      </c>
      <c r="E59" s="83" t="s">
        <v>114</v>
      </c>
      <c r="F59" s="84" t="s">
        <v>114</v>
      </c>
      <c r="G59" s="83" t="s">
        <v>114</v>
      </c>
      <c r="H59" s="84" t="s">
        <v>114</v>
      </c>
      <c r="I59" s="83" t="s">
        <v>114</v>
      </c>
      <c r="J59" s="84" t="s">
        <v>114</v>
      </c>
      <c r="K59" s="140" t="s">
        <v>114</v>
      </c>
      <c r="L59" s="127"/>
      <c r="M59" s="140" t="s">
        <v>114</v>
      </c>
      <c r="N59" s="126"/>
      <c r="O59" s="127"/>
      <c r="P59" s="85" t="s">
        <v>114</v>
      </c>
      <c r="Q59" s="140" t="s">
        <v>114</v>
      </c>
      <c r="R59" s="127"/>
      <c r="S59" s="50"/>
      <c r="T59" s="50"/>
      <c r="U59" s="50"/>
      <c r="V59" s="51" t="s">
        <v>114</v>
      </c>
      <c r="W59" s="51" t="str">
        <f t="shared" si="1"/>
        <v/>
      </c>
      <c r="X59" s="52"/>
      <c r="Y59" s="52"/>
      <c r="Z59" s="52"/>
    </row>
    <row r="60" spans="1:26" ht="12" customHeight="1" x14ac:dyDescent="0.3">
      <c r="A60" s="94" t="s">
        <v>164</v>
      </c>
      <c r="B60" s="95"/>
      <c r="C60" s="63"/>
      <c r="D60" s="63"/>
      <c r="E60" s="63"/>
      <c r="F60" s="63"/>
      <c r="G60" s="63"/>
      <c r="H60" s="63"/>
      <c r="I60" s="63"/>
      <c r="J60" s="63"/>
      <c r="K60" s="149"/>
      <c r="L60" s="108"/>
      <c r="M60" s="149"/>
      <c r="N60" s="108"/>
      <c r="O60" s="108"/>
      <c r="P60" s="63"/>
      <c r="Q60" s="149"/>
      <c r="R60" s="108"/>
      <c r="S60" s="50"/>
      <c r="T60" s="50"/>
      <c r="U60" s="50"/>
      <c r="V60" s="51"/>
      <c r="W60" s="51"/>
      <c r="X60" s="52"/>
      <c r="Y60" s="52"/>
      <c r="Z60" s="52"/>
    </row>
    <row r="61" spans="1:26" ht="12" customHeight="1" x14ac:dyDescent="0.3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150"/>
      <c r="L61" s="108"/>
      <c r="M61" s="150"/>
      <c r="N61" s="108"/>
      <c r="O61" s="108"/>
      <c r="P61" s="52"/>
      <c r="Q61" s="150"/>
      <c r="R61" s="108"/>
      <c r="S61" s="50"/>
      <c r="T61" s="50"/>
      <c r="U61" s="50"/>
      <c r="V61" s="51"/>
      <c r="W61" s="51"/>
      <c r="X61" s="52"/>
      <c r="Y61" s="52"/>
      <c r="Z61" s="52"/>
    </row>
    <row r="62" spans="1:26" ht="12" customHeight="1" x14ac:dyDescent="0.3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150"/>
      <c r="L62" s="108"/>
      <c r="M62" s="150"/>
      <c r="N62" s="108"/>
      <c r="O62" s="108"/>
      <c r="P62" s="52"/>
      <c r="Q62" s="150"/>
      <c r="R62" s="108"/>
      <c r="S62" s="50"/>
      <c r="T62" s="50"/>
      <c r="U62" s="50"/>
      <c r="V62" s="51"/>
      <c r="W62" s="51"/>
      <c r="X62" s="52"/>
      <c r="Y62" s="52"/>
      <c r="Z62" s="52"/>
    </row>
    <row r="63" spans="1:26" ht="12" customHeight="1" x14ac:dyDescent="0.3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150"/>
      <c r="L63" s="108"/>
      <c r="M63" s="150"/>
      <c r="N63" s="108"/>
      <c r="O63" s="108"/>
      <c r="P63" s="52"/>
      <c r="Q63" s="150"/>
      <c r="R63" s="108"/>
      <c r="S63" s="50"/>
      <c r="T63" s="50"/>
      <c r="U63" s="50"/>
      <c r="V63" s="51"/>
      <c r="W63" s="51"/>
      <c r="X63" s="52"/>
      <c r="Y63" s="52"/>
      <c r="Z63" s="52"/>
    </row>
    <row r="64" spans="1:26" ht="12" customHeight="1" x14ac:dyDescent="0.3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0"/>
      <c r="T64" s="50"/>
      <c r="U64" s="50"/>
      <c r="V64" s="51"/>
      <c r="W64" s="51"/>
      <c r="X64" s="52"/>
      <c r="Y64" s="52"/>
      <c r="Z64" s="52"/>
    </row>
    <row r="65" spans="1:26" ht="12" customHeight="1" x14ac:dyDescent="0.3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0"/>
      <c r="T65" s="50"/>
      <c r="U65" s="50"/>
      <c r="V65" s="51"/>
      <c r="W65" s="51"/>
      <c r="X65" s="52"/>
      <c r="Y65" s="52"/>
      <c r="Z65" s="52"/>
    </row>
    <row r="66" spans="1:26" ht="12" customHeight="1" x14ac:dyDescent="0.3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0"/>
      <c r="T66" s="50"/>
      <c r="U66" s="50"/>
      <c r="V66" s="51"/>
      <c r="W66" s="51"/>
      <c r="X66" s="52"/>
      <c r="Y66" s="52"/>
      <c r="Z66" s="52"/>
    </row>
    <row r="67" spans="1:26" ht="12" customHeight="1" x14ac:dyDescent="0.3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0"/>
      <c r="T67" s="50"/>
      <c r="U67" s="50"/>
      <c r="V67" s="51"/>
      <c r="W67" s="51"/>
      <c r="X67" s="52"/>
      <c r="Y67" s="52"/>
      <c r="Z67" s="52"/>
    </row>
    <row r="68" spans="1:26" ht="12" customHeight="1" x14ac:dyDescent="0.3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0"/>
      <c r="T68" s="50"/>
      <c r="U68" s="50"/>
      <c r="V68" s="51"/>
      <c r="W68" s="51"/>
      <c r="X68" s="52"/>
      <c r="Y68" s="52"/>
      <c r="Z68" s="52"/>
    </row>
    <row r="69" spans="1:26" ht="12" customHeight="1" x14ac:dyDescent="0.3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0"/>
      <c r="T69" s="50"/>
      <c r="U69" s="50"/>
      <c r="V69" s="51"/>
      <c r="W69" s="51"/>
      <c r="X69" s="52"/>
      <c r="Y69" s="52"/>
      <c r="Z69" s="52"/>
    </row>
    <row r="70" spans="1:26" ht="12" customHeight="1" x14ac:dyDescent="0.3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0"/>
      <c r="T70" s="50"/>
      <c r="U70" s="50"/>
      <c r="V70" s="51"/>
      <c r="W70" s="51"/>
      <c r="X70" s="52"/>
      <c r="Y70" s="52"/>
      <c r="Z70" s="52"/>
    </row>
    <row r="71" spans="1:26" ht="12" customHeight="1" x14ac:dyDescent="0.3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0"/>
      <c r="T71" s="50"/>
      <c r="U71" s="50"/>
      <c r="V71" s="51"/>
      <c r="W71" s="51"/>
      <c r="X71" s="52"/>
      <c r="Y71" s="52"/>
      <c r="Z71" s="52"/>
    </row>
    <row r="72" spans="1:26" ht="12" customHeight="1" x14ac:dyDescent="0.3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0"/>
      <c r="T72" s="50"/>
      <c r="U72" s="50"/>
      <c r="V72" s="51"/>
      <c r="W72" s="51"/>
      <c r="X72" s="52"/>
      <c r="Y72" s="52"/>
      <c r="Z72" s="52"/>
    </row>
    <row r="73" spans="1:26" ht="12" customHeight="1" x14ac:dyDescent="0.3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0"/>
      <c r="T73" s="50"/>
      <c r="U73" s="50"/>
      <c r="V73" s="51"/>
      <c r="W73" s="51"/>
      <c r="X73" s="52"/>
      <c r="Y73" s="52"/>
      <c r="Z73" s="52"/>
    </row>
    <row r="74" spans="1:26" ht="12" customHeight="1" x14ac:dyDescent="0.3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0"/>
      <c r="T74" s="50"/>
      <c r="U74" s="50"/>
      <c r="V74" s="51"/>
      <c r="W74" s="51"/>
      <c r="X74" s="52"/>
      <c r="Y74" s="52"/>
      <c r="Z74" s="52"/>
    </row>
    <row r="75" spans="1:26" ht="12" customHeight="1" x14ac:dyDescent="0.3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0"/>
      <c r="T75" s="50"/>
      <c r="U75" s="50"/>
      <c r="V75" s="51"/>
      <c r="W75" s="51"/>
      <c r="X75" s="52"/>
      <c r="Y75" s="52"/>
      <c r="Z75" s="52"/>
    </row>
    <row r="76" spans="1:26" ht="12" customHeight="1" x14ac:dyDescent="0.3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0"/>
      <c r="T76" s="50"/>
      <c r="U76" s="50"/>
      <c r="V76" s="51"/>
      <c r="W76" s="51"/>
      <c r="X76" s="52"/>
      <c r="Y76" s="52"/>
      <c r="Z76" s="52"/>
    </row>
    <row r="77" spans="1:26" ht="12" customHeight="1" x14ac:dyDescent="0.3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0"/>
      <c r="T77" s="50"/>
      <c r="U77" s="50"/>
      <c r="V77" s="51"/>
      <c r="W77" s="51"/>
      <c r="X77" s="52"/>
      <c r="Y77" s="52"/>
      <c r="Z77" s="52"/>
    </row>
    <row r="78" spans="1:26" ht="12" customHeight="1" x14ac:dyDescent="0.3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0"/>
      <c r="T78" s="50"/>
      <c r="U78" s="50"/>
      <c r="V78" s="51"/>
      <c r="W78" s="51"/>
      <c r="X78" s="52"/>
      <c r="Y78" s="52"/>
      <c r="Z78" s="52"/>
    </row>
    <row r="79" spans="1:26" ht="12" customHeight="1" x14ac:dyDescent="0.3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0"/>
      <c r="T79" s="50"/>
      <c r="U79" s="50"/>
      <c r="V79" s="51"/>
      <c r="W79" s="51"/>
      <c r="X79" s="52"/>
      <c r="Y79" s="52"/>
      <c r="Z79" s="52"/>
    </row>
    <row r="80" spans="1:26" ht="12" customHeight="1" x14ac:dyDescent="0.3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0"/>
      <c r="T80" s="50"/>
      <c r="U80" s="50"/>
      <c r="V80" s="51"/>
      <c r="W80" s="51"/>
      <c r="X80" s="52"/>
      <c r="Y80" s="52"/>
      <c r="Z80" s="52"/>
    </row>
    <row r="81" spans="1:26" ht="12" customHeight="1" x14ac:dyDescent="0.3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0"/>
      <c r="T81" s="50"/>
      <c r="U81" s="50"/>
      <c r="V81" s="51"/>
      <c r="W81" s="51"/>
      <c r="X81" s="52"/>
      <c r="Y81" s="52"/>
      <c r="Z81" s="52"/>
    </row>
    <row r="82" spans="1:26" ht="12" customHeight="1" x14ac:dyDescent="0.3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0"/>
      <c r="T82" s="50"/>
      <c r="U82" s="50"/>
      <c r="V82" s="51"/>
      <c r="W82" s="51"/>
      <c r="X82" s="52"/>
      <c r="Y82" s="52"/>
      <c r="Z82" s="52"/>
    </row>
    <row r="83" spans="1:26" ht="12" customHeight="1" x14ac:dyDescent="0.3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0"/>
      <c r="T83" s="50"/>
      <c r="U83" s="50"/>
      <c r="V83" s="51"/>
      <c r="W83" s="51"/>
      <c r="X83" s="52"/>
      <c r="Y83" s="52"/>
      <c r="Z83" s="52"/>
    </row>
    <row r="84" spans="1:26" ht="12" customHeight="1" x14ac:dyDescent="0.3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0"/>
      <c r="T84" s="50"/>
      <c r="U84" s="50"/>
      <c r="V84" s="51"/>
      <c r="W84" s="51"/>
      <c r="X84" s="52"/>
      <c r="Y84" s="52"/>
      <c r="Z84" s="52"/>
    </row>
    <row r="85" spans="1:26" ht="12" customHeight="1" x14ac:dyDescent="0.3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0"/>
      <c r="T85" s="50"/>
      <c r="U85" s="50"/>
      <c r="V85" s="51"/>
      <c r="W85" s="51"/>
      <c r="X85" s="52"/>
      <c r="Y85" s="52"/>
      <c r="Z85" s="52"/>
    </row>
    <row r="86" spans="1:26" ht="12" customHeight="1" x14ac:dyDescent="0.3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0"/>
      <c r="T86" s="50"/>
      <c r="U86" s="50"/>
      <c r="V86" s="51"/>
      <c r="W86" s="51"/>
      <c r="X86" s="52"/>
      <c r="Y86" s="52"/>
      <c r="Z86" s="52"/>
    </row>
    <row r="87" spans="1:26" ht="12" customHeight="1" x14ac:dyDescent="0.3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0"/>
      <c r="T87" s="50"/>
      <c r="U87" s="50"/>
      <c r="V87" s="51"/>
      <c r="W87" s="51"/>
      <c r="X87" s="52"/>
      <c r="Y87" s="52"/>
      <c r="Z87" s="52"/>
    </row>
    <row r="88" spans="1:26" ht="12" customHeight="1" x14ac:dyDescent="0.3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0"/>
      <c r="T88" s="50"/>
      <c r="U88" s="50"/>
      <c r="V88" s="51"/>
      <c r="W88" s="51"/>
      <c r="X88" s="52"/>
      <c r="Y88" s="52"/>
      <c r="Z88" s="52"/>
    </row>
    <row r="89" spans="1:26" ht="12" customHeight="1" x14ac:dyDescent="0.3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0"/>
      <c r="T89" s="50"/>
      <c r="U89" s="50"/>
      <c r="V89" s="51"/>
      <c r="W89" s="51"/>
      <c r="X89" s="52"/>
      <c r="Y89" s="52"/>
      <c r="Z89" s="52"/>
    </row>
    <row r="90" spans="1:26" ht="12" customHeight="1" x14ac:dyDescent="0.3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0"/>
      <c r="T90" s="50"/>
      <c r="U90" s="50"/>
      <c r="V90" s="51"/>
      <c r="W90" s="51"/>
      <c r="X90" s="52"/>
      <c r="Y90" s="52"/>
      <c r="Z90" s="52"/>
    </row>
    <row r="91" spans="1:26" ht="12" customHeight="1" x14ac:dyDescent="0.3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0"/>
      <c r="T91" s="50"/>
      <c r="U91" s="50"/>
      <c r="V91" s="51"/>
      <c r="W91" s="51"/>
      <c r="X91" s="52"/>
      <c r="Y91" s="52"/>
      <c r="Z91" s="52"/>
    </row>
    <row r="92" spans="1:26" ht="12" customHeight="1" x14ac:dyDescent="0.3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0"/>
      <c r="T92" s="50"/>
      <c r="U92" s="50"/>
      <c r="V92" s="51"/>
      <c r="W92" s="51"/>
      <c r="X92" s="52"/>
      <c r="Y92" s="52"/>
      <c r="Z92" s="52"/>
    </row>
    <row r="93" spans="1:26" ht="12" customHeight="1" x14ac:dyDescent="0.3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0"/>
      <c r="T93" s="50"/>
      <c r="U93" s="50"/>
      <c r="V93" s="51"/>
      <c r="W93" s="51"/>
      <c r="X93" s="52"/>
      <c r="Y93" s="52"/>
      <c r="Z93" s="52"/>
    </row>
    <row r="94" spans="1:26" ht="12" customHeight="1" x14ac:dyDescent="0.3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0"/>
      <c r="T94" s="50"/>
      <c r="U94" s="50"/>
      <c r="V94" s="51"/>
      <c r="W94" s="51"/>
      <c r="X94" s="52"/>
      <c r="Y94" s="52"/>
      <c r="Z94" s="52"/>
    </row>
    <row r="95" spans="1:26" ht="12" customHeight="1" x14ac:dyDescent="0.3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0"/>
      <c r="T95" s="50"/>
      <c r="U95" s="50"/>
      <c r="V95" s="51"/>
      <c r="W95" s="51"/>
      <c r="X95" s="52"/>
      <c r="Y95" s="52"/>
      <c r="Z95" s="52"/>
    </row>
    <row r="96" spans="1:26" ht="12" customHeight="1" x14ac:dyDescent="0.3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0"/>
      <c r="T96" s="50"/>
      <c r="U96" s="50"/>
      <c r="V96" s="51"/>
      <c r="W96" s="51"/>
      <c r="X96" s="52"/>
      <c r="Y96" s="52"/>
      <c r="Z96" s="52"/>
    </row>
    <row r="97" spans="1:26" ht="12" customHeight="1" x14ac:dyDescent="0.3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0"/>
      <c r="T97" s="50"/>
      <c r="U97" s="50"/>
      <c r="V97" s="51"/>
      <c r="W97" s="51"/>
      <c r="X97" s="52"/>
      <c r="Y97" s="52"/>
      <c r="Z97" s="52"/>
    </row>
    <row r="98" spans="1:26" ht="12" customHeight="1" x14ac:dyDescent="0.3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0"/>
      <c r="T98" s="50"/>
      <c r="U98" s="50"/>
      <c r="V98" s="51"/>
      <c r="W98" s="51"/>
      <c r="X98" s="52"/>
      <c r="Y98" s="52"/>
      <c r="Z98" s="52"/>
    </row>
    <row r="99" spans="1:26" ht="12" customHeight="1" x14ac:dyDescent="0.3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0"/>
      <c r="T99" s="50"/>
      <c r="U99" s="50"/>
      <c r="V99" s="51"/>
      <c r="W99" s="51"/>
      <c r="X99" s="52"/>
      <c r="Y99" s="52"/>
      <c r="Z99" s="52"/>
    </row>
    <row r="100" spans="1:26" ht="12" customHeight="1" x14ac:dyDescent="0.3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0"/>
      <c r="T100" s="50"/>
      <c r="U100" s="50"/>
      <c r="V100" s="51"/>
      <c r="W100" s="51"/>
      <c r="X100" s="52"/>
      <c r="Y100" s="52"/>
      <c r="Z100" s="52"/>
    </row>
    <row r="101" spans="1:26" ht="12" customHeight="1" x14ac:dyDescent="0.3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0"/>
      <c r="T101" s="50"/>
      <c r="U101" s="50"/>
      <c r="V101" s="51"/>
      <c r="W101" s="51"/>
      <c r="X101" s="52"/>
      <c r="Y101" s="52"/>
      <c r="Z101" s="52"/>
    </row>
    <row r="102" spans="1:26" ht="12" customHeight="1" x14ac:dyDescent="0.3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0"/>
      <c r="T102" s="50"/>
      <c r="U102" s="50"/>
      <c r="V102" s="51"/>
      <c r="W102" s="51"/>
      <c r="X102" s="52"/>
      <c r="Y102" s="52"/>
      <c r="Z102" s="52"/>
    </row>
    <row r="103" spans="1:26" ht="12" customHeight="1" x14ac:dyDescent="0.3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0"/>
      <c r="T103" s="50"/>
      <c r="U103" s="50"/>
      <c r="V103" s="51"/>
      <c r="W103" s="51"/>
      <c r="X103" s="52"/>
      <c r="Y103" s="52"/>
      <c r="Z103" s="52"/>
    </row>
    <row r="104" spans="1:26" ht="12" customHeight="1" x14ac:dyDescent="0.3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0"/>
      <c r="T104" s="50"/>
      <c r="U104" s="50"/>
      <c r="V104" s="51"/>
      <c r="W104" s="51"/>
      <c r="X104" s="52"/>
      <c r="Y104" s="52"/>
      <c r="Z104" s="52"/>
    </row>
    <row r="105" spans="1:26" ht="12" customHeight="1" x14ac:dyDescent="0.3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0"/>
      <c r="T105" s="50"/>
      <c r="U105" s="50"/>
      <c r="V105" s="51"/>
      <c r="W105" s="51"/>
      <c r="X105" s="52"/>
      <c r="Y105" s="52"/>
      <c r="Z105" s="52"/>
    </row>
    <row r="106" spans="1:26" ht="12" customHeight="1" x14ac:dyDescent="0.3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0"/>
      <c r="T106" s="50"/>
      <c r="U106" s="50"/>
      <c r="V106" s="51"/>
      <c r="W106" s="51"/>
      <c r="X106" s="52"/>
      <c r="Y106" s="52"/>
      <c r="Z106" s="52"/>
    </row>
    <row r="107" spans="1:26" ht="12" customHeight="1" x14ac:dyDescent="0.3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0"/>
      <c r="T107" s="50"/>
      <c r="U107" s="50"/>
      <c r="V107" s="51"/>
      <c r="W107" s="51"/>
      <c r="X107" s="52"/>
      <c r="Y107" s="52"/>
      <c r="Z107" s="52"/>
    </row>
    <row r="108" spans="1:26" ht="12" customHeight="1" x14ac:dyDescent="0.3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0"/>
      <c r="T108" s="50"/>
      <c r="U108" s="50"/>
      <c r="V108" s="51"/>
      <c r="W108" s="51"/>
      <c r="X108" s="52"/>
      <c r="Y108" s="52"/>
      <c r="Z108" s="52"/>
    </row>
    <row r="109" spans="1:26" ht="12" customHeight="1" x14ac:dyDescent="0.3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0"/>
      <c r="T109" s="50"/>
      <c r="U109" s="50"/>
      <c r="V109" s="51"/>
      <c r="W109" s="51"/>
      <c r="X109" s="52"/>
      <c r="Y109" s="52"/>
      <c r="Z109" s="52"/>
    </row>
    <row r="110" spans="1:26" ht="12" customHeight="1" x14ac:dyDescent="0.3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0"/>
      <c r="T110" s="50"/>
      <c r="U110" s="50"/>
      <c r="V110" s="51"/>
      <c r="W110" s="51"/>
      <c r="X110" s="52"/>
      <c r="Y110" s="52"/>
      <c r="Z110" s="52"/>
    </row>
    <row r="111" spans="1:26" ht="12" customHeight="1" x14ac:dyDescent="0.3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0"/>
      <c r="T111" s="50"/>
      <c r="U111" s="50"/>
      <c r="V111" s="51"/>
      <c r="W111" s="51"/>
      <c r="X111" s="52"/>
      <c r="Y111" s="52"/>
      <c r="Z111" s="52"/>
    </row>
    <row r="112" spans="1:26" ht="12" customHeight="1" x14ac:dyDescent="0.3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0"/>
      <c r="T112" s="50"/>
      <c r="U112" s="50"/>
      <c r="V112" s="51"/>
      <c r="W112" s="51"/>
      <c r="X112" s="52"/>
      <c r="Y112" s="52"/>
      <c r="Z112" s="52"/>
    </row>
    <row r="113" spans="1:26" ht="12" customHeight="1" x14ac:dyDescent="0.3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0"/>
      <c r="T113" s="50"/>
      <c r="U113" s="50"/>
      <c r="V113" s="51"/>
      <c r="W113" s="51"/>
      <c r="X113" s="52"/>
      <c r="Y113" s="52"/>
      <c r="Z113" s="52"/>
    </row>
    <row r="114" spans="1:26" ht="12" customHeight="1" x14ac:dyDescent="0.3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0"/>
      <c r="T114" s="50"/>
      <c r="U114" s="50"/>
      <c r="V114" s="51"/>
      <c r="W114" s="51"/>
      <c r="X114" s="52"/>
      <c r="Y114" s="52"/>
      <c r="Z114" s="52"/>
    </row>
    <row r="115" spans="1:26" ht="12" customHeight="1" x14ac:dyDescent="0.3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0"/>
      <c r="T115" s="50"/>
      <c r="U115" s="50"/>
      <c r="V115" s="51"/>
      <c r="W115" s="51"/>
      <c r="X115" s="52"/>
      <c r="Y115" s="52"/>
      <c r="Z115" s="52"/>
    </row>
    <row r="116" spans="1:26" ht="12" customHeight="1" x14ac:dyDescent="0.3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0"/>
      <c r="T116" s="50"/>
      <c r="U116" s="50"/>
      <c r="V116" s="51"/>
      <c r="W116" s="51"/>
      <c r="X116" s="52"/>
      <c r="Y116" s="52"/>
      <c r="Z116" s="52"/>
    </row>
    <row r="117" spans="1:26" ht="12" customHeight="1" x14ac:dyDescent="0.3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0"/>
      <c r="T117" s="50"/>
      <c r="U117" s="50"/>
      <c r="V117" s="51"/>
      <c r="W117" s="51"/>
      <c r="X117" s="52"/>
      <c r="Y117" s="52"/>
      <c r="Z117" s="52"/>
    </row>
    <row r="118" spans="1:26" ht="12" customHeight="1" x14ac:dyDescent="0.3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0"/>
      <c r="T118" s="50"/>
      <c r="U118" s="50"/>
      <c r="V118" s="51"/>
      <c r="W118" s="51"/>
      <c r="X118" s="52"/>
      <c r="Y118" s="52"/>
      <c r="Z118" s="52"/>
    </row>
    <row r="119" spans="1:26" ht="12" customHeight="1" x14ac:dyDescent="0.3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0"/>
      <c r="T119" s="50"/>
      <c r="U119" s="50"/>
      <c r="V119" s="51"/>
      <c r="W119" s="51"/>
      <c r="X119" s="52"/>
      <c r="Y119" s="52"/>
      <c r="Z119" s="52"/>
    </row>
    <row r="120" spans="1:26" ht="12" customHeight="1" x14ac:dyDescent="0.3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0"/>
      <c r="T120" s="50"/>
      <c r="U120" s="50"/>
      <c r="V120" s="51"/>
      <c r="W120" s="51"/>
      <c r="X120" s="52"/>
      <c r="Y120" s="52"/>
      <c r="Z120" s="52"/>
    </row>
    <row r="121" spans="1:26" ht="12" customHeight="1" x14ac:dyDescent="0.3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0"/>
      <c r="T121" s="50"/>
      <c r="U121" s="50"/>
      <c r="V121" s="51"/>
      <c r="W121" s="51"/>
      <c r="X121" s="52"/>
      <c r="Y121" s="52"/>
      <c r="Z121" s="52"/>
    </row>
    <row r="122" spans="1:26" ht="12" customHeight="1" x14ac:dyDescent="0.3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0"/>
      <c r="T122" s="50"/>
      <c r="U122" s="50"/>
      <c r="V122" s="51"/>
      <c r="W122" s="51"/>
      <c r="X122" s="52"/>
      <c r="Y122" s="52"/>
      <c r="Z122" s="52"/>
    </row>
    <row r="123" spans="1:26" ht="12" customHeight="1" x14ac:dyDescent="0.3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0"/>
      <c r="T123" s="50"/>
      <c r="U123" s="50"/>
      <c r="V123" s="51"/>
      <c r="W123" s="51"/>
      <c r="X123" s="52"/>
      <c r="Y123" s="52"/>
      <c r="Z123" s="52"/>
    </row>
    <row r="124" spans="1:26" ht="12" customHeight="1" x14ac:dyDescent="0.3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0"/>
      <c r="T124" s="50"/>
      <c r="U124" s="50"/>
      <c r="V124" s="51"/>
      <c r="W124" s="51"/>
      <c r="X124" s="52"/>
      <c r="Y124" s="52"/>
      <c r="Z124" s="52"/>
    </row>
    <row r="125" spans="1:26" ht="12" customHeight="1" x14ac:dyDescent="0.3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0"/>
      <c r="T125" s="50"/>
      <c r="U125" s="50"/>
      <c r="V125" s="51"/>
      <c r="W125" s="51"/>
      <c r="X125" s="52"/>
      <c r="Y125" s="52"/>
      <c r="Z125" s="52"/>
    </row>
    <row r="126" spans="1:26" ht="12" customHeight="1" x14ac:dyDescent="0.3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0"/>
      <c r="T126" s="50"/>
      <c r="U126" s="50"/>
      <c r="V126" s="51"/>
      <c r="W126" s="51"/>
      <c r="X126" s="52"/>
      <c r="Y126" s="52"/>
      <c r="Z126" s="52"/>
    </row>
    <row r="127" spans="1:26" ht="12" customHeight="1" x14ac:dyDescent="0.3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0"/>
      <c r="T127" s="50"/>
      <c r="U127" s="50"/>
      <c r="V127" s="51"/>
      <c r="W127" s="51"/>
      <c r="X127" s="52"/>
      <c r="Y127" s="52"/>
      <c r="Z127" s="52"/>
    </row>
    <row r="128" spans="1:26" ht="12" customHeight="1" x14ac:dyDescent="0.3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0"/>
      <c r="T128" s="50"/>
      <c r="U128" s="50"/>
      <c r="V128" s="51"/>
      <c r="W128" s="51"/>
      <c r="X128" s="52"/>
      <c r="Y128" s="52"/>
      <c r="Z128" s="52"/>
    </row>
    <row r="129" spans="1:26" ht="12" customHeight="1" x14ac:dyDescent="0.3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0"/>
      <c r="T129" s="50"/>
      <c r="U129" s="50"/>
      <c r="V129" s="51"/>
      <c r="W129" s="51"/>
      <c r="X129" s="52"/>
      <c r="Y129" s="52"/>
      <c r="Z129" s="52"/>
    </row>
    <row r="130" spans="1:26" ht="12" customHeight="1" x14ac:dyDescent="0.3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0"/>
      <c r="T130" s="50"/>
      <c r="U130" s="50"/>
      <c r="V130" s="51"/>
      <c r="W130" s="51"/>
      <c r="X130" s="52"/>
      <c r="Y130" s="52"/>
      <c r="Z130" s="52"/>
    </row>
    <row r="131" spans="1:26" ht="12" customHeight="1" x14ac:dyDescent="0.3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0"/>
      <c r="T131" s="50"/>
      <c r="U131" s="50"/>
      <c r="V131" s="51"/>
      <c r="W131" s="51"/>
      <c r="X131" s="52"/>
      <c r="Y131" s="52"/>
      <c r="Z131" s="52"/>
    </row>
    <row r="132" spans="1:26" ht="12" customHeight="1" x14ac:dyDescent="0.3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0"/>
      <c r="T132" s="50"/>
      <c r="U132" s="50"/>
      <c r="V132" s="51"/>
      <c r="W132" s="51"/>
      <c r="X132" s="52"/>
      <c r="Y132" s="52"/>
      <c r="Z132" s="52"/>
    </row>
    <row r="133" spans="1:26" ht="12" customHeight="1" x14ac:dyDescent="0.3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0"/>
      <c r="T133" s="50"/>
      <c r="U133" s="50"/>
      <c r="V133" s="51"/>
      <c r="W133" s="51"/>
      <c r="X133" s="52"/>
      <c r="Y133" s="52"/>
      <c r="Z133" s="52"/>
    </row>
    <row r="134" spans="1:26" ht="12" customHeight="1" x14ac:dyDescent="0.3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0"/>
      <c r="T134" s="50"/>
      <c r="U134" s="50"/>
      <c r="V134" s="51"/>
      <c r="W134" s="51"/>
      <c r="X134" s="52"/>
      <c r="Y134" s="52"/>
      <c r="Z134" s="52"/>
    </row>
    <row r="135" spans="1:26" ht="12" customHeight="1" x14ac:dyDescent="0.3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0"/>
      <c r="T135" s="50"/>
      <c r="U135" s="50"/>
      <c r="V135" s="51"/>
      <c r="W135" s="51"/>
      <c r="X135" s="52"/>
      <c r="Y135" s="52"/>
      <c r="Z135" s="52"/>
    </row>
    <row r="136" spans="1:26" ht="12" customHeight="1" x14ac:dyDescent="0.3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0"/>
      <c r="T136" s="50"/>
      <c r="U136" s="50"/>
      <c r="V136" s="51"/>
      <c r="W136" s="51"/>
      <c r="X136" s="52"/>
      <c r="Y136" s="52"/>
      <c r="Z136" s="52"/>
    </row>
    <row r="137" spans="1:26" ht="12" customHeight="1" x14ac:dyDescent="0.3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0"/>
      <c r="T137" s="50"/>
      <c r="U137" s="50"/>
      <c r="V137" s="51"/>
      <c r="W137" s="51"/>
      <c r="X137" s="52"/>
      <c r="Y137" s="52"/>
      <c r="Z137" s="52"/>
    </row>
    <row r="138" spans="1:26" ht="12" customHeight="1" x14ac:dyDescent="0.3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0"/>
      <c r="T138" s="50"/>
      <c r="U138" s="50"/>
      <c r="V138" s="51"/>
      <c r="W138" s="51"/>
      <c r="X138" s="52"/>
      <c r="Y138" s="52"/>
      <c r="Z138" s="52"/>
    </row>
    <row r="139" spans="1:26" ht="12" customHeight="1" x14ac:dyDescent="0.3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0"/>
      <c r="T139" s="50"/>
      <c r="U139" s="50"/>
      <c r="V139" s="51"/>
      <c r="W139" s="51"/>
      <c r="X139" s="52"/>
      <c r="Y139" s="52"/>
      <c r="Z139" s="52"/>
    </row>
    <row r="140" spans="1:26" ht="12" customHeight="1" x14ac:dyDescent="0.3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0"/>
      <c r="T140" s="50"/>
      <c r="U140" s="50"/>
      <c r="V140" s="51"/>
      <c r="W140" s="51"/>
      <c r="X140" s="52"/>
      <c r="Y140" s="52"/>
      <c r="Z140" s="52"/>
    </row>
    <row r="141" spans="1:26" ht="12" customHeight="1" x14ac:dyDescent="0.3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0"/>
      <c r="T141" s="50"/>
      <c r="U141" s="50"/>
      <c r="V141" s="51"/>
      <c r="W141" s="51"/>
      <c r="X141" s="52"/>
      <c r="Y141" s="52"/>
      <c r="Z141" s="52"/>
    </row>
    <row r="142" spans="1:26" ht="12" customHeight="1" x14ac:dyDescent="0.3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0"/>
      <c r="T142" s="50"/>
      <c r="U142" s="50"/>
      <c r="V142" s="51"/>
      <c r="W142" s="51"/>
      <c r="X142" s="52"/>
      <c r="Y142" s="52"/>
      <c r="Z142" s="52"/>
    </row>
    <row r="143" spans="1:26" ht="12" customHeight="1" x14ac:dyDescent="0.3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0"/>
      <c r="T143" s="50"/>
      <c r="U143" s="50"/>
      <c r="V143" s="51"/>
      <c r="W143" s="51"/>
      <c r="X143" s="52"/>
      <c r="Y143" s="52"/>
      <c r="Z143" s="52"/>
    </row>
    <row r="144" spans="1:26" ht="12" customHeight="1" x14ac:dyDescent="0.3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0"/>
      <c r="T144" s="50"/>
      <c r="U144" s="50"/>
      <c r="V144" s="51"/>
      <c r="W144" s="51"/>
      <c r="X144" s="52"/>
      <c r="Y144" s="52"/>
      <c r="Z144" s="52"/>
    </row>
    <row r="145" spans="1:26" ht="12" customHeight="1" x14ac:dyDescent="0.3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0"/>
      <c r="T145" s="50"/>
      <c r="U145" s="50"/>
      <c r="V145" s="51"/>
      <c r="W145" s="51"/>
      <c r="X145" s="52"/>
      <c r="Y145" s="52"/>
      <c r="Z145" s="52"/>
    </row>
    <row r="146" spans="1:26" ht="12" customHeight="1" x14ac:dyDescent="0.3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0"/>
      <c r="T146" s="50"/>
      <c r="U146" s="50"/>
      <c r="V146" s="51"/>
      <c r="W146" s="51"/>
      <c r="X146" s="52"/>
      <c r="Y146" s="52"/>
      <c r="Z146" s="52"/>
    </row>
    <row r="147" spans="1:26" ht="12" customHeight="1" x14ac:dyDescent="0.3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0"/>
      <c r="T147" s="50"/>
      <c r="U147" s="50"/>
      <c r="V147" s="51"/>
      <c r="W147" s="51"/>
      <c r="X147" s="52"/>
      <c r="Y147" s="52"/>
      <c r="Z147" s="52"/>
    </row>
    <row r="148" spans="1:26" ht="12" customHeight="1" x14ac:dyDescent="0.3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0"/>
      <c r="T148" s="50"/>
      <c r="U148" s="50"/>
      <c r="V148" s="51"/>
      <c r="W148" s="51"/>
      <c r="X148" s="52"/>
      <c r="Y148" s="52"/>
      <c r="Z148" s="52"/>
    </row>
    <row r="149" spans="1:26" ht="12" customHeight="1" x14ac:dyDescent="0.3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0"/>
      <c r="T149" s="50"/>
      <c r="U149" s="50"/>
      <c r="V149" s="51"/>
      <c r="W149" s="51"/>
      <c r="X149" s="52"/>
      <c r="Y149" s="52"/>
      <c r="Z149" s="52"/>
    </row>
    <row r="150" spans="1:26" ht="12" customHeight="1" x14ac:dyDescent="0.3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0"/>
      <c r="T150" s="50"/>
      <c r="U150" s="50"/>
      <c r="V150" s="51"/>
      <c r="W150" s="51"/>
      <c r="X150" s="52"/>
      <c r="Y150" s="52"/>
      <c r="Z150" s="52"/>
    </row>
    <row r="151" spans="1:26" ht="12" customHeight="1" x14ac:dyDescent="0.3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0"/>
      <c r="T151" s="50"/>
      <c r="U151" s="50"/>
      <c r="V151" s="51"/>
      <c r="W151" s="51"/>
      <c r="X151" s="52"/>
      <c r="Y151" s="52"/>
      <c r="Z151" s="52"/>
    </row>
    <row r="152" spans="1:26" ht="12" customHeight="1" x14ac:dyDescent="0.3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0"/>
      <c r="T152" s="50"/>
      <c r="U152" s="50"/>
      <c r="V152" s="51"/>
      <c r="W152" s="51"/>
      <c r="X152" s="52"/>
      <c r="Y152" s="52"/>
      <c r="Z152" s="52"/>
    </row>
    <row r="153" spans="1:26" ht="12" customHeight="1" x14ac:dyDescent="0.3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0"/>
      <c r="T153" s="50"/>
      <c r="U153" s="50"/>
      <c r="V153" s="51"/>
      <c r="W153" s="51"/>
      <c r="X153" s="52"/>
      <c r="Y153" s="52"/>
      <c r="Z153" s="52"/>
    </row>
    <row r="154" spans="1:26" ht="12" customHeight="1" x14ac:dyDescent="0.3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0"/>
      <c r="T154" s="50"/>
      <c r="U154" s="50"/>
      <c r="V154" s="51"/>
      <c r="W154" s="51"/>
      <c r="X154" s="52"/>
      <c r="Y154" s="52"/>
      <c r="Z154" s="52"/>
    </row>
    <row r="155" spans="1:26" ht="12" customHeight="1" x14ac:dyDescent="0.3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0"/>
      <c r="T155" s="50"/>
      <c r="U155" s="50"/>
      <c r="V155" s="51"/>
      <c r="W155" s="51"/>
      <c r="X155" s="52"/>
      <c r="Y155" s="52"/>
      <c r="Z155" s="52"/>
    </row>
    <row r="156" spans="1:26" ht="12" customHeight="1" x14ac:dyDescent="0.3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0"/>
      <c r="T156" s="50"/>
      <c r="U156" s="50"/>
      <c r="V156" s="51"/>
      <c r="W156" s="51"/>
      <c r="X156" s="52"/>
      <c r="Y156" s="52"/>
      <c r="Z156" s="52"/>
    </row>
    <row r="157" spans="1:26" ht="12" customHeight="1" x14ac:dyDescent="0.3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0"/>
      <c r="T157" s="50"/>
      <c r="U157" s="50"/>
      <c r="V157" s="51"/>
      <c r="W157" s="51"/>
      <c r="X157" s="52"/>
      <c r="Y157" s="52"/>
      <c r="Z157" s="52"/>
    </row>
    <row r="158" spans="1:26" ht="12" customHeight="1" x14ac:dyDescent="0.3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0"/>
      <c r="T158" s="50"/>
      <c r="U158" s="50"/>
      <c r="V158" s="51"/>
      <c r="W158" s="51"/>
      <c r="X158" s="52"/>
      <c r="Y158" s="52"/>
      <c r="Z158" s="52"/>
    </row>
    <row r="159" spans="1:26" ht="12" customHeight="1" x14ac:dyDescent="0.3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0"/>
      <c r="T159" s="50"/>
      <c r="U159" s="50"/>
      <c r="V159" s="51"/>
      <c r="W159" s="51"/>
      <c r="X159" s="52"/>
      <c r="Y159" s="52"/>
      <c r="Z159" s="52"/>
    </row>
    <row r="160" spans="1:26" ht="12" customHeight="1" x14ac:dyDescent="0.3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0"/>
      <c r="T160" s="50"/>
      <c r="U160" s="50"/>
      <c r="V160" s="51"/>
      <c r="W160" s="51"/>
      <c r="X160" s="52"/>
      <c r="Y160" s="52"/>
      <c r="Z160" s="52"/>
    </row>
    <row r="161" spans="1:26" ht="12" customHeight="1" x14ac:dyDescent="0.3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0"/>
      <c r="T161" s="50"/>
      <c r="U161" s="50"/>
      <c r="V161" s="51"/>
      <c r="W161" s="51"/>
      <c r="X161" s="52"/>
      <c r="Y161" s="52"/>
      <c r="Z161" s="52"/>
    </row>
    <row r="162" spans="1:26" ht="12" customHeight="1" x14ac:dyDescent="0.3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0"/>
      <c r="T162" s="50"/>
      <c r="U162" s="50"/>
      <c r="V162" s="51"/>
      <c r="W162" s="51"/>
      <c r="X162" s="52"/>
      <c r="Y162" s="52"/>
      <c r="Z162" s="52"/>
    </row>
    <row r="163" spans="1:26" ht="12" customHeight="1" x14ac:dyDescent="0.3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0"/>
      <c r="T163" s="50"/>
      <c r="U163" s="50"/>
      <c r="V163" s="51"/>
      <c r="W163" s="51"/>
      <c r="X163" s="52"/>
      <c r="Y163" s="52"/>
      <c r="Z163" s="52"/>
    </row>
    <row r="164" spans="1:26" ht="12" customHeight="1" x14ac:dyDescent="0.3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0"/>
      <c r="T164" s="50"/>
      <c r="U164" s="50"/>
      <c r="V164" s="51"/>
      <c r="W164" s="51"/>
      <c r="X164" s="52"/>
      <c r="Y164" s="52"/>
      <c r="Z164" s="52"/>
    </row>
    <row r="165" spans="1:26" ht="12" customHeight="1" x14ac:dyDescent="0.3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0"/>
      <c r="T165" s="50"/>
      <c r="U165" s="50"/>
      <c r="V165" s="51"/>
      <c r="W165" s="51"/>
      <c r="X165" s="52"/>
      <c r="Y165" s="52"/>
      <c r="Z165" s="52"/>
    </row>
    <row r="166" spans="1:26" ht="12" customHeight="1" x14ac:dyDescent="0.3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0"/>
      <c r="T166" s="50"/>
      <c r="U166" s="50"/>
      <c r="V166" s="51"/>
      <c r="W166" s="51"/>
      <c r="X166" s="52"/>
      <c r="Y166" s="52"/>
      <c r="Z166" s="52"/>
    </row>
    <row r="167" spans="1:26" ht="12" customHeight="1" x14ac:dyDescent="0.3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0"/>
      <c r="T167" s="50"/>
      <c r="U167" s="50"/>
      <c r="V167" s="51"/>
      <c r="W167" s="51"/>
      <c r="X167" s="52"/>
      <c r="Y167" s="52"/>
      <c r="Z167" s="52"/>
    </row>
    <row r="168" spans="1:26" ht="12" customHeight="1" x14ac:dyDescent="0.3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0"/>
      <c r="T168" s="50"/>
      <c r="U168" s="50"/>
      <c r="V168" s="51"/>
      <c r="W168" s="51"/>
      <c r="X168" s="52"/>
      <c r="Y168" s="52"/>
      <c r="Z168" s="52"/>
    </row>
    <row r="169" spans="1:26" ht="12" customHeight="1" x14ac:dyDescent="0.3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0"/>
      <c r="T169" s="50"/>
      <c r="U169" s="50"/>
      <c r="V169" s="51"/>
      <c r="W169" s="51"/>
      <c r="X169" s="52"/>
      <c r="Y169" s="52"/>
      <c r="Z169" s="52"/>
    </row>
    <row r="170" spans="1:26" ht="12" customHeight="1" x14ac:dyDescent="0.3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0"/>
      <c r="T170" s="50"/>
      <c r="U170" s="50"/>
      <c r="V170" s="51"/>
      <c r="W170" s="51"/>
      <c r="X170" s="52"/>
      <c r="Y170" s="52"/>
      <c r="Z170" s="52"/>
    </row>
    <row r="171" spans="1:26" ht="12" customHeight="1" x14ac:dyDescent="0.3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0"/>
      <c r="T171" s="50"/>
      <c r="U171" s="50"/>
      <c r="V171" s="51"/>
      <c r="W171" s="51"/>
      <c r="X171" s="52"/>
      <c r="Y171" s="52"/>
      <c r="Z171" s="52"/>
    </row>
    <row r="172" spans="1:26" ht="12" customHeight="1" x14ac:dyDescent="0.3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0"/>
      <c r="T172" s="50"/>
      <c r="U172" s="50"/>
      <c r="V172" s="51"/>
      <c r="W172" s="51"/>
      <c r="X172" s="52"/>
      <c r="Y172" s="52"/>
      <c r="Z172" s="52"/>
    </row>
    <row r="173" spans="1:26" ht="12" customHeight="1" x14ac:dyDescent="0.3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0"/>
      <c r="T173" s="50"/>
      <c r="U173" s="50"/>
      <c r="V173" s="51"/>
      <c r="W173" s="51"/>
      <c r="X173" s="52"/>
      <c r="Y173" s="52"/>
      <c r="Z173" s="52"/>
    </row>
    <row r="174" spans="1:26" ht="12" customHeight="1" x14ac:dyDescent="0.3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0"/>
      <c r="T174" s="50"/>
      <c r="U174" s="50"/>
      <c r="V174" s="51"/>
      <c r="W174" s="51"/>
      <c r="X174" s="52"/>
      <c r="Y174" s="52"/>
      <c r="Z174" s="52"/>
    </row>
    <row r="175" spans="1:26" ht="12" customHeight="1" x14ac:dyDescent="0.3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0"/>
      <c r="T175" s="50"/>
      <c r="U175" s="50"/>
      <c r="V175" s="51"/>
      <c r="W175" s="51"/>
      <c r="X175" s="52"/>
      <c r="Y175" s="52"/>
      <c r="Z175" s="52"/>
    </row>
    <row r="176" spans="1:26" ht="12" customHeight="1" x14ac:dyDescent="0.3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0"/>
      <c r="T176" s="50"/>
      <c r="U176" s="50"/>
      <c r="V176" s="51"/>
      <c r="W176" s="51"/>
      <c r="X176" s="52"/>
      <c r="Y176" s="52"/>
      <c r="Z176" s="52"/>
    </row>
    <row r="177" spans="1:26" ht="12" customHeight="1" x14ac:dyDescent="0.3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0"/>
      <c r="T177" s="50"/>
      <c r="U177" s="50"/>
      <c r="V177" s="51"/>
      <c r="W177" s="51"/>
      <c r="X177" s="52"/>
      <c r="Y177" s="52"/>
      <c r="Z177" s="52"/>
    </row>
    <row r="178" spans="1:26" ht="12" customHeight="1" x14ac:dyDescent="0.3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0"/>
      <c r="T178" s="50"/>
      <c r="U178" s="50"/>
      <c r="V178" s="51"/>
      <c r="W178" s="51"/>
      <c r="X178" s="52"/>
      <c r="Y178" s="52"/>
      <c r="Z178" s="52"/>
    </row>
    <row r="179" spans="1:26" ht="12" customHeight="1" x14ac:dyDescent="0.3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0"/>
      <c r="T179" s="50"/>
      <c r="U179" s="50"/>
      <c r="V179" s="51"/>
      <c r="W179" s="51"/>
      <c r="X179" s="52"/>
      <c r="Y179" s="52"/>
      <c r="Z179" s="52"/>
    </row>
    <row r="180" spans="1:26" ht="12" customHeight="1" x14ac:dyDescent="0.3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0"/>
      <c r="T180" s="50"/>
      <c r="U180" s="50"/>
      <c r="V180" s="51"/>
      <c r="W180" s="51"/>
      <c r="X180" s="52"/>
      <c r="Y180" s="52"/>
      <c r="Z180" s="52"/>
    </row>
    <row r="181" spans="1:26" ht="12" customHeight="1" x14ac:dyDescent="0.3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0"/>
      <c r="T181" s="50"/>
      <c r="U181" s="50"/>
      <c r="V181" s="51"/>
      <c r="W181" s="51"/>
      <c r="X181" s="52"/>
      <c r="Y181" s="52"/>
      <c r="Z181" s="52"/>
    </row>
    <row r="182" spans="1:26" ht="12" customHeight="1" x14ac:dyDescent="0.3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0"/>
      <c r="T182" s="50"/>
      <c r="U182" s="50"/>
      <c r="V182" s="51"/>
      <c r="W182" s="51"/>
      <c r="X182" s="52"/>
      <c r="Y182" s="52"/>
      <c r="Z182" s="52"/>
    </row>
    <row r="183" spans="1:26" ht="12" customHeight="1" x14ac:dyDescent="0.3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0"/>
      <c r="T183" s="50"/>
      <c r="U183" s="50"/>
      <c r="V183" s="51"/>
      <c r="W183" s="51"/>
      <c r="X183" s="52"/>
      <c r="Y183" s="52"/>
      <c r="Z183" s="52"/>
    </row>
    <row r="184" spans="1:26" ht="12" customHeight="1" x14ac:dyDescent="0.3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0"/>
      <c r="T184" s="50"/>
      <c r="U184" s="50"/>
      <c r="V184" s="51"/>
      <c r="W184" s="51"/>
      <c r="X184" s="52"/>
      <c r="Y184" s="52"/>
      <c r="Z184" s="52"/>
    </row>
    <row r="185" spans="1:26" ht="12" customHeight="1" x14ac:dyDescent="0.3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0"/>
      <c r="T185" s="50"/>
      <c r="U185" s="50"/>
      <c r="V185" s="51"/>
      <c r="W185" s="51"/>
      <c r="X185" s="52"/>
      <c r="Y185" s="52"/>
      <c r="Z185" s="52"/>
    </row>
    <row r="186" spans="1:26" ht="12" customHeight="1" x14ac:dyDescent="0.3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0"/>
      <c r="T186" s="50"/>
      <c r="U186" s="50"/>
      <c r="V186" s="51"/>
      <c r="W186" s="51"/>
      <c r="X186" s="52"/>
      <c r="Y186" s="52"/>
      <c r="Z186" s="52"/>
    </row>
    <row r="187" spans="1:26" ht="12" customHeight="1" x14ac:dyDescent="0.3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0"/>
      <c r="T187" s="50"/>
      <c r="U187" s="50"/>
      <c r="V187" s="51"/>
      <c r="W187" s="51"/>
      <c r="X187" s="52"/>
      <c r="Y187" s="52"/>
      <c r="Z187" s="52"/>
    </row>
    <row r="188" spans="1:26" ht="12" customHeight="1" x14ac:dyDescent="0.3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0"/>
      <c r="T188" s="50"/>
      <c r="U188" s="50"/>
      <c r="V188" s="51"/>
      <c r="W188" s="51"/>
      <c r="X188" s="52"/>
      <c r="Y188" s="52"/>
      <c r="Z188" s="52"/>
    </row>
    <row r="189" spans="1:26" ht="12" customHeight="1" x14ac:dyDescent="0.3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0"/>
      <c r="T189" s="50"/>
      <c r="U189" s="50"/>
      <c r="V189" s="51"/>
      <c r="W189" s="51"/>
      <c r="X189" s="52"/>
      <c r="Y189" s="52"/>
      <c r="Z189" s="52"/>
    </row>
    <row r="190" spans="1:26" ht="12" customHeight="1" x14ac:dyDescent="0.3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0"/>
      <c r="T190" s="50"/>
      <c r="U190" s="50"/>
      <c r="V190" s="51"/>
      <c r="W190" s="51"/>
      <c r="X190" s="52"/>
      <c r="Y190" s="52"/>
      <c r="Z190" s="52"/>
    </row>
    <row r="191" spans="1:26" ht="12" customHeight="1" x14ac:dyDescent="0.3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0"/>
      <c r="T191" s="50"/>
      <c r="U191" s="50"/>
      <c r="V191" s="51"/>
      <c r="W191" s="51"/>
      <c r="X191" s="52"/>
      <c r="Y191" s="52"/>
      <c r="Z191" s="52"/>
    </row>
    <row r="192" spans="1:26" ht="12" customHeight="1" x14ac:dyDescent="0.3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0"/>
      <c r="T192" s="50"/>
      <c r="U192" s="50"/>
      <c r="V192" s="51"/>
      <c r="W192" s="51"/>
      <c r="X192" s="52"/>
      <c r="Y192" s="52"/>
      <c r="Z192" s="52"/>
    </row>
    <row r="193" spans="1:26" ht="12" customHeight="1" x14ac:dyDescent="0.3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0"/>
      <c r="T193" s="50"/>
      <c r="U193" s="50"/>
      <c r="V193" s="51"/>
      <c r="W193" s="51"/>
      <c r="X193" s="52"/>
      <c r="Y193" s="52"/>
      <c r="Z193" s="52"/>
    </row>
    <row r="194" spans="1:26" ht="12" customHeight="1" x14ac:dyDescent="0.3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0"/>
      <c r="T194" s="50"/>
      <c r="U194" s="50"/>
      <c r="V194" s="51"/>
      <c r="W194" s="51"/>
      <c r="X194" s="52"/>
      <c r="Y194" s="52"/>
      <c r="Z194" s="52"/>
    </row>
    <row r="195" spans="1:26" ht="12" customHeight="1" x14ac:dyDescent="0.3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0"/>
      <c r="T195" s="50"/>
      <c r="U195" s="50"/>
      <c r="V195" s="51"/>
      <c r="W195" s="51"/>
      <c r="X195" s="52"/>
      <c r="Y195" s="52"/>
      <c r="Z195" s="52"/>
    </row>
    <row r="196" spans="1:26" ht="12" customHeight="1" x14ac:dyDescent="0.3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0"/>
      <c r="T196" s="50"/>
      <c r="U196" s="50"/>
      <c r="V196" s="51"/>
      <c r="W196" s="51"/>
      <c r="X196" s="52"/>
      <c r="Y196" s="52"/>
      <c r="Z196" s="52"/>
    </row>
    <row r="197" spans="1:26" ht="12" customHeight="1" x14ac:dyDescent="0.3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0"/>
      <c r="T197" s="50"/>
      <c r="U197" s="50"/>
      <c r="V197" s="51"/>
      <c r="W197" s="51"/>
      <c r="X197" s="52"/>
      <c r="Y197" s="52"/>
      <c r="Z197" s="52"/>
    </row>
    <row r="198" spans="1:26" ht="12" customHeight="1" x14ac:dyDescent="0.3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0"/>
      <c r="T198" s="50"/>
      <c r="U198" s="50"/>
      <c r="V198" s="51"/>
      <c r="W198" s="51"/>
      <c r="X198" s="52"/>
      <c r="Y198" s="52"/>
      <c r="Z198" s="52"/>
    </row>
    <row r="199" spans="1:26" ht="12" customHeight="1" x14ac:dyDescent="0.3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0"/>
      <c r="T199" s="50"/>
      <c r="U199" s="50"/>
      <c r="V199" s="51"/>
      <c r="W199" s="51"/>
      <c r="X199" s="52"/>
      <c r="Y199" s="52"/>
      <c r="Z199" s="52"/>
    </row>
    <row r="200" spans="1:26" ht="12" customHeight="1" x14ac:dyDescent="0.3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0"/>
      <c r="T200" s="50"/>
      <c r="U200" s="50"/>
      <c r="V200" s="51"/>
      <c r="W200" s="51"/>
      <c r="X200" s="52"/>
      <c r="Y200" s="52"/>
      <c r="Z200" s="52"/>
    </row>
    <row r="201" spans="1:26" ht="12" customHeight="1" x14ac:dyDescent="0.3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0"/>
      <c r="T201" s="50"/>
      <c r="U201" s="50"/>
      <c r="V201" s="51"/>
      <c r="W201" s="51"/>
      <c r="X201" s="52"/>
      <c r="Y201" s="52"/>
      <c r="Z201" s="52"/>
    </row>
    <row r="202" spans="1:26" ht="12" customHeight="1" x14ac:dyDescent="0.3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0"/>
      <c r="T202" s="50"/>
      <c r="U202" s="50"/>
      <c r="V202" s="51"/>
      <c r="W202" s="51"/>
      <c r="X202" s="52"/>
      <c r="Y202" s="52"/>
      <c r="Z202" s="52"/>
    </row>
    <row r="203" spans="1:26" ht="12" customHeight="1" x14ac:dyDescent="0.3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0"/>
      <c r="T203" s="50"/>
      <c r="U203" s="50"/>
      <c r="V203" s="51"/>
      <c r="W203" s="51"/>
      <c r="X203" s="52"/>
      <c r="Y203" s="52"/>
      <c r="Z203" s="52"/>
    </row>
    <row r="204" spans="1:26" ht="12" customHeight="1" x14ac:dyDescent="0.3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0"/>
      <c r="T204" s="50"/>
      <c r="U204" s="50"/>
      <c r="V204" s="51"/>
      <c r="W204" s="51"/>
      <c r="X204" s="52"/>
      <c r="Y204" s="52"/>
      <c r="Z204" s="52"/>
    </row>
    <row r="205" spans="1:26" ht="12" customHeight="1" x14ac:dyDescent="0.3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0"/>
      <c r="T205" s="50"/>
      <c r="U205" s="50"/>
      <c r="V205" s="51"/>
      <c r="W205" s="51"/>
      <c r="X205" s="52"/>
      <c r="Y205" s="52"/>
      <c r="Z205" s="52"/>
    </row>
    <row r="206" spans="1:26" ht="12" customHeight="1" x14ac:dyDescent="0.3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0"/>
      <c r="T206" s="50"/>
      <c r="U206" s="50"/>
      <c r="V206" s="51"/>
      <c r="W206" s="51"/>
      <c r="X206" s="52"/>
      <c r="Y206" s="52"/>
      <c r="Z206" s="52"/>
    </row>
    <row r="207" spans="1:26" ht="12" customHeight="1" x14ac:dyDescent="0.3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0"/>
      <c r="T207" s="50"/>
      <c r="U207" s="50"/>
      <c r="V207" s="51"/>
      <c r="W207" s="51"/>
      <c r="X207" s="52"/>
      <c r="Y207" s="52"/>
      <c r="Z207" s="52"/>
    </row>
    <row r="208" spans="1:26" ht="12" customHeight="1" x14ac:dyDescent="0.3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0"/>
      <c r="T208" s="50"/>
      <c r="U208" s="50"/>
      <c r="V208" s="51"/>
      <c r="W208" s="51"/>
      <c r="X208" s="52"/>
      <c r="Y208" s="52"/>
      <c r="Z208" s="52"/>
    </row>
    <row r="209" spans="1:26" ht="12" customHeight="1" x14ac:dyDescent="0.3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0"/>
      <c r="T209" s="50"/>
      <c r="U209" s="50"/>
      <c r="V209" s="51"/>
      <c r="W209" s="51"/>
      <c r="X209" s="52"/>
      <c r="Y209" s="52"/>
      <c r="Z209" s="52"/>
    </row>
    <row r="210" spans="1:26" ht="12" customHeight="1" x14ac:dyDescent="0.3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0"/>
      <c r="T210" s="50"/>
      <c r="U210" s="50"/>
      <c r="V210" s="51"/>
      <c r="W210" s="51"/>
      <c r="X210" s="52"/>
      <c r="Y210" s="52"/>
      <c r="Z210" s="52"/>
    </row>
    <row r="211" spans="1:26" ht="12" customHeight="1" x14ac:dyDescent="0.3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0"/>
      <c r="T211" s="50"/>
      <c r="U211" s="50"/>
      <c r="V211" s="51"/>
      <c r="W211" s="51"/>
      <c r="X211" s="52"/>
      <c r="Y211" s="52"/>
      <c r="Z211" s="52"/>
    </row>
    <row r="212" spans="1:26" ht="12" customHeight="1" x14ac:dyDescent="0.3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0"/>
      <c r="T212" s="50"/>
      <c r="U212" s="50"/>
      <c r="V212" s="51"/>
      <c r="W212" s="51"/>
      <c r="X212" s="52"/>
      <c r="Y212" s="52"/>
      <c r="Z212" s="52"/>
    </row>
    <row r="213" spans="1:26" ht="12" customHeight="1" x14ac:dyDescent="0.3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0"/>
      <c r="T213" s="50"/>
      <c r="U213" s="50"/>
      <c r="V213" s="51"/>
      <c r="W213" s="51"/>
      <c r="X213" s="52"/>
      <c r="Y213" s="52"/>
      <c r="Z213" s="52"/>
    </row>
    <row r="214" spans="1:26" ht="12" customHeight="1" x14ac:dyDescent="0.3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0"/>
      <c r="T214" s="50"/>
      <c r="U214" s="50"/>
      <c r="V214" s="51"/>
      <c r="W214" s="51"/>
      <c r="X214" s="52"/>
      <c r="Y214" s="52"/>
      <c r="Z214" s="52"/>
    </row>
    <row r="215" spans="1:26" ht="12" customHeight="1" x14ac:dyDescent="0.3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0"/>
      <c r="T215" s="50"/>
      <c r="U215" s="50"/>
      <c r="V215" s="51"/>
      <c r="W215" s="51"/>
      <c r="X215" s="52"/>
      <c r="Y215" s="52"/>
      <c r="Z215" s="52"/>
    </row>
    <row r="216" spans="1:26" ht="12" customHeight="1" x14ac:dyDescent="0.3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0"/>
      <c r="T216" s="50"/>
      <c r="U216" s="50"/>
      <c r="V216" s="51"/>
      <c r="W216" s="51"/>
      <c r="X216" s="52"/>
      <c r="Y216" s="52"/>
      <c r="Z216" s="52"/>
    </row>
    <row r="217" spans="1:26" ht="12" customHeight="1" x14ac:dyDescent="0.3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0"/>
      <c r="T217" s="50"/>
      <c r="U217" s="50"/>
      <c r="V217" s="51"/>
      <c r="W217" s="51"/>
      <c r="X217" s="52"/>
      <c r="Y217" s="52"/>
      <c r="Z217" s="52"/>
    </row>
    <row r="218" spans="1:26" ht="12" customHeight="1" x14ac:dyDescent="0.3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0"/>
      <c r="T218" s="50"/>
      <c r="U218" s="50"/>
      <c r="V218" s="51"/>
      <c r="W218" s="51"/>
      <c r="X218" s="52"/>
      <c r="Y218" s="52"/>
      <c r="Z218" s="52"/>
    </row>
    <row r="219" spans="1:26" ht="12" customHeight="1" x14ac:dyDescent="0.3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0"/>
      <c r="T219" s="50"/>
      <c r="U219" s="50"/>
      <c r="V219" s="51"/>
      <c r="W219" s="51"/>
      <c r="X219" s="52"/>
      <c r="Y219" s="52"/>
      <c r="Z219" s="52"/>
    </row>
    <row r="220" spans="1:26" ht="12" customHeight="1" x14ac:dyDescent="0.3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0"/>
      <c r="T220" s="50"/>
      <c r="U220" s="50"/>
      <c r="V220" s="51"/>
      <c r="W220" s="51"/>
      <c r="X220" s="52"/>
      <c r="Y220" s="52"/>
      <c r="Z220" s="52"/>
    </row>
    <row r="221" spans="1:26" ht="12" customHeight="1" x14ac:dyDescent="0.3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0"/>
      <c r="T221" s="50"/>
      <c r="U221" s="50"/>
      <c r="V221" s="51"/>
      <c r="W221" s="51"/>
      <c r="X221" s="52"/>
      <c r="Y221" s="52"/>
      <c r="Z221" s="52"/>
    </row>
    <row r="222" spans="1:26" ht="12" customHeight="1" x14ac:dyDescent="0.3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0"/>
      <c r="T222" s="50"/>
      <c r="U222" s="50"/>
      <c r="V222" s="51"/>
      <c r="W222" s="51"/>
      <c r="X222" s="52"/>
      <c r="Y222" s="52"/>
      <c r="Z222" s="52"/>
    </row>
    <row r="223" spans="1:26" ht="12" customHeight="1" x14ac:dyDescent="0.3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0"/>
      <c r="T223" s="50"/>
      <c r="U223" s="50"/>
      <c r="V223" s="51"/>
      <c r="W223" s="51"/>
      <c r="X223" s="52"/>
      <c r="Y223" s="52"/>
      <c r="Z223" s="52"/>
    </row>
    <row r="224" spans="1:26" ht="12" customHeight="1" x14ac:dyDescent="0.3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0"/>
      <c r="T224" s="50"/>
      <c r="U224" s="50"/>
      <c r="V224" s="51"/>
      <c r="W224" s="51"/>
      <c r="X224" s="52"/>
      <c r="Y224" s="52"/>
      <c r="Z224" s="52"/>
    </row>
    <row r="225" spans="1:26" ht="12" customHeight="1" x14ac:dyDescent="0.3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0"/>
      <c r="T225" s="50"/>
      <c r="U225" s="50"/>
      <c r="V225" s="51"/>
      <c r="W225" s="51"/>
      <c r="X225" s="52"/>
      <c r="Y225" s="52"/>
      <c r="Z225" s="52"/>
    </row>
    <row r="226" spans="1:26" ht="12" customHeight="1" x14ac:dyDescent="0.3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0"/>
      <c r="T226" s="50"/>
      <c r="U226" s="50"/>
      <c r="V226" s="51"/>
      <c r="W226" s="51"/>
      <c r="X226" s="52"/>
      <c r="Y226" s="52"/>
      <c r="Z226" s="52"/>
    </row>
    <row r="227" spans="1:26" ht="12" customHeight="1" x14ac:dyDescent="0.3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0"/>
      <c r="T227" s="50"/>
      <c r="U227" s="50"/>
      <c r="V227" s="51"/>
      <c r="W227" s="51"/>
      <c r="X227" s="52"/>
      <c r="Y227" s="52"/>
      <c r="Z227" s="52"/>
    </row>
    <row r="228" spans="1:26" ht="12" customHeight="1" x14ac:dyDescent="0.3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0"/>
      <c r="T228" s="50"/>
      <c r="U228" s="50"/>
      <c r="V228" s="51"/>
      <c r="W228" s="51"/>
      <c r="X228" s="52"/>
      <c r="Y228" s="52"/>
      <c r="Z228" s="52"/>
    </row>
    <row r="229" spans="1:26" ht="12" customHeight="1" x14ac:dyDescent="0.3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0"/>
      <c r="T229" s="50"/>
      <c r="U229" s="50"/>
      <c r="V229" s="51"/>
      <c r="W229" s="51"/>
      <c r="X229" s="52"/>
      <c r="Y229" s="52"/>
      <c r="Z229" s="52"/>
    </row>
    <row r="230" spans="1:26" ht="12" customHeight="1" x14ac:dyDescent="0.3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0"/>
      <c r="T230" s="50"/>
      <c r="U230" s="50"/>
      <c r="V230" s="51"/>
      <c r="W230" s="51"/>
      <c r="X230" s="52"/>
      <c r="Y230" s="52"/>
      <c r="Z230" s="52"/>
    </row>
    <row r="231" spans="1:26" ht="12" customHeight="1" x14ac:dyDescent="0.3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0"/>
      <c r="T231" s="50"/>
      <c r="U231" s="50"/>
      <c r="V231" s="51"/>
      <c r="W231" s="51"/>
      <c r="X231" s="52"/>
      <c r="Y231" s="52"/>
      <c r="Z231" s="52"/>
    </row>
    <row r="232" spans="1:26" ht="12" customHeight="1" x14ac:dyDescent="0.3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0"/>
      <c r="T232" s="50"/>
      <c r="U232" s="50"/>
      <c r="V232" s="51"/>
      <c r="W232" s="51"/>
      <c r="X232" s="52"/>
      <c r="Y232" s="52"/>
      <c r="Z232" s="52"/>
    </row>
    <row r="233" spans="1:26" ht="12" customHeight="1" x14ac:dyDescent="0.3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0"/>
      <c r="T233" s="50"/>
      <c r="U233" s="50"/>
      <c r="V233" s="51"/>
      <c r="W233" s="51"/>
      <c r="X233" s="52"/>
      <c r="Y233" s="52"/>
      <c r="Z233" s="52"/>
    </row>
    <row r="234" spans="1:26" ht="12" customHeight="1" x14ac:dyDescent="0.3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0"/>
      <c r="T234" s="50"/>
      <c r="U234" s="50"/>
      <c r="V234" s="51"/>
      <c r="W234" s="51"/>
      <c r="X234" s="52"/>
      <c r="Y234" s="52"/>
      <c r="Z234" s="52"/>
    </row>
    <row r="235" spans="1:26" ht="12" customHeight="1" x14ac:dyDescent="0.3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0"/>
      <c r="T235" s="50"/>
      <c r="U235" s="50"/>
      <c r="V235" s="51"/>
      <c r="W235" s="51"/>
      <c r="X235" s="52"/>
      <c r="Y235" s="52"/>
      <c r="Z235" s="52"/>
    </row>
    <row r="236" spans="1:26" ht="12" customHeight="1" x14ac:dyDescent="0.3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0"/>
      <c r="T236" s="50"/>
      <c r="U236" s="50"/>
      <c r="V236" s="51"/>
      <c r="W236" s="51"/>
      <c r="X236" s="52"/>
      <c r="Y236" s="52"/>
      <c r="Z236" s="52"/>
    </row>
    <row r="237" spans="1:26" ht="12" customHeight="1" x14ac:dyDescent="0.3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0"/>
      <c r="T237" s="50"/>
      <c r="U237" s="50"/>
      <c r="V237" s="51"/>
      <c r="W237" s="51"/>
      <c r="X237" s="52"/>
      <c r="Y237" s="52"/>
      <c r="Z237" s="52"/>
    </row>
    <row r="238" spans="1:26" ht="12" customHeight="1" x14ac:dyDescent="0.3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0"/>
      <c r="T238" s="50"/>
      <c r="U238" s="50"/>
      <c r="V238" s="51"/>
      <c r="W238" s="51"/>
      <c r="X238" s="52"/>
      <c r="Y238" s="52"/>
      <c r="Z238" s="52"/>
    </row>
    <row r="239" spans="1:26" ht="12" customHeight="1" x14ac:dyDescent="0.3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0"/>
      <c r="T239" s="50"/>
      <c r="U239" s="50"/>
      <c r="V239" s="51"/>
      <c r="W239" s="51"/>
      <c r="X239" s="52"/>
      <c r="Y239" s="52"/>
      <c r="Z239" s="52"/>
    </row>
    <row r="240" spans="1:26" ht="12" customHeight="1" x14ac:dyDescent="0.3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0"/>
      <c r="T240" s="50"/>
      <c r="U240" s="50"/>
      <c r="V240" s="51"/>
      <c r="W240" s="51"/>
      <c r="X240" s="52"/>
      <c r="Y240" s="52"/>
      <c r="Z240" s="52"/>
    </row>
    <row r="241" spans="1:26" ht="12" customHeight="1" x14ac:dyDescent="0.3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0"/>
      <c r="T241" s="50"/>
      <c r="U241" s="50"/>
      <c r="V241" s="51"/>
      <c r="W241" s="51"/>
      <c r="X241" s="52"/>
      <c r="Y241" s="52"/>
      <c r="Z241" s="52"/>
    </row>
    <row r="242" spans="1:26" ht="12" customHeight="1" x14ac:dyDescent="0.3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0"/>
      <c r="T242" s="50"/>
      <c r="U242" s="50"/>
      <c r="V242" s="51"/>
      <c r="W242" s="51"/>
      <c r="X242" s="52"/>
      <c r="Y242" s="52"/>
      <c r="Z242" s="52"/>
    </row>
    <row r="243" spans="1:26" ht="12" customHeight="1" x14ac:dyDescent="0.3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0"/>
      <c r="T243" s="50"/>
      <c r="U243" s="50"/>
      <c r="V243" s="51"/>
      <c r="W243" s="51"/>
      <c r="X243" s="52"/>
      <c r="Y243" s="52"/>
      <c r="Z243" s="52"/>
    </row>
    <row r="244" spans="1:26" ht="12" customHeight="1" x14ac:dyDescent="0.3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0"/>
      <c r="T244" s="50"/>
      <c r="U244" s="50"/>
      <c r="V244" s="51"/>
      <c r="W244" s="51"/>
      <c r="X244" s="52"/>
      <c r="Y244" s="52"/>
      <c r="Z244" s="52"/>
    </row>
    <row r="245" spans="1:26" ht="12" customHeight="1" x14ac:dyDescent="0.3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0"/>
      <c r="T245" s="50"/>
      <c r="U245" s="50"/>
      <c r="V245" s="51"/>
      <c r="W245" s="51"/>
      <c r="X245" s="52"/>
      <c r="Y245" s="52"/>
      <c r="Z245" s="52"/>
    </row>
    <row r="246" spans="1:26" ht="12" customHeight="1" x14ac:dyDescent="0.3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0"/>
      <c r="T246" s="50"/>
      <c r="U246" s="50"/>
      <c r="V246" s="51"/>
      <c r="W246" s="51"/>
      <c r="X246" s="52"/>
      <c r="Y246" s="52"/>
      <c r="Z246" s="52"/>
    </row>
    <row r="247" spans="1:26" ht="12" customHeight="1" x14ac:dyDescent="0.3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0"/>
      <c r="T247" s="50"/>
      <c r="U247" s="50"/>
      <c r="V247" s="51"/>
      <c r="W247" s="51"/>
      <c r="X247" s="52"/>
      <c r="Y247" s="52"/>
      <c r="Z247" s="52"/>
    </row>
    <row r="248" spans="1:26" ht="12" customHeight="1" x14ac:dyDescent="0.3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0"/>
      <c r="T248" s="50"/>
      <c r="U248" s="50"/>
      <c r="V248" s="51"/>
      <c r="W248" s="51"/>
      <c r="X248" s="52"/>
      <c r="Y248" s="52"/>
      <c r="Z248" s="52"/>
    </row>
    <row r="249" spans="1:26" ht="12" customHeight="1" x14ac:dyDescent="0.3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0"/>
      <c r="T249" s="50"/>
      <c r="U249" s="50"/>
      <c r="V249" s="51"/>
      <c r="W249" s="51"/>
      <c r="X249" s="52"/>
      <c r="Y249" s="52"/>
      <c r="Z249" s="52"/>
    </row>
    <row r="250" spans="1:26" ht="12" customHeight="1" x14ac:dyDescent="0.3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0"/>
      <c r="T250" s="50"/>
      <c r="U250" s="50"/>
      <c r="V250" s="51"/>
      <c r="W250" s="51"/>
      <c r="X250" s="52"/>
      <c r="Y250" s="52"/>
      <c r="Z250" s="52"/>
    </row>
    <row r="251" spans="1:26" ht="12" customHeight="1" x14ac:dyDescent="0.3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0"/>
      <c r="T251" s="50"/>
      <c r="U251" s="50"/>
      <c r="V251" s="51"/>
      <c r="W251" s="51"/>
      <c r="X251" s="52"/>
      <c r="Y251" s="52"/>
      <c r="Z251" s="52"/>
    </row>
    <row r="252" spans="1:26" ht="12" customHeight="1" x14ac:dyDescent="0.3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0"/>
      <c r="T252" s="50"/>
      <c r="U252" s="50"/>
      <c r="V252" s="51"/>
      <c r="W252" s="51"/>
      <c r="X252" s="52"/>
      <c r="Y252" s="52"/>
      <c r="Z252" s="52"/>
    </row>
    <row r="253" spans="1:26" ht="12" customHeight="1" x14ac:dyDescent="0.3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0"/>
      <c r="T253" s="50"/>
      <c r="U253" s="50"/>
      <c r="V253" s="51"/>
      <c r="W253" s="51"/>
      <c r="X253" s="52"/>
      <c r="Y253" s="52"/>
      <c r="Z253" s="52"/>
    </row>
    <row r="254" spans="1:26" ht="12" customHeight="1" x14ac:dyDescent="0.3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0"/>
      <c r="T254" s="50"/>
      <c r="U254" s="50"/>
      <c r="V254" s="51"/>
      <c r="W254" s="51"/>
      <c r="X254" s="52"/>
      <c r="Y254" s="52"/>
      <c r="Z254" s="52"/>
    </row>
    <row r="255" spans="1:26" ht="12" customHeight="1" x14ac:dyDescent="0.3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0"/>
      <c r="T255" s="50"/>
      <c r="U255" s="50"/>
      <c r="V255" s="51"/>
      <c r="W255" s="51"/>
      <c r="X255" s="52"/>
      <c r="Y255" s="52"/>
      <c r="Z255" s="52"/>
    </row>
    <row r="256" spans="1:26" ht="12" customHeight="1" x14ac:dyDescent="0.3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0"/>
      <c r="T256" s="50"/>
      <c r="U256" s="50"/>
      <c r="V256" s="51"/>
      <c r="W256" s="51"/>
      <c r="X256" s="52"/>
      <c r="Y256" s="52"/>
      <c r="Z256" s="52"/>
    </row>
    <row r="257" spans="1:26" ht="12" customHeight="1" x14ac:dyDescent="0.3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0"/>
      <c r="T257" s="50"/>
      <c r="U257" s="50"/>
      <c r="V257" s="51"/>
      <c r="W257" s="51"/>
      <c r="X257" s="52"/>
      <c r="Y257" s="52"/>
      <c r="Z257" s="52"/>
    </row>
    <row r="258" spans="1:26" ht="12" customHeight="1" x14ac:dyDescent="0.3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0"/>
      <c r="T258" s="50"/>
      <c r="U258" s="50"/>
      <c r="V258" s="51"/>
      <c r="W258" s="51"/>
      <c r="X258" s="52"/>
      <c r="Y258" s="52"/>
      <c r="Z258" s="52"/>
    </row>
    <row r="259" spans="1:26" ht="12" customHeight="1" x14ac:dyDescent="0.3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0"/>
      <c r="T259" s="50"/>
      <c r="U259" s="50"/>
      <c r="V259" s="51"/>
      <c r="W259" s="51"/>
      <c r="X259" s="52"/>
      <c r="Y259" s="52"/>
      <c r="Z259" s="52"/>
    </row>
    <row r="260" spans="1:26" ht="12" customHeight="1" x14ac:dyDescent="0.3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0"/>
      <c r="T260" s="50"/>
      <c r="U260" s="50"/>
      <c r="V260" s="51"/>
      <c r="W260" s="51"/>
      <c r="X260" s="52"/>
      <c r="Y260" s="52"/>
      <c r="Z260" s="5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00">
    <mergeCell ref="A46:A50"/>
    <mergeCell ref="B46:B50"/>
    <mergeCell ref="C46:D46"/>
    <mergeCell ref="C47:C50"/>
    <mergeCell ref="D47:D50"/>
    <mergeCell ref="E48:E50"/>
    <mergeCell ref="Q41:R41"/>
    <mergeCell ref="Q42:R42"/>
    <mergeCell ref="Q43:R43"/>
    <mergeCell ref="Q44:R44"/>
    <mergeCell ref="Q45:R45"/>
    <mergeCell ref="E46:L47"/>
    <mergeCell ref="M46:R47"/>
    <mergeCell ref="Q32:R32"/>
    <mergeCell ref="P33:P36"/>
    <mergeCell ref="Q33:R36"/>
    <mergeCell ref="Q37:R37"/>
    <mergeCell ref="Q38:R38"/>
    <mergeCell ref="Q39:R39"/>
    <mergeCell ref="Q40:R40"/>
    <mergeCell ref="M24:O24"/>
    <mergeCell ref="Q24:R24"/>
    <mergeCell ref="M25:O25"/>
    <mergeCell ref="Q25:R25"/>
    <mergeCell ref="Q26:R26"/>
    <mergeCell ref="Q29:R29"/>
    <mergeCell ref="Q30:R30"/>
    <mergeCell ref="M26:O26"/>
    <mergeCell ref="M27:O27"/>
    <mergeCell ref="Q27:R27"/>
    <mergeCell ref="M28:O28"/>
    <mergeCell ref="Q28:R28"/>
    <mergeCell ref="M29:O29"/>
    <mergeCell ref="M30:O30"/>
    <mergeCell ref="A20:A23"/>
    <mergeCell ref="B20:C21"/>
    <mergeCell ref="D20:L21"/>
    <mergeCell ref="M20:O23"/>
    <mergeCell ref="P20:P23"/>
    <mergeCell ref="Q20:R23"/>
    <mergeCell ref="B22:B23"/>
    <mergeCell ref="K22:L23"/>
    <mergeCell ref="I22:I23"/>
    <mergeCell ref="J22:J23"/>
    <mergeCell ref="Q58:R58"/>
    <mergeCell ref="Q59:R59"/>
    <mergeCell ref="Q60:R60"/>
    <mergeCell ref="Q61:R61"/>
    <mergeCell ref="Q62:R62"/>
    <mergeCell ref="Q63:R63"/>
    <mergeCell ref="Q51:R51"/>
    <mergeCell ref="Q52:R52"/>
    <mergeCell ref="Q53:R53"/>
    <mergeCell ref="Q54:R54"/>
    <mergeCell ref="Q55:R55"/>
    <mergeCell ref="Q56:R56"/>
    <mergeCell ref="Q57:R57"/>
    <mergeCell ref="K61:L61"/>
    <mergeCell ref="K62:L62"/>
    <mergeCell ref="K63:L63"/>
    <mergeCell ref="M57:O57"/>
    <mergeCell ref="M58:O58"/>
    <mergeCell ref="M59:O59"/>
    <mergeCell ref="M60:O60"/>
    <mergeCell ref="M61:O61"/>
    <mergeCell ref="M62:O62"/>
    <mergeCell ref="M63:O63"/>
    <mergeCell ref="K51:L51"/>
    <mergeCell ref="M51:O51"/>
    <mergeCell ref="K52:L52"/>
    <mergeCell ref="M52:O52"/>
    <mergeCell ref="K56:L56"/>
    <mergeCell ref="K57:L57"/>
    <mergeCell ref="K58:L58"/>
    <mergeCell ref="K59:L59"/>
    <mergeCell ref="K60:L60"/>
    <mergeCell ref="K53:L53"/>
    <mergeCell ref="M53:O53"/>
    <mergeCell ref="K54:L54"/>
    <mergeCell ref="M54:O54"/>
    <mergeCell ref="K55:L55"/>
    <mergeCell ref="M55:O55"/>
    <mergeCell ref="M56:O56"/>
    <mergeCell ref="F48:F50"/>
    <mergeCell ref="G48:G50"/>
    <mergeCell ref="H48:H50"/>
    <mergeCell ref="I48:I50"/>
    <mergeCell ref="J48:J50"/>
    <mergeCell ref="K48:L50"/>
    <mergeCell ref="Q48:R50"/>
    <mergeCell ref="M48:P48"/>
    <mergeCell ref="M49:O50"/>
    <mergeCell ref="P49:P50"/>
    <mergeCell ref="M31:O31"/>
    <mergeCell ref="Q31:R31"/>
    <mergeCell ref="M32:O32"/>
    <mergeCell ref="A33:A36"/>
    <mergeCell ref="B33:B36"/>
    <mergeCell ref="C33:C36"/>
    <mergeCell ref="K33:O34"/>
    <mergeCell ref="N35:O36"/>
    <mergeCell ref="E33:J34"/>
    <mergeCell ref="E35:E36"/>
    <mergeCell ref="F35:F36"/>
    <mergeCell ref="G35:G36"/>
    <mergeCell ref="H35:H36"/>
    <mergeCell ref="I35:I36"/>
    <mergeCell ref="J35:J36"/>
    <mergeCell ref="D33:D36"/>
    <mergeCell ref="L44:M44"/>
    <mergeCell ref="N44:O44"/>
    <mergeCell ref="L45:M45"/>
    <mergeCell ref="N45:O45"/>
    <mergeCell ref="L39:M39"/>
    <mergeCell ref="L40:M40"/>
    <mergeCell ref="N40:O40"/>
    <mergeCell ref="L41:M41"/>
    <mergeCell ref="N41:O41"/>
    <mergeCell ref="L42:M42"/>
    <mergeCell ref="N42:O42"/>
    <mergeCell ref="K35:K36"/>
    <mergeCell ref="L35:M36"/>
    <mergeCell ref="L37:M37"/>
    <mergeCell ref="N37:O37"/>
    <mergeCell ref="L38:M38"/>
    <mergeCell ref="N38:O38"/>
    <mergeCell ref="N39:O39"/>
    <mergeCell ref="L43:M43"/>
    <mergeCell ref="N43:O43"/>
    <mergeCell ref="C22:C23"/>
    <mergeCell ref="D22:D23"/>
    <mergeCell ref="E22:E23"/>
    <mergeCell ref="F22:F23"/>
    <mergeCell ref="G22:G23"/>
    <mergeCell ref="H22:H23"/>
    <mergeCell ref="K13:L13"/>
    <mergeCell ref="K14:L14"/>
    <mergeCell ref="K15:L15"/>
    <mergeCell ref="K16:L16"/>
    <mergeCell ref="K17:L17"/>
    <mergeCell ref="K18:L18"/>
    <mergeCell ref="K19:L19"/>
    <mergeCell ref="I8:I10"/>
    <mergeCell ref="M14:N14"/>
    <mergeCell ref="M15:N15"/>
    <mergeCell ref="M16:N16"/>
    <mergeCell ref="M17:N17"/>
    <mergeCell ref="M18:N18"/>
    <mergeCell ref="M19:N19"/>
    <mergeCell ref="K6:L10"/>
    <mergeCell ref="M6:N10"/>
    <mergeCell ref="K11:L11"/>
    <mergeCell ref="M11:N11"/>
    <mergeCell ref="K12:L12"/>
    <mergeCell ref="M12:N12"/>
    <mergeCell ref="M13:N13"/>
    <mergeCell ref="K31:L31"/>
    <mergeCell ref="K32:L32"/>
    <mergeCell ref="K24:L24"/>
    <mergeCell ref="K25:L25"/>
    <mergeCell ref="K26:L26"/>
    <mergeCell ref="K27:L27"/>
    <mergeCell ref="K28:L28"/>
    <mergeCell ref="K29:L29"/>
    <mergeCell ref="K30:L30"/>
    <mergeCell ref="Q16:R16"/>
    <mergeCell ref="Q17:R17"/>
    <mergeCell ref="Q18:R18"/>
    <mergeCell ref="Q19:R19"/>
    <mergeCell ref="Q5:R5"/>
    <mergeCell ref="Q6:R10"/>
    <mergeCell ref="Q11:R11"/>
    <mergeCell ref="Q12:R12"/>
    <mergeCell ref="Q13:R13"/>
    <mergeCell ref="Q14:R14"/>
    <mergeCell ref="Q15:R15"/>
    <mergeCell ref="A1:R1"/>
    <mergeCell ref="K3:L3"/>
    <mergeCell ref="M3:N3"/>
    <mergeCell ref="Q3:R3"/>
    <mergeCell ref="K4:L4"/>
    <mergeCell ref="M4:N4"/>
    <mergeCell ref="Q4:R4"/>
    <mergeCell ref="A8:A10"/>
    <mergeCell ref="B8:B10"/>
    <mergeCell ref="C8:C10"/>
    <mergeCell ref="D8:D10"/>
    <mergeCell ref="E8:E10"/>
    <mergeCell ref="F8:F10"/>
    <mergeCell ref="G8:G10"/>
    <mergeCell ref="H8:H10"/>
    <mergeCell ref="O6:P7"/>
    <mergeCell ref="O8:O10"/>
    <mergeCell ref="P8:P10"/>
    <mergeCell ref="K5:L5"/>
    <mergeCell ref="M5:N5"/>
    <mergeCell ref="A6:B7"/>
    <mergeCell ref="C6:E7"/>
    <mergeCell ref="F6:I7"/>
    <mergeCell ref="J6:J10"/>
  </mergeCells>
  <conditionalFormatting sqref="B24:G32 B37:C45 C51:P59 E37:J45 F11:J19 I24:J32 O11:R19 P37:R45 Q24:R32">
    <cfRule type="cellIs" dxfId="15" priority="1" stopIfTrue="1" operator="lessThan">
      <formula>0</formula>
    </cfRule>
  </conditionalFormatting>
  <conditionalFormatting sqref="C11:D19">
    <cfRule type="cellIs" dxfId="14" priority="2" stopIfTrue="1" operator="lessThan">
      <formula>0</formula>
    </cfRule>
  </conditionalFormatting>
  <conditionalFormatting sqref="Q11:R19">
    <cfRule type="cellIs" dxfId="13" priority="3" stopIfTrue="1" operator="lessThan">
      <formula>0</formula>
    </cfRule>
  </conditionalFormatting>
  <conditionalFormatting sqref="A4">
    <cfRule type="cellIs" dxfId="12" priority="4" stopIfTrue="1" operator="equal">
      <formula>"erro"</formula>
    </cfRule>
  </conditionalFormatting>
  <pageMargins left="0.78740157480314965" right="0.51181102362204722" top="0.94488188976377963" bottom="0.55118110236220474" header="0" footer="0"/>
  <pageSetup orientation="portrait"/>
  <rowBreaks count="1" manualBreakCount="1">
    <brk id="60" man="1"/>
  </rowBreaks>
  <colBreaks count="1" manualBreakCount="1">
    <brk id="18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 x14ac:dyDescent="0.3"/>
  <cols>
    <col min="1" max="1" width="8" customWidth="1"/>
    <col min="2" max="2" width="7" customWidth="1"/>
    <col min="3" max="3" width="6.33203125" customWidth="1"/>
    <col min="4" max="4" width="5.109375" customWidth="1"/>
    <col min="5" max="5" width="5.33203125" customWidth="1"/>
    <col min="6" max="6" width="5.6640625" customWidth="1"/>
    <col min="7" max="7" width="5.88671875" customWidth="1"/>
    <col min="8" max="8" width="6.109375" customWidth="1"/>
    <col min="9" max="9" width="5.88671875" customWidth="1"/>
    <col min="10" max="10" width="6.88671875" customWidth="1"/>
    <col min="11" max="11" width="4.6640625" customWidth="1"/>
    <col min="12" max="12" width="1.109375" customWidth="1"/>
    <col min="13" max="13" width="3.88671875" customWidth="1"/>
    <col min="14" max="14" width="2.44140625" customWidth="1"/>
    <col min="15" max="15" width="4.109375" customWidth="1"/>
    <col min="16" max="16" width="7" customWidth="1"/>
    <col min="17" max="17" width="2.33203125" customWidth="1"/>
    <col min="18" max="18" width="6.109375" customWidth="1"/>
    <col min="19" max="21" width="11.44140625" hidden="1" customWidth="1"/>
    <col min="22" max="26" width="11.44140625" customWidth="1"/>
  </cols>
  <sheetData>
    <row r="1" spans="1:26" ht="12" customHeight="1" x14ac:dyDescent="0.3">
      <c r="A1" s="118" t="s">
        <v>89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50"/>
      <c r="T1" s="50"/>
      <c r="U1" s="50"/>
      <c r="V1" s="51"/>
      <c r="W1" s="51"/>
      <c r="X1" s="52"/>
      <c r="Y1" s="52"/>
      <c r="Z1" s="52"/>
    </row>
    <row r="2" spans="1:26" ht="5.25" customHeight="1" x14ac:dyDescent="0.3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50"/>
      <c r="T2" s="50"/>
      <c r="U2" s="50"/>
      <c r="V2" s="51"/>
      <c r="W2" s="51"/>
      <c r="X2" s="52"/>
      <c r="Y2" s="52"/>
      <c r="Z2" s="52"/>
    </row>
    <row r="3" spans="1:26" ht="12" customHeight="1" x14ac:dyDescent="0.3">
      <c r="A3" s="53" t="s">
        <v>273</v>
      </c>
      <c r="B3" s="54"/>
      <c r="C3" s="54"/>
      <c r="D3" s="55"/>
      <c r="E3" s="55"/>
      <c r="F3" s="55"/>
      <c r="G3" s="55"/>
      <c r="H3" s="55"/>
      <c r="I3" s="55"/>
      <c r="J3" s="55"/>
      <c r="K3" s="119"/>
      <c r="L3" s="108"/>
      <c r="M3" s="119"/>
      <c r="N3" s="108"/>
      <c r="O3" s="55"/>
      <c r="P3" s="55"/>
      <c r="Q3" s="119"/>
      <c r="R3" s="108"/>
      <c r="S3" s="56"/>
      <c r="T3" s="56"/>
      <c r="U3" s="56"/>
      <c r="V3" s="57"/>
      <c r="W3" s="57"/>
      <c r="X3" s="58"/>
      <c r="Y3" s="58"/>
      <c r="Z3" s="58"/>
    </row>
    <row r="4" spans="1:26" ht="12" customHeight="1" x14ac:dyDescent="0.3">
      <c r="A4" s="59" t="s">
        <v>274</v>
      </c>
      <c r="B4" s="60"/>
      <c r="C4" s="60"/>
      <c r="D4" s="61"/>
      <c r="E4" s="61"/>
      <c r="F4" s="61"/>
      <c r="G4" s="61"/>
      <c r="H4" s="61"/>
      <c r="I4" s="61"/>
      <c r="J4" s="61"/>
      <c r="K4" s="120"/>
      <c r="L4" s="108"/>
      <c r="M4" s="120"/>
      <c r="N4" s="108"/>
      <c r="O4" s="61"/>
      <c r="P4" s="61"/>
      <c r="Q4" s="120"/>
      <c r="R4" s="108"/>
      <c r="S4" s="56"/>
      <c r="T4" s="56"/>
      <c r="U4" s="56"/>
      <c r="V4" s="57"/>
      <c r="W4" s="57"/>
      <c r="X4" s="58"/>
      <c r="Y4" s="58"/>
      <c r="Z4" s="58"/>
    </row>
    <row r="5" spans="1:26" ht="12" customHeight="1" x14ac:dyDescent="0.3">
      <c r="A5" s="53" t="s">
        <v>92</v>
      </c>
      <c r="B5" s="61"/>
      <c r="C5" s="61"/>
      <c r="D5" s="61"/>
      <c r="E5" s="61"/>
      <c r="F5" s="61"/>
      <c r="G5" s="61"/>
      <c r="H5" s="61"/>
      <c r="I5" s="61"/>
      <c r="J5" s="61"/>
      <c r="K5" s="120"/>
      <c r="L5" s="108"/>
      <c r="M5" s="120"/>
      <c r="N5" s="108"/>
      <c r="O5" s="60"/>
      <c r="P5" s="60"/>
      <c r="Q5" s="132"/>
      <c r="R5" s="126"/>
      <c r="S5" s="56"/>
      <c r="T5" s="56"/>
      <c r="U5" s="56"/>
      <c r="V5" s="57"/>
      <c r="W5" s="57"/>
      <c r="X5" s="58"/>
      <c r="Y5" s="58"/>
      <c r="Z5" s="58"/>
    </row>
    <row r="6" spans="1:26" ht="12" customHeight="1" x14ac:dyDescent="0.3">
      <c r="A6" s="133" t="s">
        <v>93</v>
      </c>
      <c r="B6" s="125"/>
      <c r="C6" s="133" t="s">
        <v>275</v>
      </c>
      <c r="D6" s="138"/>
      <c r="E6" s="125"/>
      <c r="F6" s="133" t="s">
        <v>276</v>
      </c>
      <c r="G6" s="138"/>
      <c r="H6" s="138"/>
      <c r="I6" s="125"/>
      <c r="J6" s="121" t="s">
        <v>277</v>
      </c>
      <c r="K6" s="133" t="s">
        <v>278</v>
      </c>
      <c r="L6" s="125"/>
      <c r="M6" s="133" t="s">
        <v>98</v>
      </c>
      <c r="N6" s="125"/>
      <c r="O6" s="124" t="s">
        <v>279</v>
      </c>
      <c r="P6" s="125"/>
      <c r="Q6" s="133" t="s">
        <v>280</v>
      </c>
      <c r="R6" s="125"/>
      <c r="S6" s="50"/>
      <c r="T6" s="50"/>
      <c r="U6" s="50"/>
      <c r="V6" s="51"/>
      <c r="W6" s="51"/>
      <c r="X6" s="52"/>
      <c r="Y6" s="52"/>
      <c r="Z6" s="52"/>
    </row>
    <row r="7" spans="1:26" ht="19.5" customHeight="1" x14ac:dyDescent="0.3">
      <c r="A7" s="135"/>
      <c r="B7" s="127"/>
      <c r="C7" s="135"/>
      <c r="D7" s="126"/>
      <c r="E7" s="127"/>
      <c r="F7" s="135"/>
      <c r="G7" s="126"/>
      <c r="H7" s="126"/>
      <c r="I7" s="127"/>
      <c r="J7" s="122"/>
      <c r="K7" s="134"/>
      <c r="L7" s="129"/>
      <c r="M7" s="134"/>
      <c r="N7" s="129"/>
      <c r="O7" s="126"/>
      <c r="P7" s="127"/>
      <c r="Q7" s="134"/>
      <c r="R7" s="129"/>
      <c r="S7" s="62"/>
      <c r="T7" s="50"/>
      <c r="U7" s="50"/>
      <c r="V7" s="51"/>
      <c r="W7" s="51"/>
      <c r="X7" s="52"/>
      <c r="Y7" s="52"/>
      <c r="Z7" s="52"/>
    </row>
    <row r="8" spans="1:26" ht="12" customHeight="1" x14ac:dyDescent="0.3">
      <c r="A8" s="121" t="s">
        <v>101</v>
      </c>
      <c r="B8" s="121" t="s">
        <v>281</v>
      </c>
      <c r="C8" s="121" t="s">
        <v>282</v>
      </c>
      <c r="D8" s="121" t="s">
        <v>283</v>
      </c>
      <c r="E8" s="121" t="s">
        <v>284</v>
      </c>
      <c r="F8" s="121" t="s">
        <v>285</v>
      </c>
      <c r="G8" s="121" t="s">
        <v>286</v>
      </c>
      <c r="H8" s="121" t="s">
        <v>287</v>
      </c>
      <c r="I8" s="121" t="s">
        <v>288</v>
      </c>
      <c r="J8" s="122"/>
      <c r="K8" s="134"/>
      <c r="L8" s="129"/>
      <c r="M8" s="134"/>
      <c r="N8" s="129"/>
      <c r="O8" s="128" t="s">
        <v>110</v>
      </c>
      <c r="P8" s="121" t="s">
        <v>111</v>
      </c>
      <c r="Q8" s="134"/>
      <c r="R8" s="129"/>
      <c r="S8" s="62"/>
      <c r="T8" s="62"/>
      <c r="U8" s="62"/>
      <c r="V8" s="51"/>
      <c r="W8" s="51"/>
      <c r="X8" s="52"/>
      <c r="Y8" s="52"/>
      <c r="Z8" s="52"/>
    </row>
    <row r="9" spans="1:26" ht="12" customHeight="1" x14ac:dyDescent="0.3">
      <c r="A9" s="122"/>
      <c r="B9" s="122"/>
      <c r="C9" s="122"/>
      <c r="D9" s="122"/>
      <c r="E9" s="122"/>
      <c r="F9" s="122"/>
      <c r="G9" s="122"/>
      <c r="H9" s="122"/>
      <c r="I9" s="122"/>
      <c r="J9" s="122"/>
      <c r="K9" s="134"/>
      <c r="L9" s="129"/>
      <c r="M9" s="134"/>
      <c r="N9" s="129"/>
      <c r="O9" s="129"/>
      <c r="P9" s="122"/>
      <c r="Q9" s="134"/>
      <c r="R9" s="129"/>
      <c r="S9" s="62"/>
      <c r="T9" s="50"/>
      <c r="U9" s="62"/>
      <c r="V9" s="51"/>
      <c r="W9" s="51"/>
      <c r="X9" s="52"/>
      <c r="Y9" s="52"/>
      <c r="Z9" s="63"/>
    </row>
    <row r="10" spans="1:26" ht="14.25" customHeight="1" x14ac:dyDescent="0.3">
      <c r="A10" s="123"/>
      <c r="B10" s="123"/>
      <c r="C10" s="123"/>
      <c r="D10" s="123"/>
      <c r="E10" s="123"/>
      <c r="F10" s="123"/>
      <c r="G10" s="123"/>
      <c r="H10" s="123"/>
      <c r="I10" s="123"/>
      <c r="J10" s="123"/>
      <c r="K10" s="135"/>
      <c r="L10" s="127"/>
      <c r="M10" s="135"/>
      <c r="N10" s="127"/>
      <c r="O10" s="127"/>
      <c r="P10" s="123"/>
      <c r="Q10" s="135"/>
      <c r="R10" s="127"/>
      <c r="S10" s="50" t="s">
        <v>112</v>
      </c>
      <c r="T10" s="50" t="s">
        <v>112</v>
      </c>
      <c r="U10" s="50" t="s">
        <v>112</v>
      </c>
      <c r="V10" s="51"/>
      <c r="W10" s="51"/>
      <c r="X10" s="52"/>
      <c r="Y10" s="52"/>
      <c r="Z10" s="63"/>
    </row>
    <row r="11" spans="1:26" ht="12" customHeight="1" x14ac:dyDescent="0.3">
      <c r="A11" s="64" t="s">
        <v>77</v>
      </c>
      <c r="B11" s="65" t="s">
        <v>113</v>
      </c>
      <c r="C11" s="66" t="s">
        <v>114</v>
      </c>
      <c r="D11" s="67" t="s">
        <v>114</v>
      </c>
      <c r="E11" s="66" t="s">
        <v>114</v>
      </c>
      <c r="F11" s="67">
        <v>369</v>
      </c>
      <c r="G11" s="66">
        <v>166</v>
      </c>
      <c r="H11" s="67">
        <v>114</v>
      </c>
      <c r="I11" s="66">
        <v>351</v>
      </c>
      <c r="J11" s="68" t="s">
        <v>114</v>
      </c>
      <c r="K11" s="130" t="s">
        <v>114</v>
      </c>
      <c r="L11" s="108"/>
      <c r="M11" s="141">
        <v>0.32</v>
      </c>
      <c r="N11" s="129"/>
      <c r="O11" s="70" t="s">
        <v>114</v>
      </c>
      <c r="P11" s="71" t="s">
        <v>114</v>
      </c>
      <c r="Q11" s="136" t="s">
        <v>114</v>
      </c>
      <c r="R11" s="125"/>
      <c r="S11" s="72" t="s">
        <v>78</v>
      </c>
      <c r="T11" s="72" t="s">
        <v>78</v>
      </c>
      <c r="U11" s="72" t="s">
        <v>78</v>
      </c>
      <c r="V11" s="73" t="s">
        <v>78</v>
      </c>
      <c r="W11" s="74"/>
      <c r="X11" s="52"/>
      <c r="Y11" s="52"/>
      <c r="Z11" s="63"/>
    </row>
    <row r="12" spans="1:26" ht="12" customHeight="1" x14ac:dyDescent="0.3">
      <c r="A12" s="98" t="s">
        <v>81</v>
      </c>
      <c r="B12" s="76" t="s">
        <v>115</v>
      </c>
      <c r="C12" s="66" t="s">
        <v>114</v>
      </c>
      <c r="D12" s="77" t="s">
        <v>114</v>
      </c>
      <c r="E12" s="77" t="s">
        <v>114</v>
      </c>
      <c r="F12" s="66">
        <v>386</v>
      </c>
      <c r="G12" s="77">
        <v>158</v>
      </c>
      <c r="H12" s="66">
        <v>103</v>
      </c>
      <c r="I12" s="77">
        <v>353</v>
      </c>
      <c r="J12" s="66" t="s">
        <v>114</v>
      </c>
      <c r="K12" s="130" t="s">
        <v>114</v>
      </c>
      <c r="L12" s="129"/>
      <c r="M12" s="139">
        <v>0.28999999999999998</v>
      </c>
      <c r="N12" s="108"/>
      <c r="O12" s="79" t="s">
        <v>114</v>
      </c>
      <c r="P12" s="78" t="s">
        <v>114</v>
      </c>
      <c r="Q12" s="130" t="s">
        <v>114</v>
      </c>
      <c r="R12" s="129"/>
      <c r="S12" s="72" t="s">
        <v>78</v>
      </c>
      <c r="T12" s="72" t="s">
        <v>78</v>
      </c>
      <c r="U12" s="72" t="s">
        <v>78</v>
      </c>
      <c r="V12" s="73" t="s">
        <v>78</v>
      </c>
      <c r="W12" s="51"/>
      <c r="X12" s="52"/>
      <c r="Y12" s="52"/>
      <c r="Z12" s="63"/>
    </row>
    <row r="13" spans="1:26" ht="12" customHeight="1" x14ac:dyDescent="0.3">
      <c r="A13" s="96" t="s">
        <v>114</v>
      </c>
      <c r="B13" s="76" t="s">
        <v>114</v>
      </c>
      <c r="C13" s="66" t="s">
        <v>114</v>
      </c>
      <c r="D13" s="77" t="s">
        <v>114</v>
      </c>
      <c r="E13" s="77" t="s">
        <v>114</v>
      </c>
      <c r="F13" s="66" t="s">
        <v>114</v>
      </c>
      <c r="G13" s="77" t="s">
        <v>114</v>
      </c>
      <c r="H13" s="66" t="s">
        <v>114</v>
      </c>
      <c r="I13" s="77" t="s">
        <v>114</v>
      </c>
      <c r="J13" s="66" t="s">
        <v>114</v>
      </c>
      <c r="K13" s="130" t="s">
        <v>114</v>
      </c>
      <c r="L13" s="129"/>
      <c r="M13" s="139" t="s">
        <v>114</v>
      </c>
      <c r="N13" s="108"/>
      <c r="O13" s="79" t="s">
        <v>114</v>
      </c>
      <c r="P13" s="78" t="s">
        <v>114</v>
      </c>
      <c r="Q13" s="130" t="s">
        <v>114</v>
      </c>
      <c r="R13" s="129"/>
      <c r="S13" s="72" t="s">
        <v>114</v>
      </c>
      <c r="T13" s="72" t="s">
        <v>114</v>
      </c>
      <c r="U13" s="72" t="s">
        <v>114</v>
      </c>
      <c r="V13" s="73" t="s">
        <v>114</v>
      </c>
      <c r="W13" s="51"/>
      <c r="X13" s="52"/>
      <c r="Y13" s="52"/>
      <c r="Z13" s="63"/>
    </row>
    <row r="14" spans="1:26" ht="12" customHeight="1" x14ac:dyDescent="0.3">
      <c r="A14" s="96" t="s">
        <v>114</v>
      </c>
      <c r="B14" s="76" t="s">
        <v>114</v>
      </c>
      <c r="C14" s="66" t="s">
        <v>114</v>
      </c>
      <c r="D14" s="77" t="s">
        <v>114</v>
      </c>
      <c r="E14" s="77" t="s">
        <v>114</v>
      </c>
      <c r="F14" s="66" t="s">
        <v>114</v>
      </c>
      <c r="G14" s="77" t="s">
        <v>114</v>
      </c>
      <c r="H14" s="66" t="s">
        <v>114</v>
      </c>
      <c r="I14" s="77" t="s">
        <v>114</v>
      </c>
      <c r="J14" s="66" t="s">
        <v>114</v>
      </c>
      <c r="K14" s="130" t="s">
        <v>114</v>
      </c>
      <c r="L14" s="129"/>
      <c r="M14" s="139" t="s">
        <v>114</v>
      </c>
      <c r="N14" s="108"/>
      <c r="O14" s="79" t="s">
        <v>114</v>
      </c>
      <c r="P14" s="78" t="s">
        <v>114</v>
      </c>
      <c r="Q14" s="130" t="s">
        <v>114</v>
      </c>
      <c r="R14" s="129"/>
      <c r="S14" s="72" t="s">
        <v>114</v>
      </c>
      <c r="T14" s="72" t="s">
        <v>114</v>
      </c>
      <c r="U14" s="72" t="s">
        <v>114</v>
      </c>
      <c r="V14" s="73" t="s">
        <v>114</v>
      </c>
      <c r="W14" s="51"/>
      <c r="X14" s="52"/>
      <c r="Y14" s="52"/>
      <c r="Z14" s="63"/>
    </row>
    <row r="15" spans="1:26" ht="12" customHeight="1" x14ac:dyDescent="0.3">
      <c r="A15" s="96" t="s">
        <v>114</v>
      </c>
      <c r="B15" s="76" t="s">
        <v>114</v>
      </c>
      <c r="C15" s="66" t="s">
        <v>114</v>
      </c>
      <c r="D15" s="77" t="s">
        <v>114</v>
      </c>
      <c r="E15" s="77" t="s">
        <v>114</v>
      </c>
      <c r="F15" s="66" t="s">
        <v>114</v>
      </c>
      <c r="G15" s="77" t="s">
        <v>114</v>
      </c>
      <c r="H15" s="66" t="s">
        <v>114</v>
      </c>
      <c r="I15" s="77" t="s">
        <v>114</v>
      </c>
      <c r="J15" s="66" t="s">
        <v>114</v>
      </c>
      <c r="K15" s="130" t="s">
        <v>114</v>
      </c>
      <c r="L15" s="129"/>
      <c r="M15" s="139" t="s">
        <v>114</v>
      </c>
      <c r="N15" s="108"/>
      <c r="O15" s="79" t="s">
        <v>114</v>
      </c>
      <c r="P15" s="78" t="s">
        <v>114</v>
      </c>
      <c r="Q15" s="130" t="s">
        <v>114</v>
      </c>
      <c r="R15" s="129"/>
      <c r="S15" s="72" t="s">
        <v>114</v>
      </c>
      <c r="T15" s="72" t="s">
        <v>114</v>
      </c>
      <c r="U15" s="72" t="s">
        <v>114</v>
      </c>
      <c r="V15" s="73" t="s">
        <v>114</v>
      </c>
      <c r="W15" s="51"/>
      <c r="X15" s="52"/>
      <c r="Y15" s="52"/>
      <c r="Z15" s="63"/>
    </row>
    <row r="16" spans="1:26" ht="12" customHeight="1" x14ac:dyDescent="0.3">
      <c r="A16" s="96" t="s">
        <v>114</v>
      </c>
      <c r="B16" s="76" t="s">
        <v>114</v>
      </c>
      <c r="C16" s="66" t="s">
        <v>114</v>
      </c>
      <c r="D16" s="77" t="s">
        <v>114</v>
      </c>
      <c r="E16" s="77" t="s">
        <v>114</v>
      </c>
      <c r="F16" s="66" t="s">
        <v>114</v>
      </c>
      <c r="G16" s="77" t="s">
        <v>114</v>
      </c>
      <c r="H16" s="66" t="s">
        <v>114</v>
      </c>
      <c r="I16" s="77" t="s">
        <v>114</v>
      </c>
      <c r="J16" s="66" t="s">
        <v>114</v>
      </c>
      <c r="K16" s="130" t="s">
        <v>114</v>
      </c>
      <c r="L16" s="129"/>
      <c r="M16" s="139" t="s">
        <v>114</v>
      </c>
      <c r="N16" s="108"/>
      <c r="O16" s="79" t="s">
        <v>114</v>
      </c>
      <c r="P16" s="78" t="s">
        <v>114</v>
      </c>
      <c r="Q16" s="130" t="s">
        <v>114</v>
      </c>
      <c r="R16" s="129"/>
      <c r="S16" s="72" t="s">
        <v>114</v>
      </c>
      <c r="T16" s="72" t="s">
        <v>114</v>
      </c>
      <c r="U16" s="72" t="s">
        <v>114</v>
      </c>
      <c r="V16" s="73" t="s">
        <v>114</v>
      </c>
      <c r="W16" s="51"/>
      <c r="X16" s="52"/>
      <c r="Y16" s="52"/>
      <c r="Z16" s="63"/>
    </row>
    <row r="17" spans="1:26" ht="12" customHeight="1" x14ac:dyDescent="0.3">
      <c r="A17" s="96" t="s">
        <v>114</v>
      </c>
      <c r="B17" s="76" t="s">
        <v>114</v>
      </c>
      <c r="C17" s="78" t="s">
        <v>114</v>
      </c>
      <c r="D17" s="79" t="s">
        <v>114</v>
      </c>
      <c r="E17" s="79" t="s">
        <v>114</v>
      </c>
      <c r="F17" s="78" t="s">
        <v>114</v>
      </c>
      <c r="G17" s="79" t="s">
        <v>114</v>
      </c>
      <c r="H17" s="78" t="s">
        <v>114</v>
      </c>
      <c r="I17" s="79" t="s">
        <v>114</v>
      </c>
      <c r="J17" s="78" t="s">
        <v>114</v>
      </c>
      <c r="K17" s="130" t="s">
        <v>114</v>
      </c>
      <c r="L17" s="129"/>
      <c r="M17" s="139" t="s">
        <v>114</v>
      </c>
      <c r="N17" s="108"/>
      <c r="O17" s="79" t="s">
        <v>114</v>
      </c>
      <c r="P17" s="78" t="s">
        <v>114</v>
      </c>
      <c r="Q17" s="130" t="s">
        <v>114</v>
      </c>
      <c r="R17" s="129"/>
      <c r="S17" s="72" t="s">
        <v>114</v>
      </c>
      <c r="T17" s="72" t="s">
        <v>114</v>
      </c>
      <c r="U17" s="72" t="s">
        <v>114</v>
      </c>
      <c r="V17" s="73" t="s">
        <v>114</v>
      </c>
      <c r="W17" s="51"/>
      <c r="X17" s="52"/>
      <c r="Y17" s="52"/>
      <c r="Z17" s="63"/>
    </row>
    <row r="18" spans="1:26" ht="12" customHeight="1" x14ac:dyDescent="0.3">
      <c r="A18" s="96" t="s">
        <v>114</v>
      </c>
      <c r="B18" s="76" t="s">
        <v>114</v>
      </c>
      <c r="C18" s="78" t="s">
        <v>114</v>
      </c>
      <c r="D18" s="79" t="s">
        <v>114</v>
      </c>
      <c r="E18" s="79" t="s">
        <v>114</v>
      </c>
      <c r="F18" s="78" t="s">
        <v>114</v>
      </c>
      <c r="G18" s="79" t="s">
        <v>114</v>
      </c>
      <c r="H18" s="78" t="s">
        <v>114</v>
      </c>
      <c r="I18" s="79" t="s">
        <v>114</v>
      </c>
      <c r="J18" s="78" t="s">
        <v>114</v>
      </c>
      <c r="K18" s="130" t="s">
        <v>114</v>
      </c>
      <c r="L18" s="129"/>
      <c r="M18" s="139" t="s">
        <v>114</v>
      </c>
      <c r="N18" s="108"/>
      <c r="O18" s="79" t="s">
        <v>114</v>
      </c>
      <c r="P18" s="78" t="s">
        <v>114</v>
      </c>
      <c r="Q18" s="130" t="s">
        <v>114</v>
      </c>
      <c r="R18" s="129"/>
      <c r="S18" s="72" t="s">
        <v>114</v>
      </c>
      <c r="T18" s="72" t="s">
        <v>114</v>
      </c>
      <c r="U18" s="72" t="s">
        <v>114</v>
      </c>
      <c r="V18" s="73" t="s">
        <v>114</v>
      </c>
      <c r="W18" s="51"/>
      <c r="X18" s="52"/>
      <c r="Y18" s="52"/>
      <c r="Z18" s="63"/>
    </row>
    <row r="19" spans="1:26" ht="12" customHeight="1" x14ac:dyDescent="0.3">
      <c r="A19" s="96" t="s">
        <v>114</v>
      </c>
      <c r="B19" s="82" t="s">
        <v>114</v>
      </c>
      <c r="C19" s="83" t="s">
        <v>114</v>
      </c>
      <c r="D19" s="84" t="s">
        <v>114</v>
      </c>
      <c r="E19" s="83" t="s">
        <v>114</v>
      </c>
      <c r="F19" s="84" t="s">
        <v>114</v>
      </c>
      <c r="G19" s="83" t="s">
        <v>114</v>
      </c>
      <c r="H19" s="84" t="s">
        <v>114</v>
      </c>
      <c r="I19" s="83" t="s">
        <v>114</v>
      </c>
      <c r="J19" s="85" t="s">
        <v>114</v>
      </c>
      <c r="K19" s="131" t="s">
        <v>114</v>
      </c>
      <c r="L19" s="126"/>
      <c r="M19" s="140" t="s">
        <v>114</v>
      </c>
      <c r="N19" s="127"/>
      <c r="O19" s="86" t="s">
        <v>114</v>
      </c>
      <c r="P19" s="84" t="s">
        <v>114</v>
      </c>
      <c r="Q19" s="131" t="s">
        <v>114</v>
      </c>
      <c r="R19" s="127"/>
      <c r="S19" s="72" t="s">
        <v>114</v>
      </c>
      <c r="T19" s="72" t="s">
        <v>114</v>
      </c>
      <c r="U19" s="72" t="s">
        <v>114</v>
      </c>
      <c r="V19" s="73" t="s">
        <v>114</v>
      </c>
      <c r="W19" s="51"/>
      <c r="X19" s="52"/>
      <c r="Y19" s="52"/>
      <c r="Z19" s="63"/>
    </row>
    <row r="20" spans="1:26" ht="12" customHeight="1" x14ac:dyDescent="0.3">
      <c r="A20" s="121" t="s">
        <v>93</v>
      </c>
      <c r="B20" s="141" t="s">
        <v>289</v>
      </c>
      <c r="C20" s="129"/>
      <c r="D20" s="141" t="s">
        <v>290</v>
      </c>
      <c r="E20" s="108"/>
      <c r="F20" s="108"/>
      <c r="G20" s="108"/>
      <c r="H20" s="108"/>
      <c r="I20" s="108"/>
      <c r="J20" s="108"/>
      <c r="K20" s="108"/>
      <c r="L20" s="129"/>
      <c r="M20" s="141" t="s">
        <v>291</v>
      </c>
      <c r="N20" s="108"/>
      <c r="O20" s="129"/>
      <c r="P20" s="152" t="s">
        <v>292</v>
      </c>
      <c r="Q20" s="141" t="s">
        <v>293</v>
      </c>
      <c r="R20" s="129"/>
      <c r="S20" s="50"/>
      <c r="T20" s="50"/>
      <c r="U20" s="62"/>
      <c r="V20" s="51"/>
      <c r="W20" s="51"/>
      <c r="X20" s="52"/>
      <c r="Y20" s="52"/>
      <c r="Z20" s="63"/>
    </row>
    <row r="21" spans="1:26" ht="9.75" customHeight="1" x14ac:dyDescent="0.3">
      <c r="A21" s="122"/>
      <c r="B21" s="135"/>
      <c r="C21" s="127"/>
      <c r="D21" s="135"/>
      <c r="E21" s="126"/>
      <c r="F21" s="126"/>
      <c r="G21" s="126"/>
      <c r="H21" s="126"/>
      <c r="I21" s="126"/>
      <c r="J21" s="126"/>
      <c r="K21" s="126"/>
      <c r="L21" s="127"/>
      <c r="M21" s="134"/>
      <c r="N21" s="108"/>
      <c r="O21" s="129"/>
      <c r="P21" s="122"/>
      <c r="Q21" s="134"/>
      <c r="R21" s="129"/>
      <c r="S21" s="50"/>
      <c r="T21" s="50"/>
      <c r="U21" s="62"/>
      <c r="V21" s="51"/>
      <c r="W21" s="51"/>
      <c r="X21" s="52"/>
      <c r="Y21" s="52"/>
      <c r="Z21" s="52"/>
    </row>
    <row r="22" spans="1:26" ht="9.75" customHeight="1" x14ac:dyDescent="0.3">
      <c r="A22" s="122"/>
      <c r="B22" s="142" t="s">
        <v>121</v>
      </c>
      <c r="C22" s="142" t="s">
        <v>294</v>
      </c>
      <c r="D22" s="142" t="s">
        <v>295</v>
      </c>
      <c r="E22" s="142" t="s">
        <v>296</v>
      </c>
      <c r="F22" s="142" t="s">
        <v>297</v>
      </c>
      <c r="G22" s="142" t="s">
        <v>298</v>
      </c>
      <c r="H22" s="142" t="s">
        <v>299</v>
      </c>
      <c r="I22" s="142" t="s">
        <v>300</v>
      </c>
      <c r="J22" s="142" t="s">
        <v>301</v>
      </c>
      <c r="K22" s="143" t="s">
        <v>130</v>
      </c>
      <c r="L22" s="125"/>
      <c r="M22" s="134"/>
      <c r="N22" s="108"/>
      <c r="O22" s="129"/>
      <c r="P22" s="122"/>
      <c r="Q22" s="134"/>
      <c r="R22" s="129"/>
      <c r="S22" s="50"/>
      <c r="T22" s="50"/>
      <c r="U22" s="50"/>
      <c r="V22" s="51"/>
      <c r="W22" s="51"/>
      <c r="X22" s="52"/>
      <c r="Y22" s="52"/>
      <c r="Z22" s="63"/>
    </row>
    <row r="23" spans="1:26" ht="11.25" customHeight="1" x14ac:dyDescent="0.3">
      <c r="A23" s="123"/>
      <c r="B23" s="123"/>
      <c r="C23" s="123"/>
      <c r="D23" s="123"/>
      <c r="E23" s="123"/>
      <c r="F23" s="123"/>
      <c r="G23" s="123"/>
      <c r="H23" s="123"/>
      <c r="I23" s="123"/>
      <c r="J23" s="123"/>
      <c r="K23" s="135"/>
      <c r="L23" s="127"/>
      <c r="M23" s="135"/>
      <c r="N23" s="126"/>
      <c r="O23" s="127"/>
      <c r="P23" s="123"/>
      <c r="Q23" s="135"/>
      <c r="R23" s="127"/>
      <c r="S23" s="50" t="s">
        <v>112</v>
      </c>
      <c r="T23" s="50" t="s">
        <v>112</v>
      </c>
      <c r="U23" s="50"/>
      <c r="V23" s="51"/>
      <c r="W23" s="51"/>
      <c r="X23" s="52"/>
      <c r="Y23" s="52"/>
      <c r="Z23" s="63"/>
    </row>
    <row r="24" spans="1:26" ht="12" customHeight="1" x14ac:dyDescent="0.3">
      <c r="A24" s="87" t="s">
        <v>77</v>
      </c>
      <c r="B24" s="88">
        <v>4.8</v>
      </c>
      <c r="C24" s="89" t="s">
        <v>114</v>
      </c>
      <c r="D24" s="88">
        <v>3.5</v>
      </c>
      <c r="E24" s="89">
        <v>3.2</v>
      </c>
      <c r="F24" s="79">
        <v>0.31</v>
      </c>
      <c r="G24" s="79">
        <v>0.04</v>
      </c>
      <c r="H24" s="88">
        <v>7</v>
      </c>
      <c r="I24" s="89">
        <v>2.7</v>
      </c>
      <c r="J24" s="88">
        <v>3.9</v>
      </c>
      <c r="K24" s="137">
        <v>13.6</v>
      </c>
      <c r="L24" s="129"/>
      <c r="M24" s="144">
        <v>51</v>
      </c>
      <c r="N24" s="108"/>
      <c r="O24" s="129"/>
      <c r="P24" s="90">
        <v>28</v>
      </c>
      <c r="Q24" s="130">
        <v>13</v>
      </c>
      <c r="R24" s="129"/>
      <c r="S24" s="50">
        <v>7</v>
      </c>
      <c r="T24" s="50">
        <v>7</v>
      </c>
      <c r="U24" s="50"/>
      <c r="V24" s="51" t="s">
        <v>79</v>
      </c>
      <c r="W24" s="51" t="str">
        <f t="shared" ref="W24:W32" si="0">IF(OR(H24="",I24="",I11="",M24=""),"",IF(1000*(H24+I24)/I11&gt;1.5,"",IF(C24&gt;=5,"ácrico",IF(C24-B24&gt;=0,"ácrico",""))))</f>
        <v/>
      </c>
      <c r="X24" s="52"/>
      <c r="Y24" s="52"/>
      <c r="Z24" s="63"/>
    </row>
    <row r="25" spans="1:26" ht="12" customHeight="1" x14ac:dyDescent="0.3">
      <c r="A25" s="87" t="s">
        <v>81</v>
      </c>
      <c r="B25" s="88">
        <v>4.9000000000000004</v>
      </c>
      <c r="C25" s="89" t="s">
        <v>114</v>
      </c>
      <c r="D25" s="88">
        <v>2.4</v>
      </c>
      <c r="E25" s="89">
        <v>3.4</v>
      </c>
      <c r="F25" s="79">
        <v>0.19</v>
      </c>
      <c r="G25" s="79">
        <v>0.05</v>
      </c>
      <c r="H25" s="88">
        <v>6</v>
      </c>
      <c r="I25" s="89">
        <v>6.5</v>
      </c>
      <c r="J25" s="88">
        <v>2.4</v>
      </c>
      <c r="K25" s="137">
        <v>14.9</v>
      </c>
      <c r="L25" s="129"/>
      <c r="M25" s="144">
        <v>40</v>
      </c>
      <c r="N25" s="108"/>
      <c r="O25" s="129"/>
      <c r="P25" s="90">
        <v>52</v>
      </c>
      <c r="Q25" s="130">
        <v>4</v>
      </c>
      <c r="R25" s="129"/>
      <c r="S25" s="50">
        <v>6</v>
      </c>
      <c r="T25" s="50">
        <v>6</v>
      </c>
      <c r="U25" s="50"/>
      <c r="V25" s="51" t="s">
        <v>62</v>
      </c>
      <c r="W25" s="51" t="str">
        <f t="shared" si="0"/>
        <v/>
      </c>
      <c r="X25" s="52"/>
      <c r="Y25" s="52"/>
      <c r="Z25" s="63"/>
    </row>
    <row r="26" spans="1:26" ht="12" customHeight="1" x14ac:dyDescent="0.3">
      <c r="A26" s="91" t="s">
        <v>114</v>
      </c>
      <c r="B26" s="88" t="s">
        <v>114</v>
      </c>
      <c r="C26" s="89" t="s">
        <v>114</v>
      </c>
      <c r="D26" s="88" t="s">
        <v>114</v>
      </c>
      <c r="E26" s="89" t="s">
        <v>114</v>
      </c>
      <c r="F26" s="79" t="s">
        <v>114</v>
      </c>
      <c r="G26" s="79" t="s">
        <v>114</v>
      </c>
      <c r="H26" s="88" t="s">
        <v>114</v>
      </c>
      <c r="I26" s="89" t="s">
        <v>114</v>
      </c>
      <c r="J26" s="88" t="s">
        <v>114</v>
      </c>
      <c r="K26" s="137" t="s">
        <v>114</v>
      </c>
      <c r="L26" s="129"/>
      <c r="M26" s="144" t="s">
        <v>114</v>
      </c>
      <c r="N26" s="108"/>
      <c r="O26" s="129"/>
      <c r="P26" s="90" t="s">
        <v>114</v>
      </c>
      <c r="Q26" s="130" t="s">
        <v>114</v>
      </c>
      <c r="R26" s="129"/>
      <c r="S26" s="50" t="s">
        <v>114</v>
      </c>
      <c r="T26" s="50" t="s">
        <v>114</v>
      </c>
      <c r="U26" s="50"/>
      <c r="V26" s="51" t="s">
        <v>114</v>
      </c>
      <c r="W26" s="51" t="str">
        <f t="shared" si="0"/>
        <v/>
      </c>
      <c r="X26" s="52"/>
      <c r="Y26" s="52"/>
      <c r="Z26" s="63"/>
    </row>
    <row r="27" spans="1:26" ht="12" customHeight="1" x14ac:dyDescent="0.3">
      <c r="A27" s="91" t="s">
        <v>114</v>
      </c>
      <c r="B27" s="88" t="s">
        <v>114</v>
      </c>
      <c r="C27" s="89" t="s">
        <v>114</v>
      </c>
      <c r="D27" s="88" t="s">
        <v>114</v>
      </c>
      <c r="E27" s="89" t="s">
        <v>114</v>
      </c>
      <c r="F27" s="79" t="s">
        <v>114</v>
      </c>
      <c r="G27" s="79" t="s">
        <v>114</v>
      </c>
      <c r="H27" s="88" t="s">
        <v>114</v>
      </c>
      <c r="I27" s="89" t="s">
        <v>114</v>
      </c>
      <c r="J27" s="88" t="s">
        <v>114</v>
      </c>
      <c r="K27" s="137" t="s">
        <v>114</v>
      </c>
      <c r="L27" s="129"/>
      <c r="M27" s="144" t="s">
        <v>114</v>
      </c>
      <c r="N27" s="108"/>
      <c r="O27" s="129"/>
      <c r="P27" s="90" t="s">
        <v>114</v>
      </c>
      <c r="Q27" s="130" t="s">
        <v>114</v>
      </c>
      <c r="R27" s="129"/>
      <c r="S27" s="50" t="s">
        <v>114</v>
      </c>
      <c r="T27" s="50" t="s">
        <v>114</v>
      </c>
      <c r="U27" s="50"/>
      <c r="V27" s="51" t="s">
        <v>114</v>
      </c>
      <c r="W27" s="51" t="str">
        <f t="shared" si="0"/>
        <v/>
      </c>
      <c r="X27" s="52"/>
      <c r="Y27" s="52"/>
      <c r="Z27" s="63"/>
    </row>
    <row r="28" spans="1:26" ht="12" customHeight="1" x14ac:dyDescent="0.3">
      <c r="A28" s="91" t="s">
        <v>114</v>
      </c>
      <c r="B28" s="88" t="s">
        <v>114</v>
      </c>
      <c r="C28" s="89" t="s">
        <v>114</v>
      </c>
      <c r="D28" s="88" t="s">
        <v>114</v>
      </c>
      <c r="E28" s="89" t="s">
        <v>114</v>
      </c>
      <c r="F28" s="79" t="s">
        <v>114</v>
      </c>
      <c r="G28" s="79" t="s">
        <v>114</v>
      </c>
      <c r="H28" s="88" t="s">
        <v>114</v>
      </c>
      <c r="I28" s="89" t="s">
        <v>114</v>
      </c>
      <c r="J28" s="88" t="s">
        <v>114</v>
      </c>
      <c r="K28" s="137" t="s">
        <v>114</v>
      </c>
      <c r="L28" s="129"/>
      <c r="M28" s="144" t="s">
        <v>114</v>
      </c>
      <c r="N28" s="108"/>
      <c r="O28" s="129"/>
      <c r="P28" s="90" t="s">
        <v>114</v>
      </c>
      <c r="Q28" s="130" t="s">
        <v>114</v>
      </c>
      <c r="R28" s="129"/>
      <c r="S28" s="50" t="s">
        <v>114</v>
      </c>
      <c r="T28" s="50" t="s">
        <v>114</v>
      </c>
      <c r="U28" s="50"/>
      <c r="V28" s="51" t="s">
        <v>114</v>
      </c>
      <c r="W28" s="51" t="str">
        <f t="shared" si="0"/>
        <v/>
      </c>
      <c r="X28" s="52"/>
      <c r="Y28" s="52"/>
      <c r="Z28" s="63"/>
    </row>
    <row r="29" spans="1:26" ht="12" customHeight="1" x14ac:dyDescent="0.3">
      <c r="A29" s="91" t="s">
        <v>114</v>
      </c>
      <c r="B29" s="88" t="s">
        <v>114</v>
      </c>
      <c r="C29" s="89" t="s">
        <v>114</v>
      </c>
      <c r="D29" s="88" t="s">
        <v>114</v>
      </c>
      <c r="E29" s="89" t="s">
        <v>114</v>
      </c>
      <c r="F29" s="79" t="s">
        <v>114</v>
      </c>
      <c r="G29" s="79" t="s">
        <v>114</v>
      </c>
      <c r="H29" s="88" t="s">
        <v>114</v>
      </c>
      <c r="I29" s="89" t="s">
        <v>114</v>
      </c>
      <c r="J29" s="88" t="s">
        <v>114</v>
      </c>
      <c r="K29" s="137" t="s">
        <v>114</v>
      </c>
      <c r="L29" s="129"/>
      <c r="M29" s="144" t="s">
        <v>114</v>
      </c>
      <c r="N29" s="108"/>
      <c r="O29" s="129"/>
      <c r="P29" s="90" t="s">
        <v>114</v>
      </c>
      <c r="Q29" s="130" t="s">
        <v>114</v>
      </c>
      <c r="R29" s="129"/>
      <c r="S29" s="50" t="s">
        <v>114</v>
      </c>
      <c r="T29" s="50" t="s">
        <v>114</v>
      </c>
      <c r="U29" s="50"/>
      <c r="V29" s="51" t="s">
        <v>114</v>
      </c>
      <c r="W29" s="51" t="str">
        <f t="shared" si="0"/>
        <v/>
      </c>
      <c r="X29" s="52"/>
      <c r="Y29" s="52"/>
      <c r="Z29" s="63"/>
    </row>
    <row r="30" spans="1:26" ht="12" customHeight="1" x14ac:dyDescent="0.3">
      <c r="A30" s="91" t="s">
        <v>114</v>
      </c>
      <c r="B30" s="88" t="s">
        <v>114</v>
      </c>
      <c r="C30" s="89" t="s">
        <v>114</v>
      </c>
      <c r="D30" s="88" t="s">
        <v>114</v>
      </c>
      <c r="E30" s="89" t="s">
        <v>114</v>
      </c>
      <c r="F30" s="79" t="s">
        <v>114</v>
      </c>
      <c r="G30" s="79" t="s">
        <v>114</v>
      </c>
      <c r="H30" s="88" t="s">
        <v>114</v>
      </c>
      <c r="I30" s="89" t="s">
        <v>114</v>
      </c>
      <c r="J30" s="88" t="s">
        <v>114</v>
      </c>
      <c r="K30" s="137" t="s">
        <v>114</v>
      </c>
      <c r="L30" s="129"/>
      <c r="M30" s="144" t="s">
        <v>114</v>
      </c>
      <c r="N30" s="108"/>
      <c r="O30" s="129"/>
      <c r="P30" s="90" t="s">
        <v>114</v>
      </c>
      <c r="Q30" s="130" t="s">
        <v>114</v>
      </c>
      <c r="R30" s="129"/>
      <c r="S30" s="50" t="s">
        <v>114</v>
      </c>
      <c r="T30" s="50" t="s">
        <v>114</v>
      </c>
      <c r="U30" s="50"/>
      <c r="V30" s="51" t="s">
        <v>114</v>
      </c>
      <c r="W30" s="51" t="str">
        <f t="shared" si="0"/>
        <v/>
      </c>
      <c r="X30" s="52"/>
      <c r="Y30" s="52"/>
      <c r="Z30" s="63"/>
    </row>
    <row r="31" spans="1:26" ht="12" customHeight="1" x14ac:dyDescent="0.3">
      <c r="A31" s="91" t="s">
        <v>114</v>
      </c>
      <c r="B31" s="88" t="s">
        <v>114</v>
      </c>
      <c r="C31" s="89" t="s">
        <v>114</v>
      </c>
      <c r="D31" s="88" t="s">
        <v>114</v>
      </c>
      <c r="E31" s="89" t="s">
        <v>114</v>
      </c>
      <c r="F31" s="79" t="s">
        <v>114</v>
      </c>
      <c r="G31" s="79" t="s">
        <v>114</v>
      </c>
      <c r="H31" s="88" t="s">
        <v>114</v>
      </c>
      <c r="I31" s="89" t="s">
        <v>114</v>
      </c>
      <c r="J31" s="88" t="s">
        <v>114</v>
      </c>
      <c r="K31" s="137" t="s">
        <v>114</v>
      </c>
      <c r="L31" s="129"/>
      <c r="M31" s="144" t="s">
        <v>114</v>
      </c>
      <c r="N31" s="108"/>
      <c r="O31" s="129"/>
      <c r="P31" s="90" t="s">
        <v>114</v>
      </c>
      <c r="Q31" s="130" t="s">
        <v>114</v>
      </c>
      <c r="R31" s="129"/>
      <c r="S31" s="50" t="s">
        <v>114</v>
      </c>
      <c r="T31" s="50" t="s">
        <v>114</v>
      </c>
      <c r="U31" s="50"/>
      <c r="V31" s="51" t="s">
        <v>114</v>
      </c>
      <c r="W31" s="51" t="str">
        <f t="shared" si="0"/>
        <v/>
      </c>
      <c r="X31" s="52"/>
      <c r="Y31" s="52"/>
      <c r="Z31" s="63"/>
    </row>
    <row r="32" spans="1:26" ht="12" customHeight="1" x14ac:dyDescent="0.3">
      <c r="A32" s="91" t="s">
        <v>114</v>
      </c>
      <c r="B32" s="88" t="s">
        <v>114</v>
      </c>
      <c r="C32" s="89" t="s">
        <v>114</v>
      </c>
      <c r="D32" s="88" t="s">
        <v>114</v>
      </c>
      <c r="E32" s="89" t="s">
        <v>114</v>
      </c>
      <c r="F32" s="79" t="s">
        <v>114</v>
      </c>
      <c r="G32" s="79" t="s">
        <v>114</v>
      </c>
      <c r="H32" s="88" t="s">
        <v>114</v>
      </c>
      <c r="I32" s="89" t="s">
        <v>114</v>
      </c>
      <c r="J32" s="88" t="s">
        <v>114</v>
      </c>
      <c r="K32" s="137" t="s">
        <v>114</v>
      </c>
      <c r="L32" s="129"/>
      <c r="M32" s="144" t="s">
        <v>114</v>
      </c>
      <c r="N32" s="108"/>
      <c r="O32" s="129"/>
      <c r="P32" s="90" t="s">
        <v>114</v>
      </c>
      <c r="Q32" s="130" t="s">
        <v>114</v>
      </c>
      <c r="R32" s="129"/>
      <c r="S32" s="50" t="s">
        <v>114</v>
      </c>
      <c r="T32" s="50" t="s">
        <v>114</v>
      </c>
      <c r="U32" s="50"/>
      <c r="V32" s="51" t="s">
        <v>114</v>
      </c>
      <c r="W32" s="51" t="str">
        <f t="shared" si="0"/>
        <v/>
      </c>
      <c r="X32" s="52"/>
      <c r="Y32" s="52"/>
      <c r="Z32" s="63"/>
    </row>
    <row r="33" spans="1:26" ht="12" customHeight="1" x14ac:dyDescent="0.3">
      <c r="A33" s="121" t="s">
        <v>93</v>
      </c>
      <c r="B33" s="142" t="s">
        <v>302</v>
      </c>
      <c r="C33" s="142" t="s">
        <v>303</v>
      </c>
      <c r="D33" s="142" t="s">
        <v>41</v>
      </c>
      <c r="E33" s="143" t="s">
        <v>304</v>
      </c>
      <c r="F33" s="138"/>
      <c r="G33" s="138"/>
      <c r="H33" s="138"/>
      <c r="I33" s="138"/>
      <c r="J33" s="125"/>
      <c r="K33" s="143" t="s">
        <v>134</v>
      </c>
      <c r="L33" s="138"/>
      <c r="M33" s="138"/>
      <c r="N33" s="138"/>
      <c r="O33" s="125"/>
      <c r="P33" s="142" t="s">
        <v>305</v>
      </c>
      <c r="Q33" s="143" t="s">
        <v>306</v>
      </c>
      <c r="R33" s="125"/>
      <c r="S33" s="50"/>
      <c r="T33" s="50"/>
      <c r="U33" s="50"/>
      <c r="V33" s="51"/>
      <c r="W33" s="51"/>
      <c r="X33" s="52"/>
      <c r="Y33" s="52"/>
      <c r="Z33" s="63"/>
    </row>
    <row r="34" spans="1:26" ht="8.25" customHeight="1" x14ac:dyDescent="0.3">
      <c r="A34" s="122"/>
      <c r="B34" s="122"/>
      <c r="C34" s="122"/>
      <c r="D34" s="122"/>
      <c r="E34" s="135"/>
      <c r="F34" s="126"/>
      <c r="G34" s="126"/>
      <c r="H34" s="126"/>
      <c r="I34" s="126"/>
      <c r="J34" s="127"/>
      <c r="K34" s="135"/>
      <c r="L34" s="126"/>
      <c r="M34" s="126"/>
      <c r="N34" s="126"/>
      <c r="O34" s="127"/>
      <c r="P34" s="122"/>
      <c r="Q34" s="134"/>
      <c r="R34" s="129"/>
      <c r="S34" s="50"/>
      <c r="T34" s="50"/>
      <c r="U34" s="50"/>
      <c r="V34" s="51"/>
      <c r="W34" s="51"/>
      <c r="X34" s="52"/>
      <c r="Y34" s="52"/>
      <c r="Z34" s="63"/>
    </row>
    <row r="35" spans="1:26" ht="10.5" customHeight="1" x14ac:dyDescent="0.3">
      <c r="A35" s="122"/>
      <c r="B35" s="122"/>
      <c r="C35" s="122"/>
      <c r="D35" s="122"/>
      <c r="E35" s="142" t="s">
        <v>307</v>
      </c>
      <c r="F35" s="142" t="s">
        <v>308</v>
      </c>
      <c r="G35" s="142" t="s">
        <v>309</v>
      </c>
      <c r="H35" s="142" t="s">
        <v>310</v>
      </c>
      <c r="I35" s="142" t="s">
        <v>311</v>
      </c>
      <c r="J35" s="142" t="s">
        <v>142</v>
      </c>
      <c r="K35" s="142" t="s">
        <v>312</v>
      </c>
      <c r="L35" s="143" t="s">
        <v>313</v>
      </c>
      <c r="M35" s="125"/>
      <c r="N35" s="145" t="s">
        <v>314</v>
      </c>
      <c r="O35" s="125"/>
      <c r="P35" s="122"/>
      <c r="Q35" s="134"/>
      <c r="R35" s="129"/>
      <c r="S35" s="50"/>
      <c r="T35" s="50"/>
      <c r="U35" s="50"/>
      <c r="V35" s="51"/>
      <c r="W35" s="51"/>
      <c r="X35" s="52"/>
      <c r="Y35" s="52"/>
      <c r="Z35" s="52"/>
    </row>
    <row r="36" spans="1:26" ht="21" customHeight="1" x14ac:dyDescent="0.3">
      <c r="A36" s="123"/>
      <c r="B36" s="123"/>
      <c r="C36" s="123"/>
      <c r="D36" s="123"/>
      <c r="E36" s="123"/>
      <c r="F36" s="123"/>
      <c r="G36" s="123"/>
      <c r="H36" s="123"/>
      <c r="I36" s="123"/>
      <c r="J36" s="123"/>
      <c r="K36" s="123"/>
      <c r="L36" s="135"/>
      <c r="M36" s="127"/>
      <c r="N36" s="135"/>
      <c r="O36" s="127"/>
      <c r="P36" s="123"/>
      <c r="Q36" s="135"/>
      <c r="R36" s="127"/>
      <c r="S36" s="50"/>
      <c r="T36" s="50"/>
      <c r="U36" s="50"/>
      <c r="V36" s="51"/>
      <c r="W36" s="51"/>
      <c r="X36" s="52"/>
      <c r="Y36" s="52"/>
      <c r="Z36" s="52"/>
    </row>
    <row r="37" spans="1:26" ht="12" customHeight="1" x14ac:dyDescent="0.3">
      <c r="A37" s="87" t="s">
        <v>77</v>
      </c>
      <c r="B37" s="88">
        <v>9.6</v>
      </c>
      <c r="C37" s="88">
        <v>0.8</v>
      </c>
      <c r="D37" s="77">
        <v>12</v>
      </c>
      <c r="E37" s="66" t="s">
        <v>114</v>
      </c>
      <c r="F37" s="77" t="s">
        <v>114</v>
      </c>
      <c r="G37" s="66" t="s">
        <v>114</v>
      </c>
      <c r="H37" s="88" t="s">
        <v>114</v>
      </c>
      <c r="I37" s="89" t="s">
        <v>114</v>
      </c>
      <c r="J37" s="88" t="s">
        <v>114</v>
      </c>
      <c r="K37" s="78" t="s">
        <v>114</v>
      </c>
      <c r="L37" s="143" t="s">
        <v>114</v>
      </c>
      <c r="M37" s="125"/>
      <c r="N37" s="141" t="s">
        <v>114</v>
      </c>
      <c r="O37" s="129"/>
      <c r="P37" s="79" t="s">
        <v>114</v>
      </c>
      <c r="Q37" s="141" t="s">
        <v>114</v>
      </c>
      <c r="R37" s="129"/>
      <c r="S37" s="50"/>
      <c r="T37" s="50"/>
      <c r="U37" s="50"/>
      <c r="V37" s="51" t="s">
        <v>114</v>
      </c>
      <c r="W37" s="51"/>
      <c r="X37" s="52"/>
      <c r="Y37" s="52"/>
      <c r="Z37" s="52"/>
    </row>
    <row r="38" spans="1:26" ht="12" customHeight="1" x14ac:dyDescent="0.3">
      <c r="A38" s="87" t="s">
        <v>81</v>
      </c>
      <c r="B38" s="88">
        <v>2.2999999999999998</v>
      </c>
      <c r="C38" s="88">
        <v>0.1</v>
      </c>
      <c r="D38" s="77">
        <v>23</v>
      </c>
      <c r="E38" s="66" t="s">
        <v>114</v>
      </c>
      <c r="F38" s="77" t="s">
        <v>114</v>
      </c>
      <c r="G38" s="66" t="s">
        <v>114</v>
      </c>
      <c r="H38" s="88" t="s">
        <v>114</v>
      </c>
      <c r="I38" s="89" t="s">
        <v>114</v>
      </c>
      <c r="J38" s="88" t="s">
        <v>114</v>
      </c>
      <c r="K38" s="78" t="s">
        <v>114</v>
      </c>
      <c r="L38" s="141" t="s">
        <v>114</v>
      </c>
      <c r="M38" s="129"/>
      <c r="N38" s="139" t="s">
        <v>114</v>
      </c>
      <c r="O38" s="129"/>
      <c r="P38" s="79" t="s">
        <v>114</v>
      </c>
      <c r="Q38" s="141" t="s">
        <v>114</v>
      </c>
      <c r="R38" s="129"/>
      <c r="S38" s="50"/>
      <c r="T38" s="50"/>
      <c r="U38" s="50"/>
      <c r="V38" s="51" t="s">
        <v>114</v>
      </c>
      <c r="W38" s="51"/>
      <c r="X38" s="52"/>
      <c r="Y38" s="52"/>
      <c r="Z38" s="52"/>
    </row>
    <row r="39" spans="1:26" ht="12" customHeight="1" x14ac:dyDescent="0.3">
      <c r="A39" s="91" t="s">
        <v>114</v>
      </c>
      <c r="B39" s="88" t="s">
        <v>114</v>
      </c>
      <c r="C39" s="88" t="s">
        <v>114</v>
      </c>
      <c r="D39" s="77" t="s">
        <v>114</v>
      </c>
      <c r="E39" s="66" t="s">
        <v>114</v>
      </c>
      <c r="F39" s="77" t="s">
        <v>114</v>
      </c>
      <c r="G39" s="66" t="s">
        <v>114</v>
      </c>
      <c r="H39" s="88" t="s">
        <v>114</v>
      </c>
      <c r="I39" s="89" t="s">
        <v>114</v>
      </c>
      <c r="J39" s="88" t="s">
        <v>114</v>
      </c>
      <c r="K39" s="78" t="s">
        <v>114</v>
      </c>
      <c r="L39" s="141" t="s">
        <v>114</v>
      </c>
      <c r="M39" s="129"/>
      <c r="N39" s="139" t="s">
        <v>114</v>
      </c>
      <c r="O39" s="129"/>
      <c r="P39" s="79" t="s">
        <v>114</v>
      </c>
      <c r="Q39" s="141" t="s">
        <v>114</v>
      </c>
      <c r="R39" s="129"/>
      <c r="S39" s="50"/>
      <c r="T39" s="50"/>
      <c r="U39" s="50"/>
      <c r="V39" s="51" t="s">
        <v>114</v>
      </c>
      <c r="W39" s="51"/>
      <c r="X39" s="52"/>
      <c r="Y39" s="52"/>
      <c r="Z39" s="52"/>
    </row>
    <row r="40" spans="1:26" ht="12" customHeight="1" x14ac:dyDescent="0.3">
      <c r="A40" s="91" t="s">
        <v>114</v>
      </c>
      <c r="B40" s="88" t="s">
        <v>114</v>
      </c>
      <c r="C40" s="88" t="s">
        <v>114</v>
      </c>
      <c r="D40" s="77" t="s">
        <v>114</v>
      </c>
      <c r="E40" s="66" t="s">
        <v>114</v>
      </c>
      <c r="F40" s="77" t="s">
        <v>114</v>
      </c>
      <c r="G40" s="66" t="s">
        <v>114</v>
      </c>
      <c r="H40" s="88" t="s">
        <v>114</v>
      </c>
      <c r="I40" s="89" t="s">
        <v>114</v>
      </c>
      <c r="J40" s="88" t="s">
        <v>114</v>
      </c>
      <c r="K40" s="78" t="s">
        <v>114</v>
      </c>
      <c r="L40" s="141" t="s">
        <v>114</v>
      </c>
      <c r="M40" s="129"/>
      <c r="N40" s="139" t="s">
        <v>114</v>
      </c>
      <c r="O40" s="129"/>
      <c r="P40" s="79" t="s">
        <v>114</v>
      </c>
      <c r="Q40" s="141" t="s">
        <v>114</v>
      </c>
      <c r="R40" s="129"/>
      <c r="S40" s="50"/>
      <c r="T40" s="50"/>
      <c r="U40" s="50"/>
      <c r="V40" s="51" t="s">
        <v>114</v>
      </c>
      <c r="W40" s="51"/>
      <c r="X40" s="52"/>
      <c r="Y40" s="52"/>
      <c r="Z40" s="52"/>
    </row>
    <row r="41" spans="1:26" ht="12" customHeight="1" x14ac:dyDescent="0.3">
      <c r="A41" s="91" t="s">
        <v>114</v>
      </c>
      <c r="B41" s="88" t="s">
        <v>114</v>
      </c>
      <c r="C41" s="88" t="s">
        <v>114</v>
      </c>
      <c r="D41" s="77" t="s">
        <v>114</v>
      </c>
      <c r="E41" s="66" t="s">
        <v>114</v>
      </c>
      <c r="F41" s="77" t="s">
        <v>114</v>
      </c>
      <c r="G41" s="66" t="s">
        <v>114</v>
      </c>
      <c r="H41" s="88" t="s">
        <v>114</v>
      </c>
      <c r="I41" s="89" t="s">
        <v>114</v>
      </c>
      <c r="J41" s="88" t="s">
        <v>114</v>
      </c>
      <c r="K41" s="78" t="s">
        <v>114</v>
      </c>
      <c r="L41" s="141" t="s">
        <v>114</v>
      </c>
      <c r="M41" s="129"/>
      <c r="N41" s="139" t="s">
        <v>114</v>
      </c>
      <c r="O41" s="129"/>
      <c r="P41" s="79" t="s">
        <v>114</v>
      </c>
      <c r="Q41" s="141" t="s">
        <v>114</v>
      </c>
      <c r="R41" s="129"/>
      <c r="S41" s="50"/>
      <c r="T41" s="50"/>
      <c r="U41" s="50"/>
      <c r="V41" s="51" t="s">
        <v>114</v>
      </c>
      <c r="W41" s="51"/>
      <c r="X41" s="52"/>
      <c r="Y41" s="52"/>
      <c r="Z41" s="52"/>
    </row>
    <row r="42" spans="1:26" ht="12" customHeight="1" x14ac:dyDescent="0.3">
      <c r="A42" s="91" t="s">
        <v>114</v>
      </c>
      <c r="B42" s="88" t="s">
        <v>114</v>
      </c>
      <c r="C42" s="88" t="s">
        <v>114</v>
      </c>
      <c r="D42" s="77" t="s">
        <v>114</v>
      </c>
      <c r="E42" s="66" t="s">
        <v>114</v>
      </c>
      <c r="F42" s="77" t="s">
        <v>114</v>
      </c>
      <c r="G42" s="66" t="s">
        <v>114</v>
      </c>
      <c r="H42" s="88" t="s">
        <v>114</v>
      </c>
      <c r="I42" s="89" t="s">
        <v>114</v>
      </c>
      <c r="J42" s="88" t="s">
        <v>114</v>
      </c>
      <c r="K42" s="78" t="s">
        <v>114</v>
      </c>
      <c r="L42" s="141" t="s">
        <v>114</v>
      </c>
      <c r="M42" s="129"/>
      <c r="N42" s="139" t="s">
        <v>114</v>
      </c>
      <c r="O42" s="129"/>
      <c r="P42" s="79" t="s">
        <v>114</v>
      </c>
      <c r="Q42" s="141" t="s">
        <v>114</v>
      </c>
      <c r="R42" s="129"/>
      <c r="S42" s="50"/>
      <c r="T42" s="50"/>
      <c r="U42" s="50"/>
      <c r="V42" s="51" t="s">
        <v>114</v>
      </c>
      <c r="W42" s="51"/>
      <c r="X42" s="52"/>
      <c r="Y42" s="52"/>
      <c r="Z42" s="52"/>
    </row>
    <row r="43" spans="1:26" ht="12" customHeight="1" x14ac:dyDescent="0.3">
      <c r="A43" s="91" t="s">
        <v>114</v>
      </c>
      <c r="B43" s="88" t="s">
        <v>114</v>
      </c>
      <c r="C43" s="88" t="s">
        <v>114</v>
      </c>
      <c r="D43" s="77" t="s">
        <v>114</v>
      </c>
      <c r="E43" s="66" t="s">
        <v>114</v>
      </c>
      <c r="F43" s="77" t="s">
        <v>114</v>
      </c>
      <c r="G43" s="66" t="s">
        <v>114</v>
      </c>
      <c r="H43" s="88" t="s">
        <v>114</v>
      </c>
      <c r="I43" s="89" t="s">
        <v>114</v>
      </c>
      <c r="J43" s="88" t="s">
        <v>114</v>
      </c>
      <c r="K43" s="78" t="s">
        <v>114</v>
      </c>
      <c r="L43" s="141" t="s">
        <v>114</v>
      </c>
      <c r="M43" s="129"/>
      <c r="N43" s="139" t="s">
        <v>114</v>
      </c>
      <c r="O43" s="129"/>
      <c r="P43" s="79" t="s">
        <v>114</v>
      </c>
      <c r="Q43" s="141" t="s">
        <v>114</v>
      </c>
      <c r="R43" s="129"/>
      <c r="S43" s="50"/>
      <c r="T43" s="50"/>
      <c r="U43" s="50"/>
      <c r="V43" s="51" t="s">
        <v>114</v>
      </c>
      <c r="W43" s="51"/>
      <c r="X43" s="52"/>
      <c r="Y43" s="52"/>
      <c r="Z43" s="52"/>
    </row>
    <row r="44" spans="1:26" ht="12" customHeight="1" x14ac:dyDescent="0.3">
      <c r="A44" s="91" t="s">
        <v>114</v>
      </c>
      <c r="B44" s="88" t="s">
        <v>114</v>
      </c>
      <c r="C44" s="88" t="s">
        <v>114</v>
      </c>
      <c r="D44" s="77" t="s">
        <v>114</v>
      </c>
      <c r="E44" s="66" t="s">
        <v>114</v>
      </c>
      <c r="F44" s="77" t="s">
        <v>114</v>
      </c>
      <c r="G44" s="66" t="s">
        <v>114</v>
      </c>
      <c r="H44" s="88" t="s">
        <v>114</v>
      </c>
      <c r="I44" s="89" t="s">
        <v>114</v>
      </c>
      <c r="J44" s="88" t="s">
        <v>114</v>
      </c>
      <c r="K44" s="78" t="s">
        <v>114</v>
      </c>
      <c r="L44" s="141" t="s">
        <v>114</v>
      </c>
      <c r="M44" s="129"/>
      <c r="N44" s="139" t="s">
        <v>114</v>
      </c>
      <c r="O44" s="129"/>
      <c r="P44" s="79" t="s">
        <v>114</v>
      </c>
      <c r="Q44" s="141" t="s">
        <v>114</v>
      </c>
      <c r="R44" s="129"/>
      <c r="S44" s="50"/>
      <c r="T44" s="50"/>
      <c r="U44" s="50"/>
      <c r="V44" s="51" t="s">
        <v>114</v>
      </c>
      <c r="W44" s="51"/>
      <c r="X44" s="52"/>
      <c r="Y44" s="52"/>
      <c r="Z44" s="52"/>
    </row>
    <row r="45" spans="1:26" ht="12" customHeight="1" x14ac:dyDescent="0.3">
      <c r="A45" s="91" t="s">
        <v>114</v>
      </c>
      <c r="B45" s="88" t="s">
        <v>114</v>
      </c>
      <c r="C45" s="88" t="s">
        <v>114</v>
      </c>
      <c r="D45" s="77" t="s">
        <v>114</v>
      </c>
      <c r="E45" s="66" t="s">
        <v>114</v>
      </c>
      <c r="F45" s="77" t="s">
        <v>114</v>
      </c>
      <c r="G45" s="66" t="s">
        <v>114</v>
      </c>
      <c r="H45" s="88" t="s">
        <v>114</v>
      </c>
      <c r="I45" s="89" t="s">
        <v>114</v>
      </c>
      <c r="J45" s="88" t="s">
        <v>114</v>
      </c>
      <c r="K45" s="78" t="s">
        <v>114</v>
      </c>
      <c r="L45" s="141" t="s">
        <v>114</v>
      </c>
      <c r="M45" s="129"/>
      <c r="N45" s="141" t="s">
        <v>114</v>
      </c>
      <c r="O45" s="129"/>
      <c r="P45" s="79" t="s">
        <v>114</v>
      </c>
      <c r="Q45" s="141" t="s">
        <v>114</v>
      </c>
      <c r="R45" s="129"/>
      <c r="S45" s="50"/>
      <c r="T45" s="50"/>
      <c r="U45" s="50"/>
      <c r="V45" s="51" t="s">
        <v>114</v>
      </c>
      <c r="W45" s="51"/>
      <c r="X45" s="52"/>
      <c r="Y45" s="52"/>
      <c r="Z45" s="52"/>
    </row>
    <row r="46" spans="1:26" ht="12" customHeight="1" x14ac:dyDescent="0.3">
      <c r="A46" s="121" t="s">
        <v>93</v>
      </c>
      <c r="B46" s="153" t="s">
        <v>315</v>
      </c>
      <c r="C46" s="146" t="s">
        <v>147</v>
      </c>
      <c r="D46" s="148"/>
      <c r="E46" s="143" t="s">
        <v>316</v>
      </c>
      <c r="F46" s="138"/>
      <c r="G46" s="138"/>
      <c r="H46" s="138"/>
      <c r="I46" s="138"/>
      <c r="J46" s="138"/>
      <c r="K46" s="138"/>
      <c r="L46" s="125"/>
      <c r="M46" s="143" t="s">
        <v>317</v>
      </c>
      <c r="N46" s="138"/>
      <c r="O46" s="138"/>
      <c r="P46" s="138"/>
      <c r="Q46" s="138"/>
      <c r="R46" s="125"/>
      <c r="S46" s="50"/>
      <c r="T46" s="50"/>
      <c r="U46" s="50"/>
      <c r="V46" s="51"/>
      <c r="W46" s="51"/>
      <c r="X46" s="52"/>
      <c r="Y46" s="52"/>
      <c r="Z46" s="52"/>
    </row>
    <row r="47" spans="1:26" ht="9" customHeight="1" x14ac:dyDescent="0.3">
      <c r="A47" s="122"/>
      <c r="B47" s="122"/>
      <c r="C47" s="142" t="s">
        <v>318</v>
      </c>
      <c r="D47" s="142" t="s">
        <v>319</v>
      </c>
      <c r="E47" s="135"/>
      <c r="F47" s="126"/>
      <c r="G47" s="126"/>
      <c r="H47" s="126"/>
      <c r="I47" s="126"/>
      <c r="J47" s="126"/>
      <c r="K47" s="126"/>
      <c r="L47" s="127"/>
      <c r="M47" s="135"/>
      <c r="N47" s="126"/>
      <c r="O47" s="126"/>
      <c r="P47" s="126"/>
      <c r="Q47" s="126"/>
      <c r="R47" s="127"/>
      <c r="S47" s="50"/>
      <c r="T47" s="50"/>
      <c r="U47" s="50"/>
      <c r="V47" s="51"/>
      <c r="W47" s="51"/>
      <c r="X47" s="52"/>
      <c r="Y47" s="52"/>
      <c r="Z47" s="52"/>
    </row>
    <row r="48" spans="1:26" ht="12" customHeight="1" x14ac:dyDescent="0.3">
      <c r="A48" s="122"/>
      <c r="B48" s="122"/>
      <c r="C48" s="122"/>
      <c r="D48" s="122"/>
      <c r="E48" s="142" t="s">
        <v>320</v>
      </c>
      <c r="F48" s="142" t="s">
        <v>321</v>
      </c>
      <c r="G48" s="142" t="s">
        <v>322</v>
      </c>
      <c r="H48" s="142" t="s">
        <v>323</v>
      </c>
      <c r="I48" s="142" t="s">
        <v>324</v>
      </c>
      <c r="J48" s="142" t="s">
        <v>325</v>
      </c>
      <c r="K48" s="143" t="s">
        <v>326</v>
      </c>
      <c r="L48" s="125"/>
      <c r="M48" s="146" t="s">
        <v>159</v>
      </c>
      <c r="N48" s="147"/>
      <c r="O48" s="147"/>
      <c r="P48" s="148"/>
      <c r="Q48" s="143" t="s">
        <v>160</v>
      </c>
      <c r="R48" s="125"/>
      <c r="S48" s="50"/>
      <c r="T48" s="50"/>
      <c r="U48" s="50"/>
      <c r="V48" s="51"/>
      <c r="W48" s="51"/>
      <c r="X48" s="52"/>
      <c r="Y48" s="52"/>
      <c r="Z48" s="52"/>
    </row>
    <row r="49" spans="1:26" ht="12" customHeight="1" x14ac:dyDescent="0.3">
      <c r="A49" s="122"/>
      <c r="B49" s="122"/>
      <c r="C49" s="122"/>
      <c r="D49" s="122"/>
      <c r="E49" s="122"/>
      <c r="F49" s="122"/>
      <c r="G49" s="122"/>
      <c r="H49" s="122"/>
      <c r="I49" s="122"/>
      <c r="J49" s="122"/>
      <c r="K49" s="134"/>
      <c r="L49" s="129"/>
      <c r="M49" s="143" t="s">
        <v>161</v>
      </c>
      <c r="N49" s="138"/>
      <c r="O49" s="125"/>
      <c r="P49" s="142" t="s">
        <v>162</v>
      </c>
      <c r="Q49" s="134"/>
      <c r="R49" s="129"/>
      <c r="S49" s="50"/>
      <c r="T49" s="50"/>
      <c r="U49" s="50"/>
      <c r="V49" s="51"/>
      <c r="W49" s="51"/>
      <c r="X49" s="52"/>
      <c r="Y49" s="52"/>
      <c r="Z49" s="52"/>
    </row>
    <row r="50" spans="1:26" ht="6" customHeight="1" x14ac:dyDescent="0.3">
      <c r="A50" s="123"/>
      <c r="B50" s="123"/>
      <c r="C50" s="123"/>
      <c r="D50" s="123"/>
      <c r="E50" s="123"/>
      <c r="F50" s="123"/>
      <c r="G50" s="123"/>
      <c r="H50" s="123"/>
      <c r="I50" s="123"/>
      <c r="J50" s="123"/>
      <c r="K50" s="135"/>
      <c r="L50" s="127"/>
      <c r="M50" s="135"/>
      <c r="N50" s="126"/>
      <c r="O50" s="127"/>
      <c r="P50" s="123"/>
      <c r="Q50" s="135"/>
      <c r="R50" s="127"/>
      <c r="S50" s="50"/>
      <c r="T50" s="50"/>
      <c r="U50" s="50"/>
      <c r="V50" s="51"/>
      <c r="W50" s="51"/>
      <c r="X50" s="52"/>
      <c r="Y50" s="52"/>
      <c r="Z50" s="52"/>
    </row>
    <row r="51" spans="1:26" ht="12" customHeight="1" x14ac:dyDescent="0.3">
      <c r="A51" s="87" t="s">
        <v>77</v>
      </c>
      <c r="B51" s="79" t="s">
        <v>163</v>
      </c>
      <c r="C51" s="78" t="s">
        <v>114</v>
      </c>
      <c r="D51" s="77" t="s">
        <v>114</v>
      </c>
      <c r="E51" s="78" t="s">
        <v>114</v>
      </c>
      <c r="F51" s="79" t="s">
        <v>114</v>
      </c>
      <c r="G51" s="78" t="s">
        <v>114</v>
      </c>
      <c r="H51" s="79" t="s">
        <v>114</v>
      </c>
      <c r="I51" s="78" t="s">
        <v>114</v>
      </c>
      <c r="J51" s="79" t="s">
        <v>114</v>
      </c>
      <c r="K51" s="141" t="s">
        <v>114</v>
      </c>
      <c r="L51" s="129"/>
      <c r="M51" s="143" t="s">
        <v>114</v>
      </c>
      <c r="N51" s="138"/>
      <c r="O51" s="125"/>
      <c r="P51" s="69" t="s">
        <v>114</v>
      </c>
      <c r="Q51" s="143" t="s">
        <v>114</v>
      </c>
      <c r="R51" s="125"/>
      <c r="S51" s="50"/>
      <c r="T51" s="50"/>
      <c r="U51" s="50"/>
      <c r="V51" s="51" t="s">
        <v>114</v>
      </c>
      <c r="W51" s="51" t="str">
        <f t="shared" ref="W51:W59" si="1">IF(C51="","",IF(C51&gt;=7,"sálico",IF(C51&gt;=4,"salino","")))</f>
        <v/>
      </c>
      <c r="X51" s="52"/>
      <c r="Y51" s="52"/>
      <c r="Z51" s="52"/>
    </row>
    <row r="52" spans="1:26" ht="12" customHeight="1" x14ac:dyDescent="0.3">
      <c r="A52" s="87" t="s">
        <v>81</v>
      </c>
      <c r="B52" s="79" t="s">
        <v>163</v>
      </c>
      <c r="C52" s="78" t="s">
        <v>114</v>
      </c>
      <c r="D52" s="77" t="s">
        <v>114</v>
      </c>
      <c r="E52" s="78" t="s">
        <v>114</v>
      </c>
      <c r="F52" s="79" t="s">
        <v>114</v>
      </c>
      <c r="G52" s="78" t="s">
        <v>114</v>
      </c>
      <c r="H52" s="79" t="s">
        <v>114</v>
      </c>
      <c r="I52" s="78" t="s">
        <v>114</v>
      </c>
      <c r="J52" s="79" t="s">
        <v>114</v>
      </c>
      <c r="K52" s="141" t="s">
        <v>114</v>
      </c>
      <c r="L52" s="108"/>
      <c r="M52" s="141" t="s">
        <v>114</v>
      </c>
      <c r="N52" s="108"/>
      <c r="O52" s="129"/>
      <c r="P52" s="78" t="s">
        <v>114</v>
      </c>
      <c r="Q52" s="141" t="s">
        <v>114</v>
      </c>
      <c r="R52" s="129"/>
      <c r="S52" s="50"/>
      <c r="T52" s="50"/>
      <c r="U52" s="50"/>
      <c r="V52" s="51" t="s">
        <v>114</v>
      </c>
      <c r="W52" s="51" t="str">
        <f t="shared" si="1"/>
        <v/>
      </c>
      <c r="X52" s="52"/>
      <c r="Y52" s="52"/>
      <c r="Z52" s="52"/>
    </row>
    <row r="53" spans="1:26" ht="12" customHeight="1" x14ac:dyDescent="0.3">
      <c r="A53" s="91" t="s">
        <v>114</v>
      </c>
      <c r="B53" s="79" t="s">
        <v>114</v>
      </c>
      <c r="C53" s="78" t="s">
        <v>114</v>
      </c>
      <c r="D53" s="77" t="s">
        <v>114</v>
      </c>
      <c r="E53" s="78" t="s">
        <v>114</v>
      </c>
      <c r="F53" s="79" t="s">
        <v>114</v>
      </c>
      <c r="G53" s="78" t="s">
        <v>114</v>
      </c>
      <c r="H53" s="79" t="s">
        <v>114</v>
      </c>
      <c r="I53" s="78" t="s">
        <v>114</v>
      </c>
      <c r="J53" s="79" t="s">
        <v>114</v>
      </c>
      <c r="K53" s="141" t="s">
        <v>114</v>
      </c>
      <c r="L53" s="108"/>
      <c r="M53" s="141" t="s">
        <v>114</v>
      </c>
      <c r="N53" s="108"/>
      <c r="O53" s="129"/>
      <c r="P53" s="78" t="s">
        <v>114</v>
      </c>
      <c r="Q53" s="141" t="s">
        <v>114</v>
      </c>
      <c r="R53" s="129"/>
      <c r="S53" s="50"/>
      <c r="T53" s="50"/>
      <c r="U53" s="50"/>
      <c r="V53" s="51" t="s">
        <v>114</v>
      </c>
      <c r="W53" s="51" t="str">
        <f t="shared" si="1"/>
        <v/>
      </c>
      <c r="X53" s="52"/>
      <c r="Y53" s="52"/>
      <c r="Z53" s="52"/>
    </row>
    <row r="54" spans="1:26" ht="12" customHeight="1" x14ac:dyDescent="0.3">
      <c r="A54" s="91" t="s">
        <v>114</v>
      </c>
      <c r="B54" s="79" t="s">
        <v>114</v>
      </c>
      <c r="C54" s="78" t="s">
        <v>114</v>
      </c>
      <c r="D54" s="77" t="s">
        <v>114</v>
      </c>
      <c r="E54" s="78" t="s">
        <v>114</v>
      </c>
      <c r="F54" s="79" t="s">
        <v>114</v>
      </c>
      <c r="G54" s="78" t="s">
        <v>114</v>
      </c>
      <c r="H54" s="79" t="s">
        <v>114</v>
      </c>
      <c r="I54" s="78" t="s">
        <v>114</v>
      </c>
      <c r="J54" s="79" t="s">
        <v>114</v>
      </c>
      <c r="K54" s="141" t="s">
        <v>114</v>
      </c>
      <c r="L54" s="108"/>
      <c r="M54" s="141" t="s">
        <v>114</v>
      </c>
      <c r="N54" s="108"/>
      <c r="O54" s="129"/>
      <c r="P54" s="78" t="s">
        <v>114</v>
      </c>
      <c r="Q54" s="141" t="s">
        <v>114</v>
      </c>
      <c r="R54" s="129"/>
      <c r="S54" s="50"/>
      <c r="T54" s="50"/>
      <c r="U54" s="50"/>
      <c r="V54" s="51" t="s">
        <v>114</v>
      </c>
      <c r="W54" s="51" t="str">
        <f t="shared" si="1"/>
        <v/>
      </c>
      <c r="X54" s="52"/>
      <c r="Y54" s="52"/>
      <c r="Z54" s="52"/>
    </row>
    <row r="55" spans="1:26" ht="12" customHeight="1" x14ac:dyDescent="0.3">
      <c r="A55" s="91" t="s">
        <v>114</v>
      </c>
      <c r="B55" s="79" t="s">
        <v>114</v>
      </c>
      <c r="C55" s="78" t="s">
        <v>114</v>
      </c>
      <c r="D55" s="77" t="s">
        <v>114</v>
      </c>
      <c r="E55" s="78" t="s">
        <v>114</v>
      </c>
      <c r="F55" s="79" t="s">
        <v>114</v>
      </c>
      <c r="G55" s="78" t="s">
        <v>114</v>
      </c>
      <c r="H55" s="79" t="s">
        <v>114</v>
      </c>
      <c r="I55" s="78" t="s">
        <v>114</v>
      </c>
      <c r="J55" s="79" t="s">
        <v>114</v>
      </c>
      <c r="K55" s="141" t="s">
        <v>114</v>
      </c>
      <c r="L55" s="108"/>
      <c r="M55" s="141" t="s">
        <v>114</v>
      </c>
      <c r="N55" s="108"/>
      <c r="O55" s="129"/>
      <c r="P55" s="78" t="s">
        <v>114</v>
      </c>
      <c r="Q55" s="141" t="s">
        <v>114</v>
      </c>
      <c r="R55" s="129"/>
      <c r="S55" s="50"/>
      <c r="T55" s="50"/>
      <c r="U55" s="50"/>
      <c r="V55" s="51" t="s">
        <v>114</v>
      </c>
      <c r="W55" s="51" t="str">
        <f t="shared" si="1"/>
        <v/>
      </c>
      <c r="X55" s="52"/>
      <c r="Y55" s="52"/>
      <c r="Z55" s="52"/>
    </row>
    <row r="56" spans="1:26" ht="12" customHeight="1" x14ac:dyDescent="0.3">
      <c r="A56" s="91" t="s">
        <v>114</v>
      </c>
      <c r="B56" s="79" t="s">
        <v>114</v>
      </c>
      <c r="C56" s="78" t="s">
        <v>114</v>
      </c>
      <c r="D56" s="77" t="s">
        <v>114</v>
      </c>
      <c r="E56" s="78" t="s">
        <v>114</v>
      </c>
      <c r="F56" s="79" t="s">
        <v>114</v>
      </c>
      <c r="G56" s="78" t="s">
        <v>114</v>
      </c>
      <c r="H56" s="79" t="s">
        <v>114</v>
      </c>
      <c r="I56" s="78" t="s">
        <v>114</v>
      </c>
      <c r="J56" s="79" t="s">
        <v>114</v>
      </c>
      <c r="K56" s="141" t="s">
        <v>114</v>
      </c>
      <c r="L56" s="108"/>
      <c r="M56" s="141" t="s">
        <v>114</v>
      </c>
      <c r="N56" s="108"/>
      <c r="O56" s="129"/>
      <c r="P56" s="78" t="s">
        <v>114</v>
      </c>
      <c r="Q56" s="141" t="s">
        <v>114</v>
      </c>
      <c r="R56" s="129"/>
      <c r="S56" s="50"/>
      <c r="T56" s="50"/>
      <c r="U56" s="50"/>
      <c r="V56" s="51" t="s">
        <v>114</v>
      </c>
      <c r="W56" s="51" t="str">
        <f t="shared" si="1"/>
        <v/>
      </c>
      <c r="X56" s="52"/>
      <c r="Y56" s="52"/>
      <c r="Z56" s="52"/>
    </row>
    <row r="57" spans="1:26" ht="12" customHeight="1" x14ac:dyDescent="0.3">
      <c r="A57" s="91" t="s">
        <v>114</v>
      </c>
      <c r="B57" s="79" t="s">
        <v>114</v>
      </c>
      <c r="C57" s="78" t="s">
        <v>114</v>
      </c>
      <c r="D57" s="77" t="s">
        <v>114</v>
      </c>
      <c r="E57" s="78" t="s">
        <v>114</v>
      </c>
      <c r="F57" s="79" t="s">
        <v>114</v>
      </c>
      <c r="G57" s="78" t="s">
        <v>114</v>
      </c>
      <c r="H57" s="79" t="s">
        <v>114</v>
      </c>
      <c r="I57" s="78" t="s">
        <v>114</v>
      </c>
      <c r="J57" s="79" t="s">
        <v>114</v>
      </c>
      <c r="K57" s="141" t="s">
        <v>114</v>
      </c>
      <c r="L57" s="108"/>
      <c r="M57" s="141" t="s">
        <v>114</v>
      </c>
      <c r="N57" s="108"/>
      <c r="O57" s="129"/>
      <c r="P57" s="78" t="s">
        <v>114</v>
      </c>
      <c r="Q57" s="141" t="s">
        <v>114</v>
      </c>
      <c r="R57" s="129"/>
      <c r="S57" s="50"/>
      <c r="T57" s="50"/>
      <c r="U57" s="50"/>
      <c r="V57" s="51" t="s">
        <v>114</v>
      </c>
      <c r="W57" s="51" t="str">
        <f t="shared" si="1"/>
        <v/>
      </c>
      <c r="X57" s="52"/>
      <c r="Y57" s="52"/>
      <c r="Z57" s="52"/>
    </row>
    <row r="58" spans="1:26" ht="12" customHeight="1" x14ac:dyDescent="0.3">
      <c r="A58" s="91" t="s">
        <v>114</v>
      </c>
      <c r="B58" s="79" t="s">
        <v>114</v>
      </c>
      <c r="C58" s="78" t="s">
        <v>114</v>
      </c>
      <c r="D58" s="77" t="s">
        <v>114</v>
      </c>
      <c r="E58" s="78" t="s">
        <v>114</v>
      </c>
      <c r="F58" s="79" t="s">
        <v>114</v>
      </c>
      <c r="G58" s="78" t="s">
        <v>114</v>
      </c>
      <c r="H58" s="79" t="s">
        <v>114</v>
      </c>
      <c r="I58" s="78" t="s">
        <v>114</v>
      </c>
      <c r="J58" s="79" t="s">
        <v>114</v>
      </c>
      <c r="K58" s="141" t="s">
        <v>114</v>
      </c>
      <c r="L58" s="108"/>
      <c r="M58" s="141" t="s">
        <v>114</v>
      </c>
      <c r="N58" s="108"/>
      <c r="O58" s="129"/>
      <c r="P58" s="78" t="s">
        <v>114</v>
      </c>
      <c r="Q58" s="141" t="s">
        <v>114</v>
      </c>
      <c r="R58" s="129"/>
      <c r="S58" s="50"/>
      <c r="T58" s="50"/>
      <c r="U58" s="50"/>
      <c r="V58" s="51" t="s">
        <v>114</v>
      </c>
      <c r="W58" s="51" t="str">
        <f t="shared" si="1"/>
        <v/>
      </c>
      <c r="X58" s="52"/>
      <c r="Y58" s="52"/>
      <c r="Z58" s="52"/>
    </row>
    <row r="59" spans="1:26" ht="12" customHeight="1" x14ac:dyDescent="0.3">
      <c r="A59" s="92" t="s">
        <v>114</v>
      </c>
      <c r="B59" s="84" t="s">
        <v>114</v>
      </c>
      <c r="C59" s="83" t="s">
        <v>114</v>
      </c>
      <c r="D59" s="93" t="s">
        <v>114</v>
      </c>
      <c r="E59" s="83" t="s">
        <v>114</v>
      </c>
      <c r="F59" s="84" t="s">
        <v>114</v>
      </c>
      <c r="G59" s="83" t="s">
        <v>114</v>
      </c>
      <c r="H59" s="84" t="s">
        <v>114</v>
      </c>
      <c r="I59" s="83" t="s">
        <v>114</v>
      </c>
      <c r="J59" s="84" t="s">
        <v>114</v>
      </c>
      <c r="K59" s="140" t="s">
        <v>114</v>
      </c>
      <c r="L59" s="127"/>
      <c r="M59" s="140" t="s">
        <v>114</v>
      </c>
      <c r="N59" s="126"/>
      <c r="O59" s="127"/>
      <c r="P59" s="85" t="s">
        <v>114</v>
      </c>
      <c r="Q59" s="140" t="s">
        <v>114</v>
      </c>
      <c r="R59" s="127"/>
      <c r="S59" s="50"/>
      <c r="T59" s="50"/>
      <c r="U59" s="50"/>
      <c r="V59" s="51" t="s">
        <v>114</v>
      </c>
      <c r="W59" s="51" t="str">
        <f t="shared" si="1"/>
        <v/>
      </c>
      <c r="X59" s="52"/>
      <c r="Y59" s="52"/>
      <c r="Z59" s="52"/>
    </row>
    <row r="60" spans="1:26" ht="12" customHeight="1" x14ac:dyDescent="0.3">
      <c r="A60" s="94" t="s">
        <v>164</v>
      </c>
      <c r="B60" s="95"/>
      <c r="C60" s="63"/>
      <c r="D60" s="63"/>
      <c r="E60" s="63"/>
      <c r="F60" s="63"/>
      <c r="G60" s="63"/>
      <c r="H60" s="63"/>
      <c r="I60" s="63"/>
      <c r="J60" s="63"/>
      <c r="K60" s="149"/>
      <c r="L60" s="108"/>
      <c r="M60" s="149"/>
      <c r="N60" s="108"/>
      <c r="O60" s="108"/>
      <c r="P60" s="63"/>
      <c r="Q60" s="149"/>
      <c r="R60" s="108"/>
      <c r="S60" s="50"/>
      <c r="T60" s="50"/>
      <c r="U60" s="50"/>
      <c r="V60" s="51"/>
      <c r="W60" s="51"/>
      <c r="X60" s="52"/>
      <c r="Y60" s="52"/>
      <c r="Z60" s="52"/>
    </row>
    <row r="61" spans="1:26" ht="12" customHeight="1" x14ac:dyDescent="0.3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150"/>
      <c r="L61" s="108"/>
      <c r="M61" s="150"/>
      <c r="N61" s="108"/>
      <c r="O61" s="108"/>
      <c r="P61" s="52"/>
      <c r="Q61" s="150"/>
      <c r="R61" s="108"/>
      <c r="S61" s="50"/>
      <c r="T61" s="50"/>
      <c r="U61" s="50"/>
      <c r="V61" s="51"/>
      <c r="W61" s="51"/>
      <c r="X61" s="52"/>
      <c r="Y61" s="52"/>
      <c r="Z61" s="52"/>
    </row>
    <row r="62" spans="1:26" ht="12" customHeight="1" x14ac:dyDescent="0.3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150"/>
      <c r="L62" s="108"/>
      <c r="M62" s="150"/>
      <c r="N62" s="108"/>
      <c r="O62" s="108"/>
      <c r="P62" s="52"/>
      <c r="Q62" s="150"/>
      <c r="R62" s="108"/>
      <c r="S62" s="50"/>
      <c r="T62" s="50"/>
      <c r="U62" s="50"/>
      <c r="V62" s="51"/>
      <c r="W62" s="51"/>
      <c r="X62" s="52"/>
      <c r="Y62" s="52"/>
      <c r="Z62" s="52"/>
    </row>
    <row r="63" spans="1:26" ht="12" customHeight="1" x14ac:dyDescent="0.3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150"/>
      <c r="L63" s="108"/>
      <c r="M63" s="150"/>
      <c r="N63" s="108"/>
      <c r="O63" s="108"/>
      <c r="P63" s="52"/>
      <c r="Q63" s="150"/>
      <c r="R63" s="108"/>
      <c r="S63" s="50"/>
      <c r="T63" s="50"/>
      <c r="U63" s="50"/>
      <c r="V63" s="51"/>
      <c r="W63" s="51"/>
      <c r="X63" s="52"/>
      <c r="Y63" s="52"/>
      <c r="Z63" s="52"/>
    </row>
    <row r="64" spans="1:26" ht="12" customHeight="1" x14ac:dyDescent="0.3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0"/>
      <c r="T64" s="50"/>
      <c r="U64" s="50"/>
      <c r="V64" s="51"/>
      <c r="W64" s="51"/>
      <c r="X64" s="52"/>
      <c r="Y64" s="52"/>
      <c r="Z64" s="52"/>
    </row>
    <row r="65" spans="1:26" ht="12" customHeight="1" x14ac:dyDescent="0.3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0"/>
      <c r="T65" s="50"/>
      <c r="U65" s="50"/>
      <c r="V65" s="51"/>
      <c r="W65" s="51"/>
      <c r="X65" s="52"/>
      <c r="Y65" s="52"/>
      <c r="Z65" s="52"/>
    </row>
    <row r="66" spans="1:26" ht="12" customHeight="1" x14ac:dyDescent="0.3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0"/>
      <c r="T66" s="50"/>
      <c r="U66" s="50"/>
      <c r="V66" s="51"/>
      <c r="W66" s="51"/>
      <c r="X66" s="52"/>
      <c r="Y66" s="52"/>
      <c r="Z66" s="52"/>
    </row>
    <row r="67" spans="1:26" ht="12" customHeight="1" x14ac:dyDescent="0.3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0"/>
      <c r="T67" s="50"/>
      <c r="U67" s="50"/>
      <c r="V67" s="51"/>
      <c r="W67" s="51"/>
      <c r="X67" s="52"/>
      <c r="Y67" s="52"/>
      <c r="Z67" s="52"/>
    </row>
    <row r="68" spans="1:26" ht="12" customHeight="1" x14ac:dyDescent="0.3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0"/>
      <c r="T68" s="50"/>
      <c r="U68" s="50"/>
      <c r="V68" s="51"/>
      <c r="W68" s="51"/>
      <c r="X68" s="52"/>
      <c r="Y68" s="52"/>
      <c r="Z68" s="52"/>
    </row>
    <row r="69" spans="1:26" ht="12" customHeight="1" x14ac:dyDescent="0.3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0"/>
      <c r="T69" s="50"/>
      <c r="U69" s="50"/>
      <c r="V69" s="51"/>
      <c r="W69" s="51"/>
      <c r="X69" s="52"/>
      <c r="Y69" s="52"/>
      <c r="Z69" s="52"/>
    </row>
    <row r="70" spans="1:26" ht="12" customHeight="1" x14ac:dyDescent="0.3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0"/>
      <c r="T70" s="50"/>
      <c r="U70" s="50"/>
      <c r="V70" s="51"/>
      <c r="W70" s="51"/>
      <c r="X70" s="52"/>
      <c r="Y70" s="52"/>
      <c r="Z70" s="52"/>
    </row>
    <row r="71" spans="1:26" ht="12" customHeight="1" x14ac:dyDescent="0.3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0"/>
      <c r="T71" s="50"/>
      <c r="U71" s="50"/>
      <c r="V71" s="51"/>
      <c r="W71" s="51"/>
      <c r="X71" s="52"/>
      <c r="Y71" s="52"/>
      <c r="Z71" s="52"/>
    </row>
    <row r="72" spans="1:26" ht="12" customHeight="1" x14ac:dyDescent="0.3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0"/>
      <c r="T72" s="50"/>
      <c r="U72" s="50"/>
      <c r="V72" s="51"/>
      <c r="W72" s="51"/>
      <c r="X72" s="52"/>
      <c r="Y72" s="52"/>
      <c r="Z72" s="52"/>
    </row>
    <row r="73" spans="1:26" ht="12" customHeight="1" x14ac:dyDescent="0.3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0"/>
      <c r="T73" s="50"/>
      <c r="U73" s="50"/>
      <c r="V73" s="51"/>
      <c r="W73" s="51"/>
      <c r="X73" s="52"/>
      <c r="Y73" s="52"/>
      <c r="Z73" s="52"/>
    </row>
    <row r="74" spans="1:26" ht="12" customHeight="1" x14ac:dyDescent="0.3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0"/>
      <c r="T74" s="50"/>
      <c r="U74" s="50"/>
      <c r="V74" s="51"/>
      <c r="W74" s="51"/>
      <c r="X74" s="52"/>
      <c r="Y74" s="52"/>
      <c r="Z74" s="52"/>
    </row>
    <row r="75" spans="1:26" ht="12" customHeight="1" x14ac:dyDescent="0.3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0"/>
      <c r="T75" s="50"/>
      <c r="U75" s="50"/>
      <c r="V75" s="51"/>
      <c r="W75" s="51"/>
      <c r="X75" s="52"/>
      <c r="Y75" s="52"/>
      <c r="Z75" s="52"/>
    </row>
    <row r="76" spans="1:26" ht="12" customHeight="1" x14ac:dyDescent="0.3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0"/>
      <c r="T76" s="50"/>
      <c r="U76" s="50"/>
      <c r="V76" s="51"/>
      <c r="W76" s="51"/>
      <c r="X76" s="52"/>
      <c r="Y76" s="52"/>
      <c r="Z76" s="52"/>
    </row>
    <row r="77" spans="1:26" ht="12" customHeight="1" x14ac:dyDescent="0.3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0"/>
      <c r="T77" s="50"/>
      <c r="U77" s="50"/>
      <c r="V77" s="51"/>
      <c r="W77" s="51"/>
      <c r="X77" s="52"/>
      <c r="Y77" s="52"/>
      <c r="Z77" s="52"/>
    </row>
    <row r="78" spans="1:26" ht="12" customHeight="1" x14ac:dyDescent="0.3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0"/>
      <c r="T78" s="50"/>
      <c r="U78" s="50"/>
      <c r="V78" s="51"/>
      <c r="W78" s="51"/>
      <c r="X78" s="52"/>
      <c r="Y78" s="52"/>
      <c r="Z78" s="52"/>
    </row>
    <row r="79" spans="1:26" ht="12" customHeight="1" x14ac:dyDescent="0.3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0"/>
      <c r="T79" s="50"/>
      <c r="U79" s="50"/>
      <c r="V79" s="51"/>
      <c r="W79" s="51"/>
      <c r="X79" s="52"/>
      <c r="Y79" s="52"/>
      <c r="Z79" s="52"/>
    </row>
    <row r="80" spans="1:26" ht="12" customHeight="1" x14ac:dyDescent="0.3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0"/>
      <c r="T80" s="50"/>
      <c r="U80" s="50"/>
      <c r="V80" s="51"/>
      <c r="W80" s="51"/>
      <c r="X80" s="52"/>
      <c r="Y80" s="52"/>
      <c r="Z80" s="52"/>
    </row>
    <row r="81" spans="1:26" ht="12" customHeight="1" x14ac:dyDescent="0.3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0"/>
      <c r="T81" s="50"/>
      <c r="U81" s="50"/>
      <c r="V81" s="51"/>
      <c r="W81" s="51"/>
      <c r="X81" s="52"/>
      <c r="Y81" s="52"/>
      <c r="Z81" s="52"/>
    </row>
    <row r="82" spans="1:26" ht="12" customHeight="1" x14ac:dyDescent="0.3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0"/>
      <c r="T82" s="50"/>
      <c r="U82" s="50"/>
      <c r="V82" s="51"/>
      <c r="W82" s="51"/>
      <c r="X82" s="52"/>
      <c r="Y82" s="52"/>
      <c r="Z82" s="52"/>
    </row>
    <row r="83" spans="1:26" ht="12" customHeight="1" x14ac:dyDescent="0.3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0"/>
      <c r="T83" s="50"/>
      <c r="U83" s="50"/>
      <c r="V83" s="51"/>
      <c r="W83" s="51"/>
      <c r="X83" s="52"/>
      <c r="Y83" s="52"/>
      <c r="Z83" s="52"/>
    </row>
    <row r="84" spans="1:26" ht="12" customHeight="1" x14ac:dyDescent="0.3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0"/>
      <c r="T84" s="50"/>
      <c r="U84" s="50"/>
      <c r="V84" s="51"/>
      <c r="W84" s="51"/>
      <c r="X84" s="52"/>
      <c r="Y84" s="52"/>
      <c r="Z84" s="52"/>
    </row>
    <row r="85" spans="1:26" ht="12" customHeight="1" x14ac:dyDescent="0.3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0"/>
      <c r="T85" s="50"/>
      <c r="U85" s="50"/>
      <c r="V85" s="51"/>
      <c r="W85" s="51"/>
      <c r="X85" s="52"/>
      <c r="Y85" s="52"/>
      <c r="Z85" s="52"/>
    </row>
    <row r="86" spans="1:26" ht="12" customHeight="1" x14ac:dyDescent="0.3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0"/>
      <c r="T86" s="50"/>
      <c r="U86" s="50"/>
      <c r="V86" s="51"/>
      <c r="W86" s="51"/>
      <c r="X86" s="52"/>
      <c r="Y86" s="52"/>
      <c r="Z86" s="52"/>
    </row>
    <row r="87" spans="1:26" ht="12" customHeight="1" x14ac:dyDescent="0.3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0"/>
      <c r="T87" s="50"/>
      <c r="U87" s="50"/>
      <c r="V87" s="51"/>
      <c r="W87" s="51"/>
      <c r="X87" s="52"/>
      <c r="Y87" s="52"/>
      <c r="Z87" s="52"/>
    </row>
    <row r="88" spans="1:26" ht="12" customHeight="1" x14ac:dyDescent="0.3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0"/>
      <c r="T88" s="50"/>
      <c r="U88" s="50"/>
      <c r="V88" s="51"/>
      <c r="W88" s="51"/>
      <c r="X88" s="52"/>
      <c r="Y88" s="52"/>
      <c r="Z88" s="52"/>
    </row>
    <row r="89" spans="1:26" ht="12" customHeight="1" x14ac:dyDescent="0.3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0"/>
      <c r="T89" s="50"/>
      <c r="U89" s="50"/>
      <c r="V89" s="51"/>
      <c r="W89" s="51"/>
      <c r="X89" s="52"/>
      <c r="Y89" s="52"/>
      <c r="Z89" s="52"/>
    </row>
    <row r="90" spans="1:26" ht="12" customHeight="1" x14ac:dyDescent="0.3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0"/>
      <c r="T90" s="50"/>
      <c r="U90" s="50"/>
      <c r="V90" s="51"/>
      <c r="W90" s="51"/>
      <c r="X90" s="52"/>
      <c r="Y90" s="52"/>
      <c r="Z90" s="52"/>
    </row>
    <row r="91" spans="1:26" ht="12" customHeight="1" x14ac:dyDescent="0.3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0"/>
      <c r="T91" s="50"/>
      <c r="U91" s="50"/>
      <c r="V91" s="51"/>
      <c r="W91" s="51"/>
      <c r="X91" s="52"/>
      <c r="Y91" s="52"/>
      <c r="Z91" s="52"/>
    </row>
    <row r="92" spans="1:26" ht="12" customHeight="1" x14ac:dyDescent="0.3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0"/>
      <c r="T92" s="50"/>
      <c r="U92" s="50"/>
      <c r="V92" s="51"/>
      <c r="W92" s="51"/>
      <c r="X92" s="52"/>
      <c r="Y92" s="52"/>
      <c r="Z92" s="52"/>
    </row>
    <row r="93" spans="1:26" ht="12" customHeight="1" x14ac:dyDescent="0.3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0"/>
      <c r="T93" s="50"/>
      <c r="U93" s="50"/>
      <c r="V93" s="51"/>
      <c r="W93" s="51"/>
      <c r="X93" s="52"/>
      <c r="Y93" s="52"/>
      <c r="Z93" s="52"/>
    </row>
    <row r="94" spans="1:26" ht="12" customHeight="1" x14ac:dyDescent="0.3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0"/>
      <c r="T94" s="50"/>
      <c r="U94" s="50"/>
      <c r="V94" s="51"/>
      <c r="W94" s="51"/>
      <c r="X94" s="52"/>
      <c r="Y94" s="52"/>
      <c r="Z94" s="52"/>
    </row>
    <row r="95" spans="1:26" ht="12" customHeight="1" x14ac:dyDescent="0.3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0"/>
      <c r="T95" s="50"/>
      <c r="U95" s="50"/>
      <c r="V95" s="51"/>
      <c r="W95" s="51"/>
      <c r="X95" s="52"/>
      <c r="Y95" s="52"/>
      <c r="Z95" s="52"/>
    </row>
    <row r="96" spans="1:26" ht="12" customHeight="1" x14ac:dyDescent="0.3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0"/>
      <c r="T96" s="50"/>
      <c r="U96" s="50"/>
      <c r="V96" s="51"/>
      <c r="W96" s="51"/>
      <c r="X96" s="52"/>
      <c r="Y96" s="52"/>
      <c r="Z96" s="52"/>
    </row>
    <row r="97" spans="1:26" ht="12" customHeight="1" x14ac:dyDescent="0.3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0"/>
      <c r="T97" s="50"/>
      <c r="U97" s="50"/>
      <c r="V97" s="51"/>
      <c r="W97" s="51"/>
      <c r="X97" s="52"/>
      <c r="Y97" s="52"/>
      <c r="Z97" s="52"/>
    </row>
    <row r="98" spans="1:26" ht="12" customHeight="1" x14ac:dyDescent="0.3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0"/>
      <c r="T98" s="50"/>
      <c r="U98" s="50"/>
      <c r="V98" s="51"/>
      <c r="W98" s="51"/>
      <c r="X98" s="52"/>
      <c r="Y98" s="52"/>
      <c r="Z98" s="52"/>
    </row>
    <row r="99" spans="1:26" ht="12" customHeight="1" x14ac:dyDescent="0.3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0"/>
      <c r="T99" s="50"/>
      <c r="U99" s="50"/>
      <c r="V99" s="51"/>
      <c r="W99" s="51"/>
      <c r="X99" s="52"/>
      <c r="Y99" s="52"/>
      <c r="Z99" s="52"/>
    </row>
    <row r="100" spans="1:26" ht="12" customHeight="1" x14ac:dyDescent="0.3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0"/>
      <c r="T100" s="50"/>
      <c r="U100" s="50"/>
      <c r="V100" s="51"/>
      <c r="W100" s="51"/>
      <c r="X100" s="52"/>
      <c r="Y100" s="52"/>
      <c r="Z100" s="52"/>
    </row>
    <row r="101" spans="1:26" ht="12" customHeight="1" x14ac:dyDescent="0.3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0"/>
      <c r="T101" s="50"/>
      <c r="U101" s="50"/>
      <c r="V101" s="51"/>
      <c r="W101" s="51"/>
      <c r="X101" s="52"/>
      <c r="Y101" s="52"/>
      <c r="Z101" s="52"/>
    </row>
    <row r="102" spans="1:26" ht="12" customHeight="1" x14ac:dyDescent="0.3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0"/>
      <c r="T102" s="50"/>
      <c r="U102" s="50"/>
      <c r="V102" s="51"/>
      <c r="W102" s="51"/>
      <c r="X102" s="52"/>
      <c r="Y102" s="52"/>
      <c r="Z102" s="52"/>
    </row>
    <row r="103" spans="1:26" ht="12" customHeight="1" x14ac:dyDescent="0.3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0"/>
      <c r="T103" s="50"/>
      <c r="U103" s="50"/>
      <c r="V103" s="51"/>
      <c r="W103" s="51"/>
      <c r="X103" s="52"/>
      <c r="Y103" s="52"/>
      <c r="Z103" s="52"/>
    </row>
    <row r="104" spans="1:26" ht="12" customHeight="1" x14ac:dyDescent="0.3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0"/>
      <c r="T104" s="50"/>
      <c r="U104" s="50"/>
      <c r="V104" s="51"/>
      <c r="W104" s="51"/>
      <c r="X104" s="52"/>
      <c r="Y104" s="52"/>
      <c r="Z104" s="52"/>
    </row>
    <row r="105" spans="1:26" ht="12" customHeight="1" x14ac:dyDescent="0.3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0"/>
      <c r="T105" s="50"/>
      <c r="U105" s="50"/>
      <c r="V105" s="51"/>
      <c r="W105" s="51"/>
      <c r="X105" s="52"/>
      <c r="Y105" s="52"/>
      <c r="Z105" s="52"/>
    </row>
    <row r="106" spans="1:26" ht="12" customHeight="1" x14ac:dyDescent="0.3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0"/>
      <c r="T106" s="50"/>
      <c r="U106" s="50"/>
      <c r="V106" s="51"/>
      <c r="W106" s="51"/>
      <c r="X106" s="52"/>
      <c r="Y106" s="52"/>
      <c r="Z106" s="52"/>
    </row>
    <row r="107" spans="1:26" ht="12" customHeight="1" x14ac:dyDescent="0.3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0"/>
      <c r="T107" s="50"/>
      <c r="U107" s="50"/>
      <c r="V107" s="51"/>
      <c r="W107" s="51"/>
      <c r="X107" s="52"/>
      <c r="Y107" s="52"/>
      <c r="Z107" s="52"/>
    </row>
    <row r="108" spans="1:26" ht="12" customHeight="1" x14ac:dyDescent="0.3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0"/>
      <c r="T108" s="50"/>
      <c r="U108" s="50"/>
      <c r="V108" s="51"/>
      <c r="W108" s="51"/>
      <c r="X108" s="52"/>
      <c r="Y108" s="52"/>
      <c r="Z108" s="52"/>
    </row>
    <row r="109" spans="1:26" ht="12" customHeight="1" x14ac:dyDescent="0.3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0"/>
      <c r="T109" s="50"/>
      <c r="U109" s="50"/>
      <c r="V109" s="51"/>
      <c r="W109" s="51"/>
      <c r="X109" s="52"/>
      <c r="Y109" s="52"/>
      <c r="Z109" s="52"/>
    </row>
    <row r="110" spans="1:26" ht="12" customHeight="1" x14ac:dyDescent="0.3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0"/>
      <c r="T110" s="50"/>
      <c r="U110" s="50"/>
      <c r="V110" s="51"/>
      <c r="W110" s="51"/>
      <c r="X110" s="52"/>
      <c r="Y110" s="52"/>
      <c r="Z110" s="52"/>
    </row>
    <row r="111" spans="1:26" ht="12" customHeight="1" x14ac:dyDescent="0.3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0"/>
      <c r="T111" s="50"/>
      <c r="U111" s="50"/>
      <c r="V111" s="51"/>
      <c r="W111" s="51"/>
      <c r="X111" s="52"/>
      <c r="Y111" s="52"/>
      <c r="Z111" s="52"/>
    </row>
    <row r="112" spans="1:26" ht="12" customHeight="1" x14ac:dyDescent="0.3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0"/>
      <c r="T112" s="50"/>
      <c r="U112" s="50"/>
      <c r="V112" s="51"/>
      <c r="W112" s="51"/>
      <c r="X112" s="52"/>
      <c r="Y112" s="52"/>
      <c r="Z112" s="52"/>
    </row>
    <row r="113" spans="1:26" ht="12" customHeight="1" x14ac:dyDescent="0.3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0"/>
      <c r="T113" s="50"/>
      <c r="U113" s="50"/>
      <c r="V113" s="51"/>
      <c r="W113" s="51"/>
      <c r="X113" s="52"/>
      <c r="Y113" s="52"/>
      <c r="Z113" s="52"/>
    </row>
    <row r="114" spans="1:26" ht="12" customHeight="1" x14ac:dyDescent="0.3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0"/>
      <c r="T114" s="50"/>
      <c r="U114" s="50"/>
      <c r="V114" s="51"/>
      <c r="W114" s="51"/>
      <c r="X114" s="52"/>
      <c r="Y114" s="52"/>
      <c r="Z114" s="52"/>
    </row>
    <row r="115" spans="1:26" ht="12" customHeight="1" x14ac:dyDescent="0.3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0"/>
      <c r="T115" s="50"/>
      <c r="U115" s="50"/>
      <c r="V115" s="51"/>
      <c r="W115" s="51"/>
      <c r="X115" s="52"/>
      <c r="Y115" s="52"/>
      <c r="Z115" s="52"/>
    </row>
    <row r="116" spans="1:26" ht="12" customHeight="1" x14ac:dyDescent="0.3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0"/>
      <c r="T116" s="50"/>
      <c r="U116" s="50"/>
      <c r="V116" s="51"/>
      <c r="W116" s="51"/>
      <c r="X116" s="52"/>
      <c r="Y116" s="52"/>
      <c r="Z116" s="52"/>
    </row>
    <row r="117" spans="1:26" ht="12" customHeight="1" x14ac:dyDescent="0.3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0"/>
      <c r="T117" s="50"/>
      <c r="U117" s="50"/>
      <c r="V117" s="51"/>
      <c r="W117" s="51"/>
      <c r="X117" s="52"/>
      <c r="Y117" s="52"/>
      <c r="Z117" s="52"/>
    </row>
    <row r="118" spans="1:26" ht="12" customHeight="1" x14ac:dyDescent="0.3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0"/>
      <c r="T118" s="50"/>
      <c r="U118" s="50"/>
      <c r="V118" s="51"/>
      <c r="W118" s="51"/>
      <c r="X118" s="52"/>
      <c r="Y118" s="52"/>
      <c r="Z118" s="52"/>
    </row>
    <row r="119" spans="1:26" ht="12" customHeight="1" x14ac:dyDescent="0.3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0"/>
      <c r="T119" s="50"/>
      <c r="U119" s="50"/>
      <c r="V119" s="51"/>
      <c r="W119" s="51"/>
      <c r="X119" s="52"/>
      <c r="Y119" s="52"/>
      <c r="Z119" s="52"/>
    </row>
    <row r="120" spans="1:26" ht="12" customHeight="1" x14ac:dyDescent="0.3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0"/>
      <c r="T120" s="50"/>
      <c r="U120" s="50"/>
      <c r="V120" s="51"/>
      <c r="W120" s="51"/>
      <c r="X120" s="52"/>
      <c r="Y120" s="52"/>
      <c r="Z120" s="52"/>
    </row>
    <row r="121" spans="1:26" ht="12" customHeight="1" x14ac:dyDescent="0.3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0"/>
      <c r="T121" s="50"/>
      <c r="U121" s="50"/>
      <c r="V121" s="51"/>
      <c r="W121" s="51"/>
      <c r="X121" s="52"/>
      <c r="Y121" s="52"/>
      <c r="Z121" s="52"/>
    </row>
    <row r="122" spans="1:26" ht="12" customHeight="1" x14ac:dyDescent="0.3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0"/>
      <c r="T122" s="50"/>
      <c r="U122" s="50"/>
      <c r="V122" s="51"/>
      <c r="W122" s="51"/>
      <c r="X122" s="52"/>
      <c r="Y122" s="52"/>
      <c r="Z122" s="52"/>
    </row>
    <row r="123" spans="1:26" ht="12" customHeight="1" x14ac:dyDescent="0.3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0"/>
      <c r="T123" s="50"/>
      <c r="U123" s="50"/>
      <c r="V123" s="51"/>
      <c r="W123" s="51"/>
      <c r="X123" s="52"/>
      <c r="Y123" s="52"/>
      <c r="Z123" s="52"/>
    </row>
    <row r="124" spans="1:26" ht="12" customHeight="1" x14ac:dyDescent="0.3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0"/>
      <c r="T124" s="50"/>
      <c r="U124" s="50"/>
      <c r="V124" s="51"/>
      <c r="W124" s="51"/>
      <c r="X124" s="52"/>
      <c r="Y124" s="52"/>
      <c r="Z124" s="52"/>
    </row>
    <row r="125" spans="1:26" ht="12" customHeight="1" x14ac:dyDescent="0.3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0"/>
      <c r="T125" s="50"/>
      <c r="U125" s="50"/>
      <c r="V125" s="51"/>
      <c r="W125" s="51"/>
      <c r="X125" s="52"/>
      <c r="Y125" s="52"/>
      <c r="Z125" s="52"/>
    </row>
    <row r="126" spans="1:26" ht="12" customHeight="1" x14ac:dyDescent="0.3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0"/>
      <c r="T126" s="50"/>
      <c r="U126" s="50"/>
      <c r="V126" s="51"/>
      <c r="W126" s="51"/>
      <c r="X126" s="52"/>
      <c r="Y126" s="52"/>
      <c r="Z126" s="52"/>
    </row>
    <row r="127" spans="1:26" ht="12" customHeight="1" x14ac:dyDescent="0.3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0"/>
      <c r="T127" s="50"/>
      <c r="U127" s="50"/>
      <c r="V127" s="51"/>
      <c r="W127" s="51"/>
      <c r="X127" s="52"/>
      <c r="Y127" s="52"/>
      <c r="Z127" s="52"/>
    </row>
    <row r="128" spans="1:26" ht="12" customHeight="1" x14ac:dyDescent="0.3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0"/>
      <c r="T128" s="50"/>
      <c r="U128" s="50"/>
      <c r="V128" s="51"/>
      <c r="W128" s="51"/>
      <c r="X128" s="52"/>
      <c r="Y128" s="52"/>
      <c r="Z128" s="52"/>
    </row>
    <row r="129" spans="1:26" ht="12" customHeight="1" x14ac:dyDescent="0.3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0"/>
      <c r="T129" s="50"/>
      <c r="U129" s="50"/>
      <c r="V129" s="51"/>
      <c r="W129" s="51"/>
      <c r="X129" s="52"/>
      <c r="Y129" s="52"/>
      <c r="Z129" s="52"/>
    </row>
    <row r="130" spans="1:26" ht="12" customHeight="1" x14ac:dyDescent="0.3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0"/>
      <c r="T130" s="50"/>
      <c r="U130" s="50"/>
      <c r="V130" s="51"/>
      <c r="W130" s="51"/>
      <c r="X130" s="52"/>
      <c r="Y130" s="52"/>
      <c r="Z130" s="52"/>
    </row>
    <row r="131" spans="1:26" ht="12" customHeight="1" x14ac:dyDescent="0.3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0"/>
      <c r="T131" s="50"/>
      <c r="U131" s="50"/>
      <c r="V131" s="51"/>
      <c r="W131" s="51"/>
      <c r="X131" s="52"/>
      <c r="Y131" s="52"/>
      <c r="Z131" s="52"/>
    </row>
    <row r="132" spans="1:26" ht="12" customHeight="1" x14ac:dyDescent="0.3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0"/>
      <c r="T132" s="50"/>
      <c r="U132" s="50"/>
      <c r="V132" s="51"/>
      <c r="W132" s="51"/>
      <c r="X132" s="52"/>
      <c r="Y132" s="52"/>
      <c r="Z132" s="52"/>
    </row>
    <row r="133" spans="1:26" ht="12" customHeight="1" x14ac:dyDescent="0.3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0"/>
      <c r="T133" s="50"/>
      <c r="U133" s="50"/>
      <c r="V133" s="51"/>
      <c r="W133" s="51"/>
      <c r="X133" s="52"/>
      <c r="Y133" s="52"/>
      <c r="Z133" s="52"/>
    </row>
    <row r="134" spans="1:26" ht="12" customHeight="1" x14ac:dyDescent="0.3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0"/>
      <c r="T134" s="50"/>
      <c r="U134" s="50"/>
      <c r="V134" s="51"/>
      <c r="W134" s="51"/>
      <c r="X134" s="52"/>
      <c r="Y134" s="52"/>
      <c r="Z134" s="52"/>
    </row>
    <row r="135" spans="1:26" ht="12" customHeight="1" x14ac:dyDescent="0.3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0"/>
      <c r="T135" s="50"/>
      <c r="U135" s="50"/>
      <c r="V135" s="51"/>
      <c r="W135" s="51"/>
      <c r="X135" s="52"/>
      <c r="Y135" s="52"/>
      <c r="Z135" s="52"/>
    </row>
    <row r="136" spans="1:26" ht="12" customHeight="1" x14ac:dyDescent="0.3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0"/>
      <c r="T136" s="50"/>
      <c r="U136" s="50"/>
      <c r="V136" s="51"/>
      <c r="W136" s="51"/>
      <c r="X136" s="52"/>
      <c r="Y136" s="52"/>
      <c r="Z136" s="52"/>
    </row>
    <row r="137" spans="1:26" ht="12" customHeight="1" x14ac:dyDescent="0.3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0"/>
      <c r="T137" s="50"/>
      <c r="U137" s="50"/>
      <c r="V137" s="51"/>
      <c r="W137" s="51"/>
      <c r="X137" s="52"/>
      <c r="Y137" s="52"/>
      <c r="Z137" s="52"/>
    </row>
    <row r="138" spans="1:26" ht="12" customHeight="1" x14ac:dyDescent="0.3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0"/>
      <c r="T138" s="50"/>
      <c r="U138" s="50"/>
      <c r="V138" s="51"/>
      <c r="W138" s="51"/>
      <c r="X138" s="52"/>
      <c r="Y138" s="52"/>
      <c r="Z138" s="52"/>
    </row>
    <row r="139" spans="1:26" ht="12" customHeight="1" x14ac:dyDescent="0.3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0"/>
      <c r="T139" s="50"/>
      <c r="U139" s="50"/>
      <c r="V139" s="51"/>
      <c r="W139" s="51"/>
      <c r="X139" s="52"/>
      <c r="Y139" s="52"/>
      <c r="Z139" s="52"/>
    </row>
    <row r="140" spans="1:26" ht="12" customHeight="1" x14ac:dyDescent="0.3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0"/>
      <c r="T140" s="50"/>
      <c r="U140" s="50"/>
      <c r="V140" s="51"/>
      <c r="W140" s="51"/>
      <c r="X140" s="52"/>
      <c r="Y140" s="52"/>
      <c r="Z140" s="52"/>
    </row>
    <row r="141" spans="1:26" ht="12" customHeight="1" x14ac:dyDescent="0.3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0"/>
      <c r="T141" s="50"/>
      <c r="U141" s="50"/>
      <c r="V141" s="51"/>
      <c r="W141" s="51"/>
      <c r="X141" s="52"/>
      <c r="Y141" s="52"/>
      <c r="Z141" s="52"/>
    </row>
    <row r="142" spans="1:26" ht="12" customHeight="1" x14ac:dyDescent="0.3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0"/>
      <c r="T142" s="50"/>
      <c r="U142" s="50"/>
      <c r="V142" s="51"/>
      <c r="W142" s="51"/>
      <c r="X142" s="52"/>
      <c r="Y142" s="52"/>
      <c r="Z142" s="52"/>
    </row>
    <row r="143" spans="1:26" ht="12" customHeight="1" x14ac:dyDescent="0.3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0"/>
      <c r="T143" s="50"/>
      <c r="U143" s="50"/>
      <c r="V143" s="51"/>
      <c r="W143" s="51"/>
      <c r="X143" s="52"/>
      <c r="Y143" s="52"/>
      <c r="Z143" s="52"/>
    </row>
    <row r="144" spans="1:26" ht="12" customHeight="1" x14ac:dyDescent="0.3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0"/>
      <c r="T144" s="50"/>
      <c r="U144" s="50"/>
      <c r="V144" s="51"/>
      <c r="W144" s="51"/>
      <c r="X144" s="52"/>
      <c r="Y144" s="52"/>
      <c r="Z144" s="52"/>
    </row>
    <row r="145" spans="1:26" ht="12" customHeight="1" x14ac:dyDescent="0.3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0"/>
      <c r="T145" s="50"/>
      <c r="U145" s="50"/>
      <c r="V145" s="51"/>
      <c r="W145" s="51"/>
      <c r="X145" s="52"/>
      <c r="Y145" s="52"/>
      <c r="Z145" s="52"/>
    </row>
    <row r="146" spans="1:26" ht="12" customHeight="1" x14ac:dyDescent="0.3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0"/>
      <c r="T146" s="50"/>
      <c r="U146" s="50"/>
      <c r="V146" s="51"/>
      <c r="W146" s="51"/>
      <c r="X146" s="52"/>
      <c r="Y146" s="52"/>
      <c r="Z146" s="52"/>
    </row>
    <row r="147" spans="1:26" ht="12" customHeight="1" x14ac:dyDescent="0.3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0"/>
      <c r="T147" s="50"/>
      <c r="U147" s="50"/>
      <c r="V147" s="51"/>
      <c r="W147" s="51"/>
      <c r="X147" s="52"/>
      <c r="Y147" s="52"/>
      <c r="Z147" s="52"/>
    </row>
    <row r="148" spans="1:26" ht="12" customHeight="1" x14ac:dyDescent="0.3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0"/>
      <c r="T148" s="50"/>
      <c r="U148" s="50"/>
      <c r="V148" s="51"/>
      <c r="W148" s="51"/>
      <c r="X148" s="52"/>
      <c r="Y148" s="52"/>
      <c r="Z148" s="52"/>
    </row>
    <row r="149" spans="1:26" ht="12" customHeight="1" x14ac:dyDescent="0.3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0"/>
      <c r="T149" s="50"/>
      <c r="U149" s="50"/>
      <c r="V149" s="51"/>
      <c r="W149" s="51"/>
      <c r="X149" s="52"/>
      <c r="Y149" s="52"/>
      <c r="Z149" s="52"/>
    </row>
    <row r="150" spans="1:26" ht="12" customHeight="1" x14ac:dyDescent="0.3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0"/>
      <c r="T150" s="50"/>
      <c r="U150" s="50"/>
      <c r="V150" s="51"/>
      <c r="W150" s="51"/>
      <c r="X150" s="52"/>
      <c r="Y150" s="52"/>
      <c r="Z150" s="52"/>
    </row>
    <row r="151" spans="1:26" ht="12" customHeight="1" x14ac:dyDescent="0.3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0"/>
      <c r="T151" s="50"/>
      <c r="U151" s="50"/>
      <c r="V151" s="51"/>
      <c r="W151" s="51"/>
      <c r="X151" s="52"/>
      <c r="Y151" s="52"/>
      <c r="Z151" s="52"/>
    </row>
    <row r="152" spans="1:26" ht="12" customHeight="1" x14ac:dyDescent="0.3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0"/>
      <c r="T152" s="50"/>
      <c r="U152" s="50"/>
      <c r="V152" s="51"/>
      <c r="W152" s="51"/>
      <c r="X152" s="52"/>
      <c r="Y152" s="52"/>
      <c r="Z152" s="52"/>
    </row>
    <row r="153" spans="1:26" ht="12" customHeight="1" x14ac:dyDescent="0.3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0"/>
      <c r="T153" s="50"/>
      <c r="U153" s="50"/>
      <c r="V153" s="51"/>
      <c r="W153" s="51"/>
      <c r="X153" s="52"/>
      <c r="Y153" s="52"/>
      <c r="Z153" s="52"/>
    </row>
    <row r="154" spans="1:26" ht="12" customHeight="1" x14ac:dyDescent="0.3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0"/>
      <c r="T154" s="50"/>
      <c r="U154" s="50"/>
      <c r="V154" s="51"/>
      <c r="W154" s="51"/>
      <c r="X154" s="52"/>
      <c r="Y154" s="52"/>
      <c r="Z154" s="52"/>
    </row>
    <row r="155" spans="1:26" ht="12" customHeight="1" x14ac:dyDescent="0.3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0"/>
      <c r="T155" s="50"/>
      <c r="U155" s="50"/>
      <c r="V155" s="51"/>
      <c r="W155" s="51"/>
      <c r="X155" s="52"/>
      <c r="Y155" s="52"/>
      <c r="Z155" s="52"/>
    </row>
    <row r="156" spans="1:26" ht="12" customHeight="1" x14ac:dyDescent="0.3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0"/>
      <c r="T156" s="50"/>
      <c r="U156" s="50"/>
      <c r="V156" s="51"/>
      <c r="W156" s="51"/>
      <c r="X156" s="52"/>
      <c r="Y156" s="52"/>
      <c r="Z156" s="52"/>
    </row>
    <row r="157" spans="1:26" ht="12" customHeight="1" x14ac:dyDescent="0.3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0"/>
      <c r="T157" s="50"/>
      <c r="U157" s="50"/>
      <c r="V157" s="51"/>
      <c r="W157" s="51"/>
      <c r="X157" s="52"/>
      <c r="Y157" s="52"/>
      <c r="Z157" s="52"/>
    </row>
    <row r="158" spans="1:26" ht="12" customHeight="1" x14ac:dyDescent="0.3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0"/>
      <c r="T158" s="50"/>
      <c r="U158" s="50"/>
      <c r="V158" s="51"/>
      <c r="W158" s="51"/>
      <c r="X158" s="52"/>
      <c r="Y158" s="52"/>
      <c r="Z158" s="52"/>
    </row>
    <row r="159" spans="1:26" ht="12" customHeight="1" x14ac:dyDescent="0.3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0"/>
      <c r="T159" s="50"/>
      <c r="U159" s="50"/>
      <c r="V159" s="51"/>
      <c r="W159" s="51"/>
      <c r="X159" s="52"/>
      <c r="Y159" s="52"/>
      <c r="Z159" s="52"/>
    </row>
    <row r="160" spans="1:26" ht="12" customHeight="1" x14ac:dyDescent="0.3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0"/>
      <c r="T160" s="50"/>
      <c r="U160" s="50"/>
      <c r="V160" s="51"/>
      <c r="W160" s="51"/>
      <c r="X160" s="52"/>
      <c r="Y160" s="52"/>
      <c r="Z160" s="52"/>
    </row>
    <row r="161" spans="1:26" ht="12" customHeight="1" x14ac:dyDescent="0.3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0"/>
      <c r="T161" s="50"/>
      <c r="U161" s="50"/>
      <c r="V161" s="51"/>
      <c r="W161" s="51"/>
      <c r="X161" s="52"/>
      <c r="Y161" s="52"/>
      <c r="Z161" s="52"/>
    </row>
    <row r="162" spans="1:26" ht="12" customHeight="1" x14ac:dyDescent="0.3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0"/>
      <c r="T162" s="50"/>
      <c r="U162" s="50"/>
      <c r="V162" s="51"/>
      <c r="W162" s="51"/>
      <c r="X162" s="52"/>
      <c r="Y162" s="52"/>
      <c r="Z162" s="52"/>
    </row>
    <row r="163" spans="1:26" ht="12" customHeight="1" x14ac:dyDescent="0.3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0"/>
      <c r="T163" s="50"/>
      <c r="U163" s="50"/>
      <c r="V163" s="51"/>
      <c r="W163" s="51"/>
      <c r="X163" s="52"/>
      <c r="Y163" s="52"/>
      <c r="Z163" s="52"/>
    </row>
    <row r="164" spans="1:26" ht="12" customHeight="1" x14ac:dyDescent="0.3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0"/>
      <c r="T164" s="50"/>
      <c r="U164" s="50"/>
      <c r="V164" s="51"/>
      <c r="W164" s="51"/>
      <c r="X164" s="52"/>
      <c r="Y164" s="52"/>
      <c r="Z164" s="52"/>
    </row>
    <row r="165" spans="1:26" ht="12" customHeight="1" x14ac:dyDescent="0.3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0"/>
      <c r="T165" s="50"/>
      <c r="U165" s="50"/>
      <c r="V165" s="51"/>
      <c r="W165" s="51"/>
      <c r="X165" s="52"/>
      <c r="Y165" s="52"/>
      <c r="Z165" s="52"/>
    </row>
    <row r="166" spans="1:26" ht="12" customHeight="1" x14ac:dyDescent="0.3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0"/>
      <c r="T166" s="50"/>
      <c r="U166" s="50"/>
      <c r="V166" s="51"/>
      <c r="W166" s="51"/>
      <c r="X166" s="52"/>
      <c r="Y166" s="52"/>
      <c r="Z166" s="52"/>
    </row>
    <row r="167" spans="1:26" ht="12" customHeight="1" x14ac:dyDescent="0.3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0"/>
      <c r="T167" s="50"/>
      <c r="U167" s="50"/>
      <c r="V167" s="51"/>
      <c r="W167" s="51"/>
      <c r="X167" s="52"/>
      <c r="Y167" s="52"/>
      <c r="Z167" s="52"/>
    </row>
    <row r="168" spans="1:26" ht="12" customHeight="1" x14ac:dyDescent="0.3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0"/>
      <c r="T168" s="50"/>
      <c r="U168" s="50"/>
      <c r="V168" s="51"/>
      <c r="W168" s="51"/>
      <c r="X168" s="52"/>
      <c r="Y168" s="52"/>
      <c r="Z168" s="52"/>
    </row>
    <row r="169" spans="1:26" ht="12" customHeight="1" x14ac:dyDescent="0.3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0"/>
      <c r="T169" s="50"/>
      <c r="U169" s="50"/>
      <c r="V169" s="51"/>
      <c r="W169" s="51"/>
      <c r="X169" s="52"/>
      <c r="Y169" s="52"/>
      <c r="Z169" s="52"/>
    </row>
    <row r="170" spans="1:26" ht="12" customHeight="1" x14ac:dyDescent="0.3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0"/>
      <c r="T170" s="50"/>
      <c r="U170" s="50"/>
      <c r="V170" s="51"/>
      <c r="W170" s="51"/>
      <c r="X170" s="52"/>
      <c r="Y170" s="52"/>
      <c r="Z170" s="52"/>
    </row>
    <row r="171" spans="1:26" ht="12" customHeight="1" x14ac:dyDescent="0.3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0"/>
      <c r="T171" s="50"/>
      <c r="U171" s="50"/>
      <c r="V171" s="51"/>
      <c r="W171" s="51"/>
      <c r="X171" s="52"/>
      <c r="Y171" s="52"/>
      <c r="Z171" s="52"/>
    </row>
    <row r="172" spans="1:26" ht="12" customHeight="1" x14ac:dyDescent="0.3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0"/>
      <c r="T172" s="50"/>
      <c r="U172" s="50"/>
      <c r="V172" s="51"/>
      <c r="W172" s="51"/>
      <c r="X172" s="52"/>
      <c r="Y172" s="52"/>
      <c r="Z172" s="52"/>
    </row>
    <row r="173" spans="1:26" ht="12" customHeight="1" x14ac:dyDescent="0.3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0"/>
      <c r="T173" s="50"/>
      <c r="U173" s="50"/>
      <c r="V173" s="51"/>
      <c r="W173" s="51"/>
      <c r="X173" s="52"/>
      <c r="Y173" s="52"/>
      <c r="Z173" s="52"/>
    </row>
    <row r="174" spans="1:26" ht="12" customHeight="1" x14ac:dyDescent="0.3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0"/>
      <c r="T174" s="50"/>
      <c r="U174" s="50"/>
      <c r="V174" s="51"/>
      <c r="W174" s="51"/>
      <c r="X174" s="52"/>
      <c r="Y174" s="52"/>
      <c r="Z174" s="52"/>
    </row>
    <row r="175" spans="1:26" ht="12" customHeight="1" x14ac:dyDescent="0.3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0"/>
      <c r="T175" s="50"/>
      <c r="U175" s="50"/>
      <c r="V175" s="51"/>
      <c r="W175" s="51"/>
      <c r="X175" s="52"/>
      <c r="Y175" s="52"/>
      <c r="Z175" s="52"/>
    </row>
    <row r="176" spans="1:26" ht="12" customHeight="1" x14ac:dyDescent="0.3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0"/>
      <c r="T176" s="50"/>
      <c r="U176" s="50"/>
      <c r="V176" s="51"/>
      <c r="W176" s="51"/>
      <c r="X176" s="52"/>
      <c r="Y176" s="52"/>
      <c r="Z176" s="52"/>
    </row>
    <row r="177" spans="1:26" ht="12" customHeight="1" x14ac:dyDescent="0.3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0"/>
      <c r="T177" s="50"/>
      <c r="U177" s="50"/>
      <c r="V177" s="51"/>
      <c r="W177" s="51"/>
      <c r="X177" s="52"/>
      <c r="Y177" s="52"/>
      <c r="Z177" s="52"/>
    </row>
    <row r="178" spans="1:26" ht="12" customHeight="1" x14ac:dyDescent="0.3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0"/>
      <c r="T178" s="50"/>
      <c r="U178" s="50"/>
      <c r="V178" s="51"/>
      <c r="W178" s="51"/>
      <c r="X178" s="52"/>
      <c r="Y178" s="52"/>
      <c r="Z178" s="52"/>
    </row>
    <row r="179" spans="1:26" ht="12" customHeight="1" x14ac:dyDescent="0.3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0"/>
      <c r="T179" s="50"/>
      <c r="U179" s="50"/>
      <c r="V179" s="51"/>
      <c r="W179" s="51"/>
      <c r="X179" s="52"/>
      <c r="Y179" s="52"/>
      <c r="Z179" s="52"/>
    </row>
    <row r="180" spans="1:26" ht="12" customHeight="1" x14ac:dyDescent="0.3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0"/>
      <c r="T180" s="50"/>
      <c r="U180" s="50"/>
      <c r="V180" s="51"/>
      <c r="W180" s="51"/>
      <c r="X180" s="52"/>
      <c r="Y180" s="52"/>
      <c r="Z180" s="52"/>
    </row>
    <row r="181" spans="1:26" ht="12" customHeight="1" x14ac:dyDescent="0.3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0"/>
      <c r="T181" s="50"/>
      <c r="U181" s="50"/>
      <c r="V181" s="51"/>
      <c r="W181" s="51"/>
      <c r="X181" s="52"/>
      <c r="Y181" s="52"/>
      <c r="Z181" s="52"/>
    </row>
    <row r="182" spans="1:26" ht="12" customHeight="1" x14ac:dyDescent="0.3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0"/>
      <c r="T182" s="50"/>
      <c r="U182" s="50"/>
      <c r="V182" s="51"/>
      <c r="W182" s="51"/>
      <c r="X182" s="52"/>
      <c r="Y182" s="52"/>
      <c r="Z182" s="52"/>
    </row>
    <row r="183" spans="1:26" ht="12" customHeight="1" x14ac:dyDescent="0.3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0"/>
      <c r="T183" s="50"/>
      <c r="U183" s="50"/>
      <c r="V183" s="51"/>
      <c r="W183" s="51"/>
      <c r="X183" s="52"/>
      <c r="Y183" s="52"/>
      <c r="Z183" s="52"/>
    </row>
    <row r="184" spans="1:26" ht="12" customHeight="1" x14ac:dyDescent="0.3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0"/>
      <c r="T184" s="50"/>
      <c r="U184" s="50"/>
      <c r="V184" s="51"/>
      <c r="W184" s="51"/>
      <c r="X184" s="52"/>
      <c r="Y184" s="52"/>
      <c r="Z184" s="52"/>
    </row>
    <row r="185" spans="1:26" ht="12" customHeight="1" x14ac:dyDescent="0.3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0"/>
      <c r="T185" s="50"/>
      <c r="U185" s="50"/>
      <c r="V185" s="51"/>
      <c r="W185" s="51"/>
      <c r="X185" s="52"/>
      <c r="Y185" s="52"/>
      <c r="Z185" s="52"/>
    </row>
    <row r="186" spans="1:26" ht="12" customHeight="1" x14ac:dyDescent="0.3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0"/>
      <c r="T186" s="50"/>
      <c r="U186" s="50"/>
      <c r="V186" s="51"/>
      <c r="W186" s="51"/>
      <c r="X186" s="52"/>
      <c r="Y186" s="52"/>
      <c r="Z186" s="52"/>
    </row>
    <row r="187" spans="1:26" ht="12" customHeight="1" x14ac:dyDescent="0.3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0"/>
      <c r="T187" s="50"/>
      <c r="U187" s="50"/>
      <c r="V187" s="51"/>
      <c r="W187" s="51"/>
      <c r="X187" s="52"/>
      <c r="Y187" s="52"/>
      <c r="Z187" s="52"/>
    </row>
    <row r="188" spans="1:26" ht="12" customHeight="1" x14ac:dyDescent="0.3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0"/>
      <c r="T188" s="50"/>
      <c r="U188" s="50"/>
      <c r="V188" s="51"/>
      <c r="W188" s="51"/>
      <c r="X188" s="52"/>
      <c r="Y188" s="52"/>
      <c r="Z188" s="52"/>
    </row>
    <row r="189" spans="1:26" ht="12" customHeight="1" x14ac:dyDescent="0.3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0"/>
      <c r="T189" s="50"/>
      <c r="U189" s="50"/>
      <c r="V189" s="51"/>
      <c r="W189" s="51"/>
      <c r="X189" s="52"/>
      <c r="Y189" s="52"/>
      <c r="Z189" s="52"/>
    </row>
    <row r="190" spans="1:26" ht="12" customHeight="1" x14ac:dyDescent="0.3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0"/>
      <c r="T190" s="50"/>
      <c r="U190" s="50"/>
      <c r="V190" s="51"/>
      <c r="W190" s="51"/>
      <c r="X190" s="52"/>
      <c r="Y190" s="52"/>
      <c r="Z190" s="52"/>
    </row>
    <row r="191" spans="1:26" ht="12" customHeight="1" x14ac:dyDescent="0.3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0"/>
      <c r="T191" s="50"/>
      <c r="U191" s="50"/>
      <c r="V191" s="51"/>
      <c r="W191" s="51"/>
      <c r="X191" s="52"/>
      <c r="Y191" s="52"/>
      <c r="Z191" s="52"/>
    </row>
    <row r="192" spans="1:26" ht="12" customHeight="1" x14ac:dyDescent="0.3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0"/>
      <c r="T192" s="50"/>
      <c r="U192" s="50"/>
      <c r="V192" s="51"/>
      <c r="W192" s="51"/>
      <c r="X192" s="52"/>
      <c r="Y192" s="52"/>
      <c r="Z192" s="52"/>
    </row>
    <row r="193" spans="1:26" ht="12" customHeight="1" x14ac:dyDescent="0.3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0"/>
      <c r="T193" s="50"/>
      <c r="U193" s="50"/>
      <c r="V193" s="51"/>
      <c r="W193" s="51"/>
      <c r="X193" s="52"/>
      <c r="Y193" s="52"/>
      <c r="Z193" s="52"/>
    </row>
    <row r="194" spans="1:26" ht="12" customHeight="1" x14ac:dyDescent="0.3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0"/>
      <c r="T194" s="50"/>
      <c r="U194" s="50"/>
      <c r="V194" s="51"/>
      <c r="W194" s="51"/>
      <c r="X194" s="52"/>
      <c r="Y194" s="52"/>
      <c r="Z194" s="52"/>
    </row>
    <row r="195" spans="1:26" ht="12" customHeight="1" x14ac:dyDescent="0.3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0"/>
      <c r="T195" s="50"/>
      <c r="U195" s="50"/>
      <c r="V195" s="51"/>
      <c r="W195" s="51"/>
      <c r="X195" s="52"/>
      <c r="Y195" s="52"/>
      <c r="Z195" s="52"/>
    </row>
    <row r="196" spans="1:26" ht="12" customHeight="1" x14ac:dyDescent="0.3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0"/>
      <c r="T196" s="50"/>
      <c r="U196" s="50"/>
      <c r="V196" s="51"/>
      <c r="W196" s="51"/>
      <c r="X196" s="52"/>
      <c r="Y196" s="52"/>
      <c r="Z196" s="52"/>
    </row>
    <row r="197" spans="1:26" ht="12" customHeight="1" x14ac:dyDescent="0.3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0"/>
      <c r="T197" s="50"/>
      <c r="U197" s="50"/>
      <c r="V197" s="51"/>
      <c r="W197" s="51"/>
      <c r="X197" s="52"/>
      <c r="Y197" s="52"/>
      <c r="Z197" s="52"/>
    </row>
    <row r="198" spans="1:26" ht="12" customHeight="1" x14ac:dyDescent="0.3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0"/>
      <c r="T198" s="50"/>
      <c r="U198" s="50"/>
      <c r="V198" s="51"/>
      <c r="W198" s="51"/>
      <c r="X198" s="52"/>
      <c r="Y198" s="52"/>
      <c r="Z198" s="52"/>
    </row>
    <row r="199" spans="1:26" ht="12" customHeight="1" x14ac:dyDescent="0.3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0"/>
      <c r="T199" s="50"/>
      <c r="U199" s="50"/>
      <c r="V199" s="51"/>
      <c r="W199" s="51"/>
      <c r="X199" s="52"/>
      <c r="Y199" s="52"/>
      <c r="Z199" s="52"/>
    </row>
    <row r="200" spans="1:26" ht="12" customHeight="1" x14ac:dyDescent="0.3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0"/>
      <c r="T200" s="50"/>
      <c r="U200" s="50"/>
      <c r="V200" s="51"/>
      <c r="W200" s="51"/>
      <c r="X200" s="52"/>
      <c r="Y200" s="52"/>
      <c r="Z200" s="52"/>
    </row>
    <row r="201" spans="1:26" ht="12" customHeight="1" x14ac:dyDescent="0.3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0"/>
      <c r="T201" s="50"/>
      <c r="U201" s="50"/>
      <c r="V201" s="51"/>
      <c r="W201" s="51"/>
      <c r="X201" s="52"/>
      <c r="Y201" s="52"/>
      <c r="Z201" s="52"/>
    </row>
    <row r="202" spans="1:26" ht="12" customHeight="1" x14ac:dyDescent="0.3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0"/>
      <c r="T202" s="50"/>
      <c r="U202" s="50"/>
      <c r="V202" s="51"/>
      <c r="W202" s="51"/>
      <c r="X202" s="52"/>
      <c r="Y202" s="52"/>
      <c r="Z202" s="52"/>
    </row>
    <row r="203" spans="1:26" ht="12" customHeight="1" x14ac:dyDescent="0.3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0"/>
      <c r="T203" s="50"/>
      <c r="U203" s="50"/>
      <c r="V203" s="51"/>
      <c r="W203" s="51"/>
      <c r="X203" s="52"/>
      <c r="Y203" s="52"/>
      <c r="Z203" s="52"/>
    </row>
    <row r="204" spans="1:26" ht="12" customHeight="1" x14ac:dyDescent="0.3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0"/>
      <c r="T204" s="50"/>
      <c r="U204" s="50"/>
      <c r="V204" s="51"/>
      <c r="W204" s="51"/>
      <c r="X204" s="52"/>
      <c r="Y204" s="52"/>
      <c r="Z204" s="52"/>
    </row>
    <row r="205" spans="1:26" ht="12" customHeight="1" x14ac:dyDescent="0.3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0"/>
      <c r="T205" s="50"/>
      <c r="U205" s="50"/>
      <c r="V205" s="51"/>
      <c r="W205" s="51"/>
      <c r="X205" s="52"/>
      <c r="Y205" s="52"/>
      <c r="Z205" s="52"/>
    </row>
    <row r="206" spans="1:26" ht="12" customHeight="1" x14ac:dyDescent="0.3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0"/>
      <c r="T206" s="50"/>
      <c r="U206" s="50"/>
      <c r="V206" s="51"/>
      <c r="W206" s="51"/>
      <c r="X206" s="52"/>
      <c r="Y206" s="52"/>
      <c r="Z206" s="52"/>
    </row>
    <row r="207" spans="1:26" ht="12" customHeight="1" x14ac:dyDescent="0.3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0"/>
      <c r="T207" s="50"/>
      <c r="U207" s="50"/>
      <c r="V207" s="51"/>
      <c r="W207" s="51"/>
      <c r="X207" s="52"/>
      <c r="Y207" s="52"/>
      <c r="Z207" s="52"/>
    </row>
    <row r="208" spans="1:26" ht="12" customHeight="1" x14ac:dyDescent="0.3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0"/>
      <c r="T208" s="50"/>
      <c r="U208" s="50"/>
      <c r="V208" s="51"/>
      <c r="W208" s="51"/>
      <c r="X208" s="52"/>
      <c r="Y208" s="52"/>
      <c r="Z208" s="52"/>
    </row>
    <row r="209" spans="1:26" ht="12" customHeight="1" x14ac:dyDescent="0.3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0"/>
      <c r="T209" s="50"/>
      <c r="U209" s="50"/>
      <c r="V209" s="51"/>
      <c r="W209" s="51"/>
      <c r="X209" s="52"/>
      <c r="Y209" s="52"/>
      <c r="Z209" s="52"/>
    </row>
    <row r="210" spans="1:26" ht="12" customHeight="1" x14ac:dyDescent="0.3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0"/>
      <c r="T210" s="50"/>
      <c r="U210" s="50"/>
      <c r="V210" s="51"/>
      <c r="W210" s="51"/>
      <c r="X210" s="52"/>
      <c r="Y210" s="52"/>
      <c r="Z210" s="52"/>
    </row>
    <row r="211" spans="1:26" ht="12" customHeight="1" x14ac:dyDescent="0.3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0"/>
      <c r="T211" s="50"/>
      <c r="U211" s="50"/>
      <c r="V211" s="51"/>
      <c r="W211" s="51"/>
      <c r="X211" s="52"/>
      <c r="Y211" s="52"/>
      <c r="Z211" s="52"/>
    </row>
    <row r="212" spans="1:26" ht="12" customHeight="1" x14ac:dyDescent="0.3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0"/>
      <c r="T212" s="50"/>
      <c r="U212" s="50"/>
      <c r="V212" s="51"/>
      <c r="W212" s="51"/>
      <c r="X212" s="52"/>
      <c r="Y212" s="52"/>
      <c r="Z212" s="52"/>
    </row>
    <row r="213" spans="1:26" ht="12" customHeight="1" x14ac:dyDescent="0.3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0"/>
      <c r="T213" s="50"/>
      <c r="U213" s="50"/>
      <c r="V213" s="51"/>
      <c r="W213" s="51"/>
      <c r="X213" s="52"/>
      <c r="Y213" s="52"/>
      <c r="Z213" s="52"/>
    </row>
    <row r="214" spans="1:26" ht="12" customHeight="1" x14ac:dyDescent="0.3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0"/>
      <c r="T214" s="50"/>
      <c r="U214" s="50"/>
      <c r="V214" s="51"/>
      <c r="W214" s="51"/>
      <c r="X214" s="52"/>
      <c r="Y214" s="52"/>
      <c r="Z214" s="52"/>
    </row>
    <row r="215" spans="1:26" ht="12" customHeight="1" x14ac:dyDescent="0.3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0"/>
      <c r="T215" s="50"/>
      <c r="U215" s="50"/>
      <c r="V215" s="51"/>
      <c r="W215" s="51"/>
      <c r="X215" s="52"/>
      <c r="Y215" s="52"/>
      <c r="Z215" s="52"/>
    </row>
    <row r="216" spans="1:26" ht="12" customHeight="1" x14ac:dyDescent="0.3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0"/>
      <c r="T216" s="50"/>
      <c r="U216" s="50"/>
      <c r="V216" s="51"/>
      <c r="W216" s="51"/>
      <c r="X216" s="52"/>
      <c r="Y216" s="52"/>
      <c r="Z216" s="52"/>
    </row>
    <row r="217" spans="1:26" ht="12" customHeight="1" x14ac:dyDescent="0.3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0"/>
      <c r="T217" s="50"/>
      <c r="U217" s="50"/>
      <c r="V217" s="51"/>
      <c r="W217" s="51"/>
      <c r="X217" s="52"/>
      <c r="Y217" s="52"/>
      <c r="Z217" s="52"/>
    </row>
    <row r="218" spans="1:26" ht="12" customHeight="1" x14ac:dyDescent="0.3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0"/>
      <c r="T218" s="50"/>
      <c r="U218" s="50"/>
      <c r="V218" s="51"/>
      <c r="W218" s="51"/>
      <c r="X218" s="52"/>
      <c r="Y218" s="52"/>
      <c r="Z218" s="52"/>
    </row>
    <row r="219" spans="1:26" ht="12" customHeight="1" x14ac:dyDescent="0.3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0"/>
      <c r="T219" s="50"/>
      <c r="U219" s="50"/>
      <c r="V219" s="51"/>
      <c r="W219" s="51"/>
      <c r="X219" s="52"/>
      <c r="Y219" s="52"/>
      <c r="Z219" s="52"/>
    </row>
    <row r="220" spans="1:26" ht="12" customHeight="1" x14ac:dyDescent="0.3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0"/>
      <c r="T220" s="50"/>
      <c r="U220" s="50"/>
      <c r="V220" s="51"/>
      <c r="W220" s="51"/>
      <c r="X220" s="52"/>
      <c r="Y220" s="52"/>
      <c r="Z220" s="52"/>
    </row>
    <row r="221" spans="1:26" ht="12" customHeight="1" x14ac:dyDescent="0.3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0"/>
      <c r="T221" s="50"/>
      <c r="U221" s="50"/>
      <c r="V221" s="51"/>
      <c r="W221" s="51"/>
      <c r="X221" s="52"/>
      <c r="Y221" s="52"/>
      <c r="Z221" s="52"/>
    </row>
    <row r="222" spans="1:26" ht="12" customHeight="1" x14ac:dyDescent="0.3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0"/>
      <c r="T222" s="50"/>
      <c r="U222" s="50"/>
      <c r="V222" s="51"/>
      <c r="W222" s="51"/>
      <c r="X222" s="52"/>
      <c r="Y222" s="52"/>
      <c r="Z222" s="52"/>
    </row>
    <row r="223" spans="1:26" ht="12" customHeight="1" x14ac:dyDescent="0.3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0"/>
      <c r="T223" s="50"/>
      <c r="U223" s="50"/>
      <c r="V223" s="51"/>
      <c r="W223" s="51"/>
      <c r="X223" s="52"/>
      <c r="Y223" s="52"/>
      <c r="Z223" s="52"/>
    </row>
    <row r="224" spans="1:26" ht="12" customHeight="1" x14ac:dyDescent="0.3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0"/>
      <c r="T224" s="50"/>
      <c r="U224" s="50"/>
      <c r="V224" s="51"/>
      <c r="W224" s="51"/>
      <c r="X224" s="52"/>
      <c r="Y224" s="52"/>
      <c r="Z224" s="52"/>
    </row>
    <row r="225" spans="1:26" ht="12" customHeight="1" x14ac:dyDescent="0.3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0"/>
      <c r="T225" s="50"/>
      <c r="U225" s="50"/>
      <c r="V225" s="51"/>
      <c r="W225" s="51"/>
      <c r="X225" s="52"/>
      <c r="Y225" s="52"/>
      <c r="Z225" s="52"/>
    </row>
    <row r="226" spans="1:26" ht="12" customHeight="1" x14ac:dyDescent="0.3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0"/>
      <c r="T226" s="50"/>
      <c r="U226" s="50"/>
      <c r="V226" s="51"/>
      <c r="W226" s="51"/>
      <c r="X226" s="52"/>
      <c r="Y226" s="52"/>
      <c r="Z226" s="52"/>
    </row>
    <row r="227" spans="1:26" ht="12" customHeight="1" x14ac:dyDescent="0.3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0"/>
      <c r="T227" s="50"/>
      <c r="U227" s="50"/>
      <c r="V227" s="51"/>
      <c r="W227" s="51"/>
      <c r="X227" s="52"/>
      <c r="Y227" s="52"/>
      <c r="Z227" s="52"/>
    </row>
    <row r="228" spans="1:26" ht="12" customHeight="1" x14ac:dyDescent="0.3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0"/>
      <c r="T228" s="50"/>
      <c r="U228" s="50"/>
      <c r="V228" s="51"/>
      <c r="W228" s="51"/>
      <c r="X228" s="52"/>
      <c r="Y228" s="52"/>
      <c r="Z228" s="52"/>
    </row>
    <row r="229" spans="1:26" ht="12" customHeight="1" x14ac:dyDescent="0.3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0"/>
      <c r="T229" s="50"/>
      <c r="U229" s="50"/>
      <c r="V229" s="51"/>
      <c r="W229" s="51"/>
      <c r="X229" s="52"/>
      <c r="Y229" s="52"/>
      <c r="Z229" s="52"/>
    </row>
    <row r="230" spans="1:26" ht="12" customHeight="1" x14ac:dyDescent="0.3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0"/>
      <c r="T230" s="50"/>
      <c r="U230" s="50"/>
      <c r="V230" s="51"/>
      <c r="W230" s="51"/>
      <c r="X230" s="52"/>
      <c r="Y230" s="52"/>
      <c r="Z230" s="52"/>
    </row>
    <row r="231" spans="1:26" ht="12" customHeight="1" x14ac:dyDescent="0.3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0"/>
      <c r="T231" s="50"/>
      <c r="U231" s="50"/>
      <c r="V231" s="51"/>
      <c r="W231" s="51"/>
      <c r="X231" s="52"/>
      <c r="Y231" s="52"/>
      <c r="Z231" s="52"/>
    </row>
    <row r="232" spans="1:26" ht="12" customHeight="1" x14ac:dyDescent="0.3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0"/>
      <c r="T232" s="50"/>
      <c r="U232" s="50"/>
      <c r="V232" s="51"/>
      <c r="W232" s="51"/>
      <c r="X232" s="52"/>
      <c r="Y232" s="52"/>
      <c r="Z232" s="52"/>
    </row>
    <row r="233" spans="1:26" ht="12" customHeight="1" x14ac:dyDescent="0.3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0"/>
      <c r="T233" s="50"/>
      <c r="U233" s="50"/>
      <c r="V233" s="51"/>
      <c r="W233" s="51"/>
      <c r="X233" s="52"/>
      <c r="Y233" s="52"/>
      <c r="Z233" s="52"/>
    </row>
    <row r="234" spans="1:26" ht="12" customHeight="1" x14ac:dyDescent="0.3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0"/>
      <c r="T234" s="50"/>
      <c r="U234" s="50"/>
      <c r="V234" s="51"/>
      <c r="W234" s="51"/>
      <c r="X234" s="52"/>
      <c r="Y234" s="52"/>
      <c r="Z234" s="52"/>
    </row>
    <row r="235" spans="1:26" ht="12" customHeight="1" x14ac:dyDescent="0.3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0"/>
      <c r="T235" s="50"/>
      <c r="U235" s="50"/>
      <c r="V235" s="51"/>
      <c r="W235" s="51"/>
      <c r="X235" s="52"/>
      <c r="Y235" s="52"/>
      <c r="Z235" s="52"/>
    </row>
    <row r="236" spans="1:26" ht="12" customHeight="1" x14ac:dyDescent="0.3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0"/>
      <c r="T236" s="50"/>
      <c r="U236" s="50"/>
      <c r="V236" s="51"/>
      <c r="W236" s="51"/>
      <c r="X236" s="52"/>
      <c r="Y236" s="52"/>
      <c r="Z236" s="52"/>
    </row>
    <row r="237" spans="1:26" ht="12" customHeight="1" x14ac:dyDescent="0.3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0"/>
      <c r="T237" s="50"/>
      <c r="U237" s="50"/>
      <c r="V237" s="51"/>
      <c r="W237" s="51"/>
      <c r="X237" s="52"/>
      <c r="Y237" s="52"/>
      <c r="Z237" s="52"/>
    </row>
    <row r="238" spans="1:26" ht="12" customHeight="1" x14ac:dyDescent="0.3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0"/>
      <c r="T238" s="50"/>
      <c r="U238" s="50"/>
      <c r="V238" s="51"/>
      <c r="W238" s="51"/>
      <c r="X238" s="52"/>
      <c r="Y238" s="52"/>
      <c r="Z238" s="52"/>
    </row>
    <row r="239" spans="1:26" ht="12" customHeight="1" x14ac:dyDescent="0.3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0"/>
      <c r="T239" s="50"/>
      <c r="U239" s="50"/>
      <c r="V239" s="51"/>
      <c r="W239" s="51"/>
      <c r="X239" s="52"/>
      <c r="Y239" s="52"/>
      <c r="Z239" s="52"/>
    </row>
    <row r="240" spans="1:26" ht="12" customHeight="1" x14ac:dyDescent="0.3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0"/>
      <c r="T240" s="50"/>
      <c r="U240" s="50"/>
      <c r="V240" s="51"/>
      <c r="W240" s="51"/>
      <c r="X240" s="52"/>
      <c r="Y240" s="52"/>
      <c r="Z240" s="52"/>
    </row>
    <row r="241" spans="1:26" ht="12" customHeight="1" x14ac:dyDescent="0.3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0"/>
      <c r="T241" s="50"/>
      <c r="U241" s="50"/>
      <c r="V241" s="51"/>
      <c r="W241" s="51"/>
      <c r="X241" s="52"/>
      <c r="Y241" s="52"/>
      <c r="Z241" s="52"/>
    </row>
    <row r="242" spans="1:26" ht="12" customHeight="1" x14ac:dyDescent="0.3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0"/>
      <c r="T242" s="50"/>
      <c r="U242" s="50"/>
      <c r="V242" s="51"/>
      <c r="W242" s="51"/>
      <c r="X242" s="52"/>
      <c r="Y242" s="52"/>
      <c r="Z242" s="52"/>
    </row>
    <row r="243" spans="1:26" ht="12" customHeight="1" x14ac:dyDescent="0.3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0"/>
      <c r="T243" s="50"/>
      <c r="U243" s="50"/>
      <c r="V243" s="51"/>
      <c r="W243" s="51"/>
      <c r="X243" s="52"/>
      <c r="Y243" s="52"/>
      <c r="Z243" s="52"/>
    </row>
    <row r="244" spans="1:26" ht="12" customHeight="1" x14ac:dyDescent="0.3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0"/>
      <c r="T244" s="50"/>
      <c r="U244" s="50"/>
      <c r="V244" s="51"/>
      <c r="W244" s="51"/>
      <c r="X244" s="52"/>
      <c r="Y244" s="52"/>
      <c r="Z244" s="52"/>
    </row>
    <row r="245" spans="1:26" ht="12" customHeight="1" x14ac:dyDescent="0.3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0"/>
      <c r="T245" s="50"/>
      <c r="U245" s="50"/>
      <c r="V245" s="51"/>
      <c r="W245" s="51"/>
      <c r="X245" s="52"/>
      <c r="Y245" s="52"/>
      <c r="Z245" s="52"/>
    </row>
    <row r="246" spans="1:26" ht="12" customHeight="1" x14ac:dyDescent="0.3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0"/>
      <c r="T246" s="50"/>
      <c r="U246" s="50"/>
      <c r="V246" s="51"/>
      <c r="W246" s="51"/>
      <c r="X246" s="52"/>
      <c r="Y246" s="52"/>
      <c r="Z246" s="52"/>
    </row>
    <row r="247" spans="1:26" ht="12" customHeight="1" x14ac:dyDescent="0.3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0"/>
      <c r="T247" s="50"/>
      <c r="U247" s="50"/>
      <c r="V247" s="51"/>
      <c r="W247" s="51"/>
      <c r="X247" s="52"/>
      <c r="Y247" s="52"/>
      <c r="Z247" s="52"/>
    </row>
    <row r="248" spans="1:26" ht="12" customHeight="1" x14ac:dyDescent="0.3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0"/>
      <c r="T248" s="50"/>
      <c r="U248" s="50"/>
      <c r="V248" s="51"/>
      <c r="W248" s="51"/>
      <c r="X248" s="52"/>
      <c r="Y248" s="52"/>
      <c r="Z248" s="52"/>
    </row>
    <row r="249" spans="1:26" ht="12" customHeight="1" x14ac:dyDescent="0.3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0"/>
      <c r="T249" s="50"/>
      <c r="U249" s="50"/>
      <c r="V249" s="51"/>
      <c r="W249" s="51"/>
      <c r="X249" s="52"/>
      <c r="Y249" s="52"/>
      <c r="Z249" s="52"/>
    </row>
    <row r="250" spans="1:26" ht="12" customHeight="1" x14ac:dyDescent="0.3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0"/>
      <c r="T250" s="50"/>
      <c r="U250" s="50"/>
      <c r="V250" s="51"/>
      <c r="W250" s="51"/>
      <c r="X250" s="52"/>
      <c r="Y250" s="52"/>
      <c r="Z250" s="52"/>
    </row>
    <row r="251" spans="1:26" ht="12" customHeight="1" x14ac:dyDescent="0.3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0"/>
      <c r="T251" s="50"/>
      <c r="U251" s="50"/>
      <c r="V251" s="51"/>
      <c r="W251" s="51"/>
      <c r="X251" s="52"/>
      <c r="Y251" s="52"/>
      <c r="Z251" s="52"/>
    </row>
    <row r="252" spans="1:26" ht="12" customHeight="1" x14ac:dyDescent="0.3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0"/>
      <c r="T252" s="50"/>
      <c r="U252" s="50"/>
      <c r="V252" s="51"/>
      <c r="W252" s="51"/>
      <c r="X252" s="52"/>
      <c r="Y252" s="52"/>
      <c r="Z252" s="52"/>
    </row>
    <row r="253" spans="1:26" ht="12" customHeight="1" x14ac:dyDescent="0.3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0"/>
      <c r="T253" s="50"/>
      <c r="U253" s="50"/>
      <c r="V253" s="51"/>
      <c r="W253" s="51"/>
      <c r="X253" s="52"/>
      <c r="Y253" s="52"/>
      <c r="Z253" s="52"/>
    </row>
    <row r="254" spans="1:26" ht="12" customHeight="1" x14ac:dyDescent="0.3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0"/>
      <c r="T254" s="50"/>
      <c r="U254" s="50"/>
      <c r="V254" s="51"/>
      <c r="W254" s="51"/>
      <c r="X254" s="52"/>
      <c r="Y254" s="52"/>
      <c r="Z254" s="52"/>
    </row>
    <row r="255" spans="1:26" ht="12" customHeight="1" x14ac:dyDescent="0.3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0"/>
      <c r="T255" s="50"/>
      <c r="U255" s="50"/>
      <c r="V255" s="51"/>
      <c r="W255" s="51"/>
      <c r="X255" s="52"/>
      <c r="Y255" s="52"/>
      <c r="Z255" s="52"/>
    </row>
    <row r="256" spans="1:26" ht="12" customHeight="1" x14ac:dyDescent="0.3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0"/>
      <c r="T256" s="50"/>
      <c r="U256" s="50"/>
      <c r="V256" s="51"/>
      <c r="W256" s="51"/>
      <c r="X256" s="52"/>
      <c r="Y256" s="52"/>
      <c r="Z256" s="52"/>
    </row>
    <row r="257" spans="1:26" ht="12" customHeight="1" x14ac:dyDescent="0.3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0"/>
      <c r="T257" s="50"/>
      <c r="U257" s="50"/>
      <c r="V257" s="51"/>
      <c r="W257" s="51"/>
      <c r="X257" s="52"/>
      <c r="Y257" s="52"/>
      <c r="Z257" s="52"/>
    </row>
    <row r="258" spans="1:26" ht="12" customHeight="1" x14ac:dyDescent="0.3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0"/>
      <c r="T258" s="50"/>
      <c r="U258" s="50"/>
      <c r="V258" s="51"/>
      <c r="W258" s="51"/>
      <c r="X258" s="52"/>
      <c r="Y258" s="52"/>
      <c r="Z258" s="52"/>
    </row>
    <row r="259" spans="1:26" ht="12" customHeight="1" x14ac:dyDescent="0.3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0"/>
      <c r="T259" s="50"/>
      <c r="U259" s="50"/>
      <c r="V259" s="51"/>
      <c r="W259" s="51"/>
      <c r="X259" s="52"/>
      <c r="Y259" s="52"/>
      <c r="Z259" s="52"/>
    </row>
    <row r="260" spans="1:26" ht="12" customHeight="1" x14ac:dyDescent="0.3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0"/>
      <c r="T260" s="50"/>
      <c r="U260" s="50"/>
      <c r="V260" s="51"/>
      <c r="W260" s="51"/>
      <c r="X260" s="52"/>
      <c r="Y260" s="52"/>
      <c r="Z260" s="5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00">
    <mergeCell ref="A46:A50"/>
    <mergeCell ref="B46:B50"/>
    <mergeCell ref="C46:D46"/>
    <mergeCell ref="C47:C50"/>
    <mergeCell ref="D47:D50"/>
    <mergeCell ref="E48:E50"/>
    <mergeCell ref="Q41:R41"/>
    <mergeCell ref="Q42:R42"/>
    <mergeCell ref="Q43:R43"/>
    <mergeCell ref="Q44:R44"/>
    <mergeCell ref="Q45:R45"/>
    <mergeCell ref="E46:L47"/>
    <mergeCell ref="M46:R47"/>
    <mergeCell ref="Q32:R32"/>
    <mergeCell ref="P33:P36"/>
    <mergeCell ref="Q33:R36"/>
    <mergeCell ref="Q37:R37"/>
    <mergeCell ref="Q38:R38"/>
    <mergeCell ref="Q39:R39"/>
    <mergeCell ref="Q40:R40"/>
    <mergeCell ref="M24:O24"/>
    <mergeCell ref="Q24:R24"/>
    <mergeCell ref="M25:O25"/>
    <mergeCell ref="Q25:R25"/>
    <mergeCell ref="Q26:R26"/>
    <mergeCell ref="Q29:R29"/>
    <mergeCell ref="Q30:R30"/>
    <mergeCell ref="M26:O26"/>
    <mergeCell ref="M27:O27"/>
    <mergeCell ref="Q27:R27"/>
    <mergeCell ref="M28:O28"/>
    <mergeCell ref="Q28:R28"/>
    <mergeCell ref="M29:O29"/>
    <mergeCell ref="M30:O30"/>
    <mergeCell ref="A20:A23"/>
    <mergeCell ref="B20:C21"/>
    <mergeCell ref="D20:L21"/>
    <mergeCell ref="M20:O23"/>
    <mergeCell ref="P20:P23"/>
    <mergeCell ref="Q20:R23"/>
    <mergeCell ref="B22:B23"/>
    <mergeCell ref="K22:L23"/>
    <mergeCell ref="I22:I23"/>
    <mergeCell ref="J22:J23"/>
    <mergeCell ref="Q58:R58"/>
    <mergeCell ref="Q59:R59"/>
    <mergeCell ref="Q60:R60"/>
    <mergeCell ref="Q61:R61"/>
    <mergeCell ref="Q62:R62"/>
    <mergeCell ref="Q63:R63"/>
    <mergeCell ref="Q51:R51"/>
    <mergeCell ref="Q52:R52"/>
    <mergeCell ref="Q53:R53"/>
    <mergeCell ref="Q54:R54"/>
    <mergeCell ref="Q55:R55"/>
    <mergeCell ref="Q56:R56"/>
    <mergeCell ref="Q57:R57"/>
    <mergeCell ref="K61:L61"/>
    <mergeCell ref="K62:L62"/>
    <mergeCell ref="K63:L63"/>
    <mergeCell ref="M57:O57"/>
    <mergeCell ref="M58:O58"/>
    <mergeCell ref="M59:O59"/>
    <mergeCell ref="M60:O60"/>
    <mergeCell ref="M61:O61"/>
    <mergeCell ref="M62:O62"/>
    <mergeCell ref="M63:O63"/>
    <mergeCell ref="K51:L51"/>
    <mergeCell ref="M51:O51"/>
    <mergeCell ref="K52:L52"/>
    <mergeCell ref="M52:O52"/>
    <mergeCell ref="K56:L56"/>
    <mergeCell ref="K57:L57"/>
    <mergeCell ref="K58:L58"/>
    <mergeCell ref="K59:L59"/>
    <mergeCell ref="K60:L60"/>
    <mergeCell ref="K53:L53"/>
    <mergeCell ref="M53:O53"/>
    <mergeCell ref="K54:L54"/>
    <mergeCell ref="M54:O54"/>
    <mergeCell ref="K55:L55"/>
    <mergeCell ref="M55:O55"/>
    <mergeCell ref="M56:O56"/>
    <mergeCell ref="F48:F50"/>
    <mergeCell ref="G48:G50"/>
    <mergeCell ref="H48:H50"/>
    <mergeCell ref="I48:I50"/>
    <mergeCell ref="J48:J50"/>
    <mergeCell ref="K48:L50"/>
    <mergeCell ref="Q48:R50"/>
    <mergeCell ref="M48:P48"/>
    <mergeCell ref="M49:O50"/>
    <mergeCell ref="P49:P50"/>
    <mergeCell ref="M31:O31"/>
    <mergeCell ref="Q31:R31"/>
    <mergeCell ref="M32:O32"/>
    <mergeCell ref="A33:A36"/>
    <mergeCell ref="B33:B36"/>
    <mergeCell ref="C33:C36"/>
    <mergeCell ref="K33:O34"/>
    <mergeCell ref="N35:O36"/>
    <mergeCell ref="E33:J34"/>
    <mergeCell ref="E35:E36"/>
    <mergeCell ref="F35:F36"/>
    <mergeCell ref="G35:G36"/>
    <mergeCell ref="H35:H36"/>
    <mergeCell ref="I35:I36"/>
    <mergeCell ref="J35:J36"/>
    <mergeCell ref="D33:D36"/>
    <mergeCell ref="L44:M44"/>
    <mergeCell ref="N44:O44"/>
    <mergeCell ref="L45:M45"/>
    <mergeCell ref="N45:O45"/>
    <mergeCell ref="L39:M39"/>
    <mergeCell ref="L40:M40"/>
    <mergeCell ref="N40:O40"/>
    <mergeCell ref="L41:M41"/>
    <mergeCell ref="N41:O41"/>
    <mergeCell ref="L42:M42"/>
    <mergeCell ref="N42:O42"/>
    <mergeCell ref="K35:K36"/>
    <mergeCell ref="L35:M36"/>
    <mergeCell ref="L37:M37"/>
    <mergeCell ref="N37:O37"/>
    <mergeCell ref="L38:M38"/>
    <mergeCell ref="N38:O38"/>
    <mergeCell ref="N39:O39"/>
    <mergeCell ref="L43:M43"/>
    <mergeCell ref="N43:O43"/>
    <mergeCell ref="C22:C23"/>
    <mergeCell ref="D22:D23"/>
    <mergeCell ref="E22:E23"/>
    <mergeCell ref="F22:F23"/>
    <mergeCell ref="G22:G23"/>
    <mergeCell ref="H22:H23"/>
    <mergeCell ref="K13:L13"/>
    <mergeCell ref="K14:L14"/>
    <mergeCell ref="K15:L15"/>
    <mergeCell ref="K16:L16"/>
    <mergeCell ref="K17:L17"/>
    <mergeCell ref="K18:L18"/>
    <mergeCell ref="K19:L19"/>
    <mergeCell ref="I8:I10"/>
    <mergeCell ref="M14:N14"/>
    <mergeCell ref="M15:N15"/>
    <mergeCell ref="M16:N16"/>
    <mergeCell ref="M17:N17"/>
    <mergeCell ref="M18:N18"/>
    <mergeCell ref="M19:N19"/>
    <mergeCell ref="K6:L10"/>
    <mergeCell ref="M6:N10"/>
    <mergeCell ref="K11:L11"/>
    <mergeCell ref="M11:N11"/>
    <mergeCell ref="K12:L12"/>
    <mergeCell ref="M12:N12"/>
    <mergeCell ref="M13:N13"/>
    <mergeCell ref="K31:L31"/>
    <mergeCell ref="K32:L32"/>
    <mergeCell ref="K24:L24"/>
    <mergeCell ref="K25:L25"/>
    <mergeCell ref="K26:L26"/>
    <mergeCell ref="K27:L27"/>
    <mergeCell ref="K28:L28"/>
    <mergeCell ref="K29:L29"/>
    <mergeCell ref="K30:L30"/>
    <mergeCell ref="Q16:R16"/>
    <mergeCell ref="Q17:R17"/>
    <mergeCell ref="Q18:R18"/>
    <mergeCell ref="Q19:R19"/>
    <mergeCell ref="Q5:R5"/>
    <mergeCell ref="Q6:R10"/>
    <mergeCell ref="Q11:R11"/>
    <mergeCell ref="Q12:R12"/>
    <mergeCell ref="Q13:R13"/>
    <mergeCell ref="Q14:R14"/>
    <mergeCell ref="Q15:R15"/>
    <mergeCell ref="A1:R1"/>
    <mergeCell ref="K3:L3"/>
    <mergeCell ref="M3:N3"/>
    <mergeCell ref="Q3:R3"/>
    <mergeCell ref="K4:L4"/>
    <mergeCell ref="M4:N4"/>
    <mergeCell ref="Q4:R4"/>
    <mergeCell ref="A8:A10"/>
    <mergeCell ref="B8:B10"/>
    <mergeCell ref="C8:C10"/>
    <mergeCell ref="D8:D10"/>
    <mergeCell ref="E8:E10"/>
    <mergeCell ref="F8:F10"/>
    <mergeCell ref="G8:G10"/>
    <mergeCell ref="H8:H10"/>
    <mergeCell ref="O6:P7"/>
    <mergeCell ref="O8:O10"/>
    <mergeCell ref="P8:P10"/>
    <mergeCell ref="K5:L5"/>
    <mergeCell ref="M5:N5"/>
    <mergeCell ref="A6:B7"/>
    <mergeCell ref="C6:E7"/>
    <mergeCell ref="F6:I7"/>
    <mergeCell ref="J6:J10"/>
  </mergeCells>
  <conditionalFormatting sqref="B24:G32 B37:C45 C51:P59 E37:J45 F11:J19 I24:J32 O11:R19 P37:R45 Q24:R32">
    <cfRule type="cellIs" dxfId="11" priority="1" stopIfTrue="1" operator="lessThan">
      <formula>0</formula>
    </cfRule>
  </conditionalFormatting>
  <conditionalFormatting sqref="C11:D19">
    <cfRule type="cellIs" dxfId="10" priority="2" stopIfTrue="1" operator="lessThan">
      <formula>0</formula>
    </cfRule>
  </conditionalFormatting>
  <conditionalFormatting sqref="Q11:R19">
    <cfRule type="cellIs" dxfId="9" priority="3" stopIfTrue="1" operator="lessThan">
      <formula>0</formula>
    </cfRule>
  </conditionalFormatting>
  <conditionalFormatting sqref="A4">
    <cfRule type="cellIs" dxfId="8" priority="4" stopIfTrue="1" operator="equal">
      <formula>"erro"</formula>
    </cfRule>
  </conditionalFormatting>
  <pageMargins left="0.78740157480314965" right="0.51181102362204722" top="0.94488188976377963" bottom="0.55118110236220474" header="0" footer="0"/>
  <pageSetup orientation="portrait"/>
  <rowBreaks count="1" manualBreakCount="1">
    <brk id="60" man="1"/>
  </rowBreaks>
  <colBreaks count="1" manualBreakCount="1">
    <brk id="18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 x14ac:dyDescent="0.3"/>
  <cols>
    <col min="1" max="1" width="8" customWidth="1"/>
    <col min="2" max="2" width="7" customWidth="1"/>
    <col min="3" max="3" width="6.33203125" customWidth="1"/>
    <col min="4" max="4" width="5.109375" customWidth="1"/>
    <col min="5" max="5" width="5.33203125" customWidth="1"/>
    <col min="6" max="6" width="5.6640625" customWidth="1"/>
    <col min="7" max="7" width="5.88671875" customWidth="1"/>
    <col min="8" max="8" width="6.109375" customWidth="1"/>
    <col min="9" max="9" width="5.88671875" customWidth="1"/>
    <col min="10" max="10" width="6.88671875" customWidth="1"/>
    <col min="11" max="11" width="4.6640625" customWidth="1"/>
    <col min="12" max="12" width="1.109375" customWidth="1"/>
    <col min="13" max="13" width="3.88671875" customWidth="1"/>
    <col min="14" max="14" width="2.44140625" customWidth="1"/>
    <col min="15" max="15" width="4.109375" customWidth="1"/>
    <col min="16" max="16" width="7" customWidth="1"/>
    <col min="17" max="17" width="2.33203125" customWidth="1"/>
    <col min="18" max="18" width="6.109375" customWidth="1"/>
    <col min="19" max="21" width="11.44140625" hidden="1" customWidth="1"/>
    <col min="22" max="26" width="11.44140625" customWidth="1"/>
  </cols>
  <sheetData>
    <row r="1" spans="1:26" ht="12" customHeight="1" x14ac:dyDescent="0.3">
      <c r="A1" s="118" t="s">
        <v>89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50"/>
      <c r="T1" s="50"/>
      <c r="U1" s="50"/>
      <c r="V1" s="51"/>
      <c r="W1" s="51"/>
      <c r="X1" s="52"/>
      <c r="Y1" s="52"/>
      <c r="Z1" s="52"/>
    </row>
    <row r="2" spans="1:26" ht="5.25" customHeight="1" x14ac:dyDescent="0.3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50"/>
      <c r="T2" s="50"/>
      <c r="U2" s="50"/>
      <c r="V2" s="51"/>
      <c r="W2" s="51"/>
      <c r="X2" s="52"/>
      <c r="Y2" s="52"/>
      <c r="Z2" s="52"/>
    </row>
    <row r="3" spans="1:26" ht="12" customHeight="1" x14ac:dyDescent="0.3">
      <c r="A3" s="53" t="s">
        <v>327</v>
      </c>
      <c r="B3" s="54"/>
      <c r="C3" s="54"/>
      <c r="D3" s="55"/>
      <c r="E3" s="55"/>
      <c r="F3" s="55"/>
      <c r="G3" s="55"/>
      <c r="H3" s="55"/>
      <c r="I3" s="55"/>
      <c r="J3" s="55"/>
      <c r="K3" s="119"/>
      <c r="L3" s="108"/>
      <c r="M3" s="119"/>
      <c r="N3" s="108"/>
      <c r="O3" s="55"/>
      <c r="P3" s="55"/>
      <c r="Q3" s="119"/>
      <c r="R3" s="108"/>
      <c r="S3" s="56"/>
      <c r="T3" s="56"/>
      <c r="U3" s="56"/>
      <c r="V3" s="57"/>
      <c r="W3" s="57"/>
      <c r="X3" s="58"/>
      <c r="Y3" s="58"/>
      <c r="Z3" s="58"/>
    </row>
    <row r="4" spans="1:26" ht="12" customHeight="1" x14ac:dyDescent="0.3">
      <c r="A4" s="59" t="s">
        <v>328</v>
      </c>
      <c r="B4" s="60"/>
      <c r="C4" s="60"/>
      <c r="D4" s="61"/>
      <c r="E4" s="61"/>
      <c r="F4" s="61"/>
      <c r="G4" s="61"/>
      <c r="H4" s="61"/>
      <c r="I4" s="61"/>
      <c r="J4" s="61"/>
      <c r="K4" s="120"/>
      <c r="L4" s="108"/>
      <c r="M4" s="120"/>
      <c r="N4" s="108"/>
      <c r="O4" s="61"/>
      <c r="P4" s="61"/>
      <c r="Q4" s="120"/>
      <c r="R4" s="108"/>
      <c r="S4" s="56"/>
      <c r="T4" s="56"/>
      <c r="U4" s="56"/>
      <c r="V4" s="57"/>
      <c r="W4" s="57"/>
      <c r="X4" s="58"/>
      <c r="Y4" s="58"/>
      <c r="Z4" s="58"/>
    </row>
    <row r="5" spans="1:26" ht="12" customHeight="1" x14ac:dyDescent="0.3">
      <c r="A5" s="53" t="s">
        <v>92</v>
      </c>
      <c r="B5" s="61"/>
      <c r="C5" s="61"/>
      <c r="D5" s="61"/>
      <c r="E5" s="61"/>
      <c r="F5" s="61"/>
      <c r="G5" s="61"/>
      <c r="H5" s="61"/>
      <c r="I5" s="61"/>
      <c r="J5" s="61"/>
      <c r="K5" s="120"/>
      <c r="L5" s="108"/>
      <c r="M5" s="120"/>
      <c r="N5" s="108"/>
      <c r="O5" s="60"/>
      <c r="P5" s="60"/>
      <c r="Q5" s="132"/>
      <c r="R5" s="126"/>
      <c r="S5" s="56"/>
      <c r="T5" s="56"/>
      <c r="U5" s="56"/>
      <c r="V5" s="57"/>
      <c r="W5" s="57"/>
      <c r="X5" s="58"/>
      <c r="Y5" s="58"/>
      <c r="Z5" s="58"/>
    </row>
    <row r="6" spans="1:26" ht="12" customHeight="1" x14ac:dyDescent="0.3">
      <c r="A6" s="133" t="s">
        <v>93</v>
      </c>
      <c r="B6" s="125"/>
      <c r="C6" s="133" t="s">
        <v>329</v>
      </c>
      <c r="D6" s="138"/>
      <c r="E6" s="125"/>
      <c r="F6" s="133" t="s">
        <v>330</v>
      </c>
      <c r="G6" s="138"/>
      <c r="H6" s="138"/>
      <c r="I6" s="125"/>
      <c r="J6" s="121" t="s">
        <v>331</v>
      </c>
      <c r="K6" s="133" t="s">
        <v>332</v>
      </c>
      <c r="L6" s="125"/>
      <c r="M6" s="133" t="s">
        <v>98</v>
      </c>
      <c r="N6" s="125"/>
      <c r="O6" s="124" t="s">
        <v>333</v>
      </c>
      <c r="P6" s="125"/>
      <c r="Q6" s="133" t="s">
        <v>334</v>
      </c>
      <c r="R6" s="125"/>
      <c r="S6" s="50"/>
      <c r="T6" s="50"/>
      <c r="U6" s="50"/>
      <c r="V6" s="51"/>
      <c r="W6" s="51"/>
      <c r="X6" s="52"/>
      <c r="Y6" s="52"/>
      <c r="Z6" s="52"/>
    </row>
    <row r="7" spans="1:26" ht="19.5" customHeight="1" x14ac:dyDescent="0.3">
      <c r="A7" s="135"/>
      <c r="B7" s="127"/>
      <c r="C7" s="135"/>
      <c r="D7" s="126"/>
      <c r="E7" s="127"/>
      <c r="F7" s="135"/>
      <c r="G7" s="126"/>
      <c r="H7" s="126"/>
      <c r="I7" s="127"/>
      <c r="J7" s="122"/>
      <c r="K7" s="134"/>
      <c r="L7" s="129"/>
      <c r="M7" s="134"/>
      <c r="N7" s="129"/>
      <c r="O7" s="126"/>
      <c r="P7" s="127"/>
      <c r="Q7" s="134"/>
      <c r="R7" s="129"/>
      <c r="S7" s="62"/>
      <c r="T7" s="50"/>
      <c r="U7" s="50"/>
      <c r="V7" s="51"/>
      <c r="W7" s="51"/>
      <c r="X7" s="52"/>
      <c r="Y7" s="52"/>
      <c r="Z7" s="52"/>
    </row>
    <row r="8" spans="1:26" ht="12" customHeight="1" x14ac:dyDescent="0.3">
      <c r="A8" s="121" t="s">
        <v>101</v>
      </c>
      <c r="B8" s="121" t="s">
        <v>335</v>
      </c>
      <c r="C8" s="121" t="s">
        <v>336</v>
      </c>
      <c r="D8" s="121" t="s">
        <v>337</v>
      </c>
      <c r="E8" s="121" t="s">
        <v>338</v>
      </c>
      <c r="F8" s="121" t="s">
        <v>339</v>
      </c>
      <c r="G8" s="121" t="s">
        <v>340</v>
      </c>
      <c r="H8" s="121" t="s">
        <v>341</v>
      </c>
      <c r="I8" s="121" t="s">
        <v>342</v>
      </c>
      <c r="J8" s="122"/>
      <c r="K8" s="134"/>
      <c r="L8" s="129"/>
      <c r="M8" s="134"/>
      <c r="N8" s="129"/>
      <c r="O8" s="128" t="s">
        <v>110</v>
      </c>
      <c r="P8" s="121" t="s">
        <v>111</v>
      </c>
      <c r="Q8" s="134"/>
      <c r="R8" s="129"/>
      <c r="S8" s="62"/>
      <c r="T8" s="62"/>
      <c r="U8" s="62"/>
      <c r="V8" s="51"/>
      <c r="W8" s="51"/>
      <c r="X8" s="52"/>
      <c r="Y8" s="52"/>
      <c r="Z8" s="52"/>
    </row>
    <row r="9" spans="1:26" ht="12" customHeight="1" x14ac:dyDescent="0.3">
      <c r="A9" s="122"/>
      <c r="B9" s="122"/>
      <c r="C9" s="122"/>
      <c r="D9" s="122"/>
      <c r="E9" s="122"/>
      <c r="F9" s="122"/>
      <c r="G9" s="122"/>
      <c r="H9" s="122"/>
      <c r="I9" s="122"/>
      <c r="J9" s="122"/>
      <c r="K9" s="134"/>
      <c r="L9" s="129"/>
      <c r="M9" s="134"/>
      <c r="N9" s="129"/>
      <c r="O9" s="129"/>
      <c r="P9" s="122"/>
      <c r="Q9" s="134"/>
      <c r="R9" s="129"/>
      <c r="S9" s="62"/>
      <c r="T9" s="50"/>
      <c r="U9" s="62"/>
      <c r="V9" s="51"/>
      <c r="W9" s="51"/>
      <c r="X9" s="52"/>
      <c r="Y9" s="52"/>
      <c r="Z9" s="63"/>
    </row>
    <row r="10" spans="1:26" ht="14.25" customHeight="1" x14ac:dyDescent="0.3">
      <c r="A10" s="123"/>
      <c r="B10" s="123"/>
      <c r="C10" s="123"/>
      <c r="D10" s="123"/>
      <c r="E10" s="123"/>
      <c r="F10" s="123"/>
      <c r="G10" s="123"/>
      <c r="H10" s="123"/>
      <c r="I10" s="123"/>
      <c r="J10" s="123"/>
      <c r="K10" s="135"/>
      <c r="L10" s="127"/>
      <c r="M10" s="135"/>
      <c r="N10" s="127"/>
      <c r="O10" s="127"/>
      <c r="P10" s="123"/>
      <c r="Q10" s="135"/>
      <c r="R10" s="127"/>
      <c r="S10" s="50" t="s">
        <v>112</v>
      </c>
      <c r="T10" s="50" t="s">
        <v>112</v>
      </c>
      <c r="U10" s="50" t="s">
        <v>112</v>
      </c>
      <c r="V10" s="51"/>
      <c r="W10" s="51"/>
      <c r="X10" s="52"/>
      <c r="Y10" s="52"/>
      <c r="Z10" s="63"/>
    </row>
    <row r="11" spans="1:26" ht="12" customHeight="1" x14ac:dyDescent="0.3">
      <c r="A11" s="64" t="s">
        <v>77</v>
      </c>
      <c r="B11" s="65" t="s">
        <v>113</v>
      </c>
      <c r="C11" s="66" t="s">
        <v>114</v>
      </c>
      <c r="D11" s="67" t="s">
        <v>114</v>
      </c>
      <c r="E11" s="66" t="s">
        <v>114</v>
      </c>
      <c r="F11" s="67">
        <v>381</v>
      </c>
      <c r="G11" s="66">
        <v>200</v>
      </c>
      <c r="H11" s="67">
        <v>154</v>
      </c>
      <c r="I11" s="66">
        <v>265</v>
      </c>
      <c r="J11" s="68" t="s">
        <v>114</v>
      </c>
      <c r="K11" s="130" t="s">
        <v>114</v>
      </c>
      <c r="L11" s="108"/>
      <c r="M11" s="141">
        <v>0.57999999999999996</v>
      </c>
      <c r="N11" s="129"/>
      <c r="O11" s="70" t="s">
        <v>114</v>
      </c>
      <c r="P11" s="71" t="s">
        <v>114</v>
      </c>
      <c r="Q11" s="136" t="s">
        <v>114</v>
      </c>
      <c r="R11" s="125"/>
      <c r="S11" s="72">
        <v>1</v>
      </c>
      <c r="T11" s="72" t="s">
        <v>84</v>
      </c>
      <c r="U11" s="72" t="s">
        <v>84</v>
      </c>
      <c r="V11" s="73" t="s">
        <v>84</v>
      </c>
      <c r="W11" s="74"/>
      <c r="X11" s="52"/>
      <c r="Y11" s="52"/>
      <c r="Z11" s="63"/>
    </row>
    <row r="12" spans="1:26" ht="12" customHeight="1" x14ac:dyDescent="0.3">
      <c r="A12" s="98" t="s">
        <v>81</v>
      </c>
      <c r="B12" s="76" t="s">
        <v>115</v>
      </c>
      <c r="C12" s="66" t="s">
        <v>114</v>
      </c>
      <c r="D12" s="77" t="s">
        <v>114</v>
      </c>
      <c r="E12" s="77" t="s">
        <v>114</v>
      </c>
      <c r="F12" s="66">
        <v>421</v>
      </c>
      <c r="G12" s="77">
        <v>157</v>
      </c>
      <c r="H12" s="66">
        <v>157</v>
      </c>
      <c r="I12" s="77">
        <v>265</v>
      </c>
      <c r="J12" s="66" t="s">
        <v>114</v>
      </c>
      <c r="K12" s="130" t="s">
        <v>114</v>
      </c>
      <c r="L12" s="129"/>
      <c r="M12" s="139">
        <v>0.59</v>
      </c>
      <c r="N12" s="108"/>
      <c r="O12" s="79" t="s">
        <v>114</v>
      </c>
      <c r="P12" s="78" t="s">
        <v>114</v>
      </c>
      <c r="Q12" s="130" t="s">
        <v>114</v>
      </c>
      <c r="R12" s="129"/>
      <c r="S12" s="72">
        <v>1</v>
      </c>
      <c r="T12" s="72" t="s">
        <v>84</v>
      </c>
      <c r="U12" s="72" t="s">
        <v>84</v>
      </c>
      <c r="V12" s="73" t="s">
        <v>84</v>
      </c>
      <c r="W12" s="51"/>
      <c r="X12" s="52"/>
      <c r="Y12" s="52"/>
      <c r="Z12" s="63"/>
    </row>
    <row r="13" spans="1:26" ht="12" customHeight="1" x14ac:dyDescent="0.3">
      <c r="A13" s="96" t="s">
        <v>114</v>
      </c>
      <c r="B13" s="76" t="s">
        <v>114</v>
      </c>
      <c r="C13" s="66" t="s">
        <v>114</v>
      </c>
      <c r="D13" s="77" t="s">
        <v>114</v>
      </c>
      <c r="E13" s="77" t="s">
        <v>114</v>
      </c>
      <c r="F13" s="66" t="s">
        <v>114</v>
      </c>
      <c r="G13" s="77" t="s">
        <v>114</v>
      </c>
      <c r="H13" s="66" t="s">
        <v>114</v>
      </c>
      <c r="I13" s="77" t="s">
        <v>114</v>
      </c>
      <c r="J13" s="66" t="s">
        <v>114</v>
      </c>
      <c r="K13" s="130" t="s">
        <v>114</v>
      </c>
      <c r="L13" s="129"/>
      <c r="M13" s="139" t="s">
        <v>114</v>
      </c>
      <c r="N13" s="108"/>
      <c r="O13" s="79" t="s">
        <v>114</v>
      </c>
      <c r="P13" s="78" t="s">
        <v>114</v>
      </c>
      <c r="Q13" s="130" t="s">
        <v>114</v>
      </c>
      <c r="R13" s="129"/>
      <c r="S13" s="72" t="s">
        <v>114</v>
      </c>
      <c r="T13" s="72" t="s">
        <v>114</v>
      </c>
      <c r="U13" s="72" t="s">
        <v>114</v>
      </c>
      <c r="V13" s="73" t="s">
        <v>114</v>
      </c>
      <c r="W13" s="51"/>
      <c r="X13" s="52"/>
      <c r="Y13" s="52"/>
      <c r="Z13" s="63"/>
    </row>
    <row r="14" spans="1:26" ht="12" customHeight="1" x14ac:dyDescent="0.3">
      <c r="A14" s="96" t="s">
        <v>114</v>
      </c>
      <c r="B14" s="76" t="s">
        <v>114</v>
      </c>
      <c r="C14" s="66" t="s">
        <v>114</v>
      </c>
      <c r="D14" s="77" t="s">
        <v>114</v>
      </c>
      <c r="E14" s="77" t="s">
        <v>114</v>
      </c>
      <c r="F14" s="66" t="s">
        <v>114</v>
      </c>
      <c r="G14" s="77" t="s">
        <v>114</v>
      </c>
      <c r="H14" s="66" t="s">
        <v>114</v>
      </c>
      <c r="I14" s="77" t="s">
        <v>114</v>
      </c>
      <c r="J14" s="66" t="s">
        <v>114</v>
      </c>
      <c r="K14" s="130" t="s">
        <v>114</v>
      </c>
      <c r="L14" s="129"/>
      <c r="M14" s="139" t="s">
        <v>114</v>
      </c>
      <c r="N14" s="108"/>
      <c r="O14" s="79" t="s">
        <v>114</v>
      </c>
      <c r="P14" s="78" t="s">
        <v>114</v>
      </c>
      <c r="Q14" s="130" t="s">
        <v>114</v>
      </c>
      <c r="R14" s="129"/>
      <c r="S14" s="72" t="s">
        <v>114</v>
      </c>
      <c r="T14" s="72" t="s">
        <v>114</v>
      </c>
      <c r="U14" s="72" t="s">
        <v>114</v>
      </c>
      <c r="V14" s="73" t="s">
        <v>114</v>
      </c>
      <c r="W14" s="51"/>
      <c r="X14" s="52"/>
      <c r="Y14" s="52"/>
      <c r="Z14" s="63"/>
    </row>
    <row r="15" spans="1:26" ht="12" customHeight="1" x14ac:dyDescent="0.3">
      <c r="A15" s="96" t="s">
        <v>114</v>
      </c>
      <c r="B15" s="76" t="s">
        <v>114</v>
      </c>
      <c r="C15" s="66" t="s">
        <v>114</v>
      </c>
      <c r="D15" s="77" t="s">
        <v>114</v>
      </c>
      <c r="E15" s="77" t="s">
        <v>114</v>
      </c>
      <c r="F15" s="66" t="s">
        <v>114</v>
      </c>
      <c r="G15" s="77" t="s">
        <v>114</v>
      </c>
      <c r="H15" s="66" t="s">
        <v>114</v>
      </c>
      <c r="I15" s="77" t="s">
        <v>114</v>
      </c>
      <c r="J15" s="66" t="s">
        <v>114</v>
      </c>
      <c r="K15" s="130" t="s">
        <v>114</v>
      </c>
      <c r="L15" s="129"/>
      <c r="M15" s="139" t="s">
        <v>114</v>
      </c>
      <c r="N15" s="108"/>
      <c r="O15" s="79" t="s">
        <v>114</v>
      </c>
      <c r="P15" s="78" t="s">
        <v>114</v>
      </c>
      <c r="Q15" s="130" t="s">
        <v>114</v>
      </c>
      <c r="R15" s="129"/>
      <c r="S15" s="72" t="s">
        <v>114</v>
      </c>
      <c r="T15" s="72" t="s">
        <v>114</v>
      </c>
      <c r="U15" s="72" t="s">
        <v>114</v>
      </c>
      <c r="V15" s="73" t="s">
        <v>114</v>
      </c>
      <c r="W15" s="51"/>
      <c r="X15" s="52"/>
      <c r="Y15" s="52"/>
      <c r="Z15" s="63"/>
    </row>
    <row r="16" spans="1:26" ht="12" customHeight="1" x14ac:dyDescent="0.3">
      <c r="A16" s="96" t="s">
        <v>114</v>
      </c>
      <c r="B16" s="76" t="s">
        <v>114</v>
      </c>
      <c r="C16" s="66" t="s">
        <v>114</v>
      </c>
      <c r="D16" s="77" t="s">
        <v>114</v>
      </c>
      <c r="E16" s="77" t="s">
        <v>114</v>
      </c>
      <c r="F16" s="66" t="s">
        <v>114</v>
      </c>
      <c r="G16" s="77" t="s">
        <v>114</v>
      </c>
      <c r="H16" s="66" t="s">
        <v>114</v>
      </c>
      <c r="I16" s="77" t="s">
        <v>114</v>
      </c>
      <c r="J16" s="66" t="s">
        <v>114</v>
      </c>
      <c r="K16" s="130" t="s">
        <v>114</v>
      </c>
      <c r="L16" s="129"/>
      <c r="M16" s="139" t="s">
        <v>114</v>
      </c>
      <c r="N16" s="108"/>
      <c r="O16" s="79" t="s">
        <v>114</v>
      </c>
      <c r="P16" s="78" t="s">
        <v>114</v>
      </c>
      <c r="Q16" s="130" t="s">
        <v>114</v>
      </c>
      <c r="R16" s="129"/>
      <c r="S16" s="72" t="s">
        <v>114</v>
      </c>
      <c r="T16" s="72" t="s">
        <v>114</v>
      </c>
      <c r="U16" s="72" t="s">
        <v>114</v>
      </c>
      <c r="V16" s="73" t="s">
        <v>114</v>
      </c>
      <c r="W16" s="51"/>
      <c r="X16" s="52"/>
      <c r="Y16" s="52"/>
      <c r="Z16" s="63"/>
    </row>
    <row r="17" spans="1:26" ht="12" customHeight="1" x14ac:dyDescent="0.3">
      <c r="A17" s="96" t="s">
        <v>114</v>
      </c>
      <c r="B17" s="76" t="s">
        <v>114</v>
      </c>
      <c r="C17" s="78" t="s">
        <v>114</v>
      </c>
      <c r="D17" s="79" t="s">
        <v>114</v>
      </c>
      <c r="E17" s="79" t="s">
        <v>114</v>
      </c>
      <c r="F17" s="78" t="s">
        <v>114</v>
      </c>
      <c r="G17" s="79" t="s">
        <v>114</v>
      </c>
      <c r="H17" s="78" t="s">
        <v>114</v>
      </c>
      <c r="I17" s="79" t="s">
        <v>114</v>
      </c>
      <c r="J17" s="78" t="s">
        <v>114</v>
      </c>
      <c r="K17" s="130" t="s">
        <v>114</v>
      </c>
      <c r="L17" s="129"/>
      <c r="M17" s="139" t="s">
        <v>114</v>
      </c>
      <c r="N17" s="108"/>
      <c r="O17" s="79" t="s">
        <v>114</v>
      </c>
      <c r="P17" s="78" t="s">
        <v>114</v>
      </c>
      <c r="Q17" s="130" t="s">
        <v>114</v>
      </c>
      <c r="R17" s="129"/>
      <c r="S17" s="72" t="s">
        <v>114</v>
      </c>
      <c r="T17" s="72" t="s">
        <v>114</v>
      </c>
      <c r="U17" s="72" t="s">
        <v>114</v>
      </c>
      <c r="V17" s="73" t="s">
        <v>114</v>
      </c>
      <c r="W17" s="51"/>
      <c r="X17" s="52"/>
      <c r="Y17" s="52"/>
      <c r="Z17" s="63"/>
    </row>
    <row r="18" spans="1:26" ht="12" customHeight="1" x14ac:dyDescent="0.3">
      <c r="A18" s="96" t="s">
        <v>114</v>
      </c>
      <c r="B18" s="76" t="s">
        <v>114</v>
      </c>
      <c r="C18" s="78" t="s">
        <v>114</v>
      </c>
      <c r="D18" s="79" t="s">
        <v>114</v>
      </c>
      <c r="E18" s="79" t="s">
        <v>114</v>
      </c>
      <c r="F18" s="78" t="s">
        <v>114</v>
      </c>
      <c r="G18" s="79" t="s">
        <v>114</v>
      </c>
      <c r="H18" s="78" t="s">
        <v>114</v>
      </c>
      <c r="I18" s="79" t="s">
        <v>114</v>
      </c>
      <c r="J18" s="78" t="s">
        <v>114</v>
      </c>
      <c r="K18" s="130" t="s">
        <v>114</v>
      </c>
      <c r="L18" s="129"/>
      <c r="M18" s="139" t="s">
        <v>114</v>
      </c>
      <c r="N18" s="108"/>
      <c r="O18" s="79" t="s">
        <v>114</v>
      </c>
      <c r="P18" s="78" t="s">
        <v>114</v>
      </c>
      <c r="Q18" s="130" t="s">
        <v>114</v>
      </c>
      <c r="R18" s="129"/>
      <c r="S18" s="72" t="s">
        <v>114</v>
      </c>
      <c r="T18" s="72" t="s">
        <v>114</v>
      </c>
      <c r="U18" s="72" t="s">
        <v>114</v>
      </c>
      <c r="V18" s="73" t="s">
        <v>114</v>
      </c>
      <c r="W18" s="51"/>
      <c r="X18" s="52"/>
      <c r="Y18" s="52"/>
      <c r="Z18" s="63"/>
    </row>
    <row r="19" spans="1:26" ht="12" customHeight="1" x14ac:dyDescent="0.3">
      <c r="A19" s="81" t="s">
        <v>114</v>
      </c>
      <c r="B19" s="82" t="s">
        <v>114</v>
      </c>
      <c r="C19" s="83" t="s">
        <v>114</v>
      </c>
      <c r="D19" s="84" t="s">
        <v>114</v>
      </c>
      <c r="E19" s="83" t="s">
        <v>114</v>
      </c>
      <c r="F19" s="84" t="s">
        <v>114</v>
      </c>
      <c r="G19" s="83" t="s">
        <v>114</v>
      </c>
      <c r="H19" s="84" t="s">
        <v>114</v>
      </c>
      <c r="I19" s="83" t="s">
        <v>114</v>
      </c>
      <c r="J19" s="85" t="s">
        <v>114</v>
      </c>
      <c r="K19" s="131" t="s">
        <v>114</v>
      </c>
      <c r="L19" s="126"/>
      <c r="M19" s="140" t="s">
        <v>114</v>
      </c>
      <c r="N19" s="127"/>
      <c r="O19" s="86" t="s">
        <v>114</v>
      </c>
      <c r="P19" s="84" t="s">
        <v>114</v>
      </c>
      <c r="Q19" s="131" t="s">
        <v>114</v>
      </c>
      <c r="R19" s="127"/>
      <c r="S19" s="72" t="s">
        <v>114</v>
      </c>
      <c r="T19" s="72" t="s">
        <v>114</v>
      </c>
      <c r="U19" s="72" t="s">
        <v>114</v>
      </c>
      <c r="V19" s="73" t="s">
        <v>114</v>
      </c>
      <c r="W19" s="51"/>
      <c r="X19" s="52"/>
      <c r="Y19" s="52"/>
      <c r="Z19" s="63"/>
    </row>
    <row r="20" spans="1:26" ht="12" customHeight="1" x14ac:dyDescent="0.3">
      <c r="A20" s="121" t="s">
        <v>93</v>
      </c>
      <c r="B20" s="141" t="s">
        <v>343</v>
      </c>
      <c r="C20" s="129"/>
      <c r="D20" s="141" t="s">
        <v>344</v>
      </c>
      <c r="E20" s="108"/>
      <c r="F20" s="108"/>
      <c r="G20" s="108"/>
      <c r="H20" s="108"/>
      <c r="I20" s="108"/>
      <c r="J20" s="108"/>
      <c r="K20" s="108"/>
      <c r="L20" s="129"/>
      <c r="M20" s="141" t="s">
        <v>345</v>
      </c>
      <c r="N20" s="108"/>
      <c r="O20" s="129"/>
      <c r="P20" s="152" t="s">
        <v>346</v>
      </c>
      <c r="Q20" s="141" t="s">
        <v>347</v>
      </c>
      <c r="R20" s="129"/>
      <c r="S20" s="50"/>
      <c r="T20" s="50"/>
      <c r="U20" s="62"/>
      <c r="V20" s="51"/>
      <c r="W20" s="51"/>
      <c r="X20" s="52"/>
      <c r="Y20" s="52"/>
      <c r="Z20" s="63"/>
    </row>
    <row r="21" spans="1:26" ht="9.75" customHeight="1" x14ac:dyDescent="0.3">
      <c r="A21" s="122"/>
      <c r="B21" s="135"/>
      <c r="C21" s="127"/>
      <c r="D21" s="135"/>
      <c r="E21" s="126"/>
      <c r="F21" s="126"/>
      <c r="G21" s="126"/>
      <c r="H21" s="126"/>
      <c r="I21" s="126"/>
      <c r="J21" s="126"/>
      <c r="K21" s="126"/>
      <c r="L21" s="127"/>
      <c r="M21" s="134"/>
      <c r="N21" s="108"/>
      <c r="O21" s="129"/>
      <c r="P21" s="122"/>
      <c r="Q21" s="134"/>
      <c r="R21" s="129"/>
      <c r="S21" s="50"/>
      <c r="T21" s="50"/>
      <c r="U21" s="62"/>
      <c r="V21" s="51"/>
      <c r="W21" s="51"/>
      <c r="X21" s="52"/>
      <c r="Y21" s="52"/>
      <c r="Z21" s="52"/>
    </row>
    <row r="22" spans="1:26" ht="9.75" customHeight="1" x14ac:dyDescent="0.3">
      <c r="A22" s="122"/>
      <c r="B22" s="142" t="s">
        <v>121</v>
      </c>
      <c r="C22" s="142" t="s">
        <v>348</v>
      </c>
      <c r="D22" s="142" t="s">
        <v>349</v>
      </c>
      <c r="E22" s="142" t="s">
        <v>350</v>
      </c>
      <c r="F22" s="142" t="s">
        <v>351</v>
      </c>
      <c r="G22" s="142" t="s">
        <v>352</v>
      </c>
      <c r="H22" s="142" t="s">
        <v>353</v>
      </c>
      <c r="I22" s="142" t="s">
        <v>354</v>
      </c>
      <c r="J22" s="142" t="s">
        <v>355</v>
      </c>
      <c r="K22" s="143" t="s">
        <v>130</v>
      </c>
      <c r="L22" s="125"/>
      <c r="M22" s="134"/>
      <c r="N22" s="108"/>
      <c r="O22" s="129"/>
      <c r="P22" s="122"/>
      <c r="Q22" s="134"/>
      <c r="R22" s="129"/>
      <c r="S22" s="50"/>
      <c r="T22" s="50"/>
      <c r="U22" s="50"/>
      <c r="V22" s="51"/>
      <c r="W22" s="51"/>
      <c r="X22" s="52"/>
      <c r="Y22" s="52"/>
      <c r="Z22" s="63"/>
    </row>
    <row r="23" spans="1:26" ht="11.25" customHeight="1" x14ac:dyDescent="0.3">
      <c r="A23" s="123"/>
      <c r="B23" s="123"/>
      <c r="C23" s="123"/>
      <c r="D23" s="123"/>
      <c r="E23" s="123"/>
      <c r="F23" s="123"/>
      <c r="G23" s="123"/>
      <c r="H23" s="123"/>
      <c r="I23" s="123"/>
      <c r="J23" s="123"/>
      <c r="K23" s="135"/>
      <c r="L23" s="127"/>
      <c r="M23" s="135"/>
      <c r="N23" s="126"/>
      <c r="O23" s="127"/>
      <c r="P23" s="123"/>
      <c r="Q23" s="135"/>
      <c r="R23" s="127"/>
      <c r="S23" s="50" t="s">
        <v>112</v>
      </c>
      <c r="T23" s="50" t="s">
        <v>112</v>
      </c>
      <c r="U23" s="50"/>
      <c r="V23" s="51"/>
      <c r="W23" s="51"/>
      <c r="X23" s="52"/>
      <c r="Y23" s="52"/>
      <c r="Z23" s="63"/>
    </row>
    <row r="24" spans="1:26" ht="12" customHeight="1" x14ac:dyDescent="0.3">
      <c r="A24" s="87" t="s">
        <v>77</v>
      </c>
      <c r="B24" s="88">
        <v>5.3</v>
      </c>
      <c r="C24" s="89" t="s">
        <v>114</v>
      </c>
      <c r="D24" s="88">
        <v>1.9</v>
      </c>
      <c r="E24" s="89">
        <v>2.5</v>
      </c>
      <c r="F24" s="79">
        <v>0.52</v>
      </c>
      <c r="G24" s="79">
        <v>0.04</v>
      </c>
      <c r="H24" s="88">
        <v>5</v>
      </c>
      <c r="I24" s="89">
        <v>0.2</v>
      </c>
      <c r="J24" s="88">
        <v>3.9</v>
      </c>
      <c r="K24" s="137">
        <v>9.1</v>
      </c>
      <c r="L24" s="129"/>
      <c r="M24" s="144">
        <v>55</v>
      </c>
      <c r="N24" s="108"/>
      <c r="O24" s="129"/>
      <c r="P24" s="90">
        <v>4</v>
      </c>
      <c r="Q24" s="130">
        <v>3</v>
      </c>
      <c r="R24" s="129"/>
      <c r="S24" s="97">
        <v>5</v>
      </c>
      <c r="T24" s="97">
        <v>5</v>
      </c>
      <c r="U24" s="50"/>
      <c r="V24" s="51" t="s">
        <v>79</v>
      </c>
      <c r="W24" s="51" t="str">
        <f t="shared" ref="W24:W32" si="0">IF(OR(H24="",I24="",I11="",M24=""),"",IF(1000*(H24+I24)/I11&gt;1.5,"",IF(C24&gt;=5,"ácrico",IF(C24-B24&gt;=0,"ácrico",""))))</f>
        <v/>
      </c>
      <c r="X24" s="52"/>
      <c r="Y24" s="52"/>
      <c r="Z24" s="63"/>
    </row>
    <row r="25" spans="1:26" ht="12" customHeight="1" x14ac:dyDescent="0.3">
      <c r="A25" s="87" t="s">
        <v>81</v>
      </c>
      <c r="B25" s="88">
        <v>5.2</v>
      </c>
      <c r="C25" s="89" t="s">
        <v>114</v>
      </c>
      <c r="D25" s="88">
        <v>1.6</v>
      </c>
      <c r="E25" s="89">
        <v>2.2000000000000002</v>
      </c>
      <c r="F25" s="79">
        <v>0.45</v>
      </c>
      <c r="G25" s="79">
        <v>0.04</v>
      </c>
      <c r="H25" s="88">
        <v>4.3</v>
      </c>
      <c r="I25" s="89">
        <v>0.2</v>
      </c>
      <c r="J25" s="88">
        <v>2.8</v>
      </c>
      <c r="K25" s="137">
        <v>7.3</v>
      </c>
      <c r="L25" s="129"/>
      <c r="M25" s="144">
        <v>59</v>
      </c>
      <c r="N25" s="108"/>
      <c r="O25" s="129"/>
      <c r="P25" s="90">
        <v>4</v>
      </c>
      <c r="Q25" s="130">
        <v>2</v>
      </c>
      <c r="R25" s="129"/>
      <c r="S25" s="97">
        <v>4.3</v>
      </c>
      <c r="T25" s="97">
        <v>4.3</v>
      </c>
      <c r="U25" s="50"/>
      <c r="V25" s="51" t="s">
        <v>79</v>
      </c>
      <c r="W25" s="51" t="str">
        <f t="shared" si="0"/>
        <v/>
      </c>
      <c r="X25" s="52"/>
      <c r="Y25" s="52"/>
      <c r="Z25" s="63"/>
    </row>
    <row r="26" spans="1:26" ht="12" customHeight="1" x14ac:dyDescent="0.3">
      <c r="A26" s="91" t="s">
        <v>114</v>
      </c>
      <c r="B26" s="88" t="s">
        <v>114</v>
      </c>
      <c r="C26" s="89" t="s">
        <v>114</v>
      </c>
      <c r="D26" s="88" t="s">
        <v>114</v>
      </c>
      <c r="E26" s="89" t="s">
        <v>114</v>
      </c>
      <c r="F26" s="79" t="s">
        <v>114</v>
      </c>
      <c r="G26" s="79" t="s">
        <v>114</v>
      </c>
      <c r="H26" s="88" t="s">
        <v>114</v>
      </c>
      <c r="I26" s="89" t="s">
        <v>114</v>
      </c>
      <c r="J26" s="88" t="s">
        <v>114</v>
      </c>
      <c r="K26" s="137" t="s">
        <v>114</v>
      </c>
      <c r="L26" s="129"/>
      <c r="M26" s="144" t="s">
        <v>114</v>
      </c>
      <c r="N26" s="108"/>
      <c r="O26" s="129"/>
      <c r="P26" s="90" t="s">
        <v>114</v>
      </c>
      <c r="Q26" s="130" t="s">
        <v>114</v>
      </c>
      <c r="R26" s="129"/>
      <c r="S26" s="50" t="s">
        <v>114</v>
      </c>
      <c r="T26" s="50" t="s">
        <v>114</v>
      </c>
      <c r="U26" s="50"/>
      <c r="V26" s="51" t="s">
        <v>114</v>
      </c>
      <c r="W26" s="51" t="str">
        <f t="shared" si="0"/>
        <v/>
      </c>
      <c r="X26" s="52"/>
      <c r="Y26" s="52"/>
      <c r="Z26" s="63"/>
    </row>
    <row r="27" spans="1:26" ht="12" customHeight="1" x14ac:dyDescent="0.3">
      <c r="A27" s="91" t="s">
        <v>114</v>
      </c>
      <c r="B27" s="88" t="s">
        <v>114</v>
      </c>
      <c r="C27" s="89" t="s">
        <v>114</v>
      </c>
      <c r="D27" s="88" t="s">
        <v>114</v>
      </c>
      <c r="E27" s="89" t="s">
        <v>114</v>
      </c>
      <c r="F27" s="79" t="s">
        <v>114</v>
      </c>
      <c r="G27" s="79" t="s">
        <v>114</v>
      </c>
      <c r="H27" s="88" t="s">
        <v>114</v>
      </c>
      <c r="I27" s="89" t="s">
        <v>114</v>
      </c>
      <c r="J27" s="88" t="s">
        <v>114</v>
      </c>
      <c r="K27" s="137" t="s">
        <v>114</v>
      </c>
      <c r="L27" s="129"/>
      <c r="M27" s="144" t="s">
        <v>114</v>
      </c>
      <c r="N27" s="108"/>
      <c r="O27" s="129"/>
      <c r="P27" s="90" t="s">
        <v>114</v>
      </c>
      <c r="Q27" s="130" t="s">
        <v>114</v>
      </c>
      <c r="R27" s="129"/>
      <c r="S27" s="50" t="s">
        <v>114</v>
      </c>
      <c r="T27" s="50" t="s">
        <v>114</v>
      </c>
      <c r="U27" s="50"/>
      <c r="V27" s="51" t="s">
        <v>114</v>
      </c>
      <c r="W27" s="51" t="str">
        <f t="shared" si="0"/>
        <v/>
      </c>
      <c r="X27" s="52"/>
      <c r="Y27" s="52"/>
      <c r="Z27" s="63"/>
    </row>
    <row r="28" spans="1:26" ht="12" customHeight="1" x14ac:dyDescent="0.3">
      <c r="A28" s="91" t="s">
        <v>114</v>
      </c>
      <c r="B28" s="88" t="s">
        <v>114</v>
      </c>
      <c r="C28" s="89" t="s">
        <v>114</v>
      </c>
      <c r="D28" s="88" t="s">
        <v>114</v>
      </c>
      <c r="E28" s="89" t="s">
        <v>114</v>
      </c>
      <c r="F28" s="79" t="s">
        <v>114</v>
      </c>
      <c r="G28" s="79" t="s">
        <v>114</v>
      </c>
      <c r="H28" s="88" t="s">
        <v>114</v>
      </c>
      <c r="I28" s="89" t="s">
        <v>114</v>
      </c>
      <c r="J28" s="88" t="s">
        <v>114</v>
      </c>
      <c r="K28" s="137" t="s">
        <v>114</v>
      </c>
      <c r="L28" s="129"/>
      <c r="M28" s="144" t="s">
        <v>114</v>
      </c>
      <c r="N28" s="108"/>
      <c r="O28" s="129"/>
      <c r="P28" s="90" t="s">
        <v>114</v>
      </c>
      <c r="Q28" s="130" t="s">
        <v>114</v>
      </c>
      <c r="R28" s="129"/>
      <c r="S28" s="50" t="s">
        <v>114</v>
      </c>
      <c r="T28" s="50" t="s">
        <v>114</v>
      </c>
      <c r="U28" s="50"/>
      <c r="V28" s="51" t="s">
        <v>114</v>
      </c>
      <c r="W28" s="51" t="str">
        <f t="shared" si="0"/>
        <v/>
      </c>
      <c r="X28" s="52"/>
      <c r="Y28" s="52"/>
      <c r="Z28" s="63"/>
    </row>
    <row r="29" spans="1:26" ht="12" customHeight="1" x14ac:dyDescent="0.3">
      <c r="A29" s="91" t="s">
        <v>114</v>
      </c>
      <c r="B29" s="88" t="s">
        <v>114</v>
      </c>
      <c r="C29" s="89" t="s">
        <v>114</v>
      </c>
      <c r="D29" s="88" t="s">
        <v>114</v>
      </c>
      <c r="E29" s="89" t="s">
        <v>114</v>
      </c>
      <c r="F29" s="79" t="s">
        <v>114</v>
      </c>
      <c r="G29" s="79" t="s">
        <v>114</v>
      </c>
      <c r="H29" s="88" t="s">
        <v>114</v>
      </c>
      <c r="I29" s="89" t="s">
        <v>114</v>
      </c>
      <c r="J29" s="88" t="s">
        <v>114</v>
      </c>
      <c r="K29" s="137" t="s">
        <v>114</v>
      </c>
      <c r="L29" s="129"/>
      <c r="M29" s="144" t="s">
        <v>114</v>
      </c>
      <c r="N29" s="108"/>
      <c r="O29" s="129"/>
      <c r="P29" s="90" t="s">
        <v>114</v>
      </c>
      <c r="Q29" s="130" t="s">
        <v>114</v>
      </c>
      <c r="R29" s="129"/>
      <c r="S29" s="50" t="s">
        <v>114</v>
      </c>
      <c r="T29" s="50" t="s">
        <v>114</v>
      </c>
      <c r="U29" s="50"/>
      <c r="V29" s="51" t="s">
        <v>114</v>
      </c>
      <c r="W29" s="51" t="str">
        <f t="shared" si="0"/>
        <v/>
      </c>
      <c r="X29" s="52"/>
      <c r="Y29" s="52"/>
      <c r="Z29" s="63"/>
    </row>
    <row r="30" spans="1:26" ht="12" customHeight="1" x14ac:dyDescent="0.3">
      <c r="A30" s="91" t="s">
        <v>114</v>
      </c>
      <c r="B30" s="88" t="s">
        <v>114</v>
      </c>
      <c r="C30" s="89" t="s">
        <v>114</v>
      </c>
      <c r="D30" s="88" t="s">
        <v>114</v>
      </c>
      <c r="E30" s="89" t="s">
        <v>114</v>
      </c>
      <c r="F30" s="79" t="s">
        <v>114</v>
      </c>
      <c r="G30" s="79" t="s">
        <v>114</v>
      </c>
      <c r="H30" s="88" t="s">
        <v>114</v>
      </c>
      <c r="I30" s="89" t="s">
        <v>114</v>
      </c>
      <c r="J30" s="88" t="s">
        <v>114</v>
      </c>
      <c r="K30" s="137" t="s">
        <v>114</v>
      </c>
      <c r="L30" s="129"/>
      <c r="M30" s="144" t="s">
        <v>114</v>
      </c>
      <c r="N30" s="108"/>
      <c r="O30" s="129"/>
      <c r="P30" s="90" t="s">
        <v>114</v>
      </c>
      <c r="Q30" s="130" t="s">
        <v>114</v>
      </c>
      <c r="R30" s="129"/>
      <c r="S30" s="50" t="s">
        <v>114</v>
      </c>
      <c r="T30" s="50" t="s">
        <v>114</v>
      </c>
      <c r="U30" s="50"/>
      <c r="V30" s="51" t="s">
        <v>114</v>
      </c>
      <c r="W30" s="51" t="str">
        <f t="shared" si="0"/>
        <v/>
      </c>
      <c r="X30" s="52"/>
      <c r="Y30" s="52"/>
      <c r="Z30" s="63"/>
    </row>
    <row r="31" spans="1:26" ht="12" customHeight="1" x14ac:dyDescent="0.3">
      <c r="A31" s="91" t="s">
        <v>114</v>
      </c>
      <c r="B31" s="88" t="s">
        <v>114</v>
      </c>
      <c r="C31" s="89" t="s">
        <v>114</v>
      </c>
      <c r="D31" s="88" t="s">
        <v>114</v>
      </c>
      <c r="E31" s="89" t="s">
        <v>114</v>
      </c>
      <c r="F31" s="79" t="s">
        <v>114</v>
      </c>
      <c r="G31" s="79" t="s">
        <v>114</v>
      </c>
      <c r="H31" s="88" t="s">
        <v>114</v>
      </c>
      <c r="I31" s="89" t="s">
        <v>114</v>
      </c>
      <c r="J31" s="88" t="s">
        <v>114</v>
      </c>
      <c r="K31" s="137" t="s">
        <v>114</v>
      </c>
      <c r="L31" s="129"/>
      <c r="M31" s="144" t="s">
        <v>114</v>
      </c>
      <c r="N31" s="108"/>
      <c r="O31" s="129"/>
      <c r="P31" s="90" t="s">
        <v>114</v>
      </c>
      <c r="Q31" s="130" t="s">
        <v>114</v>
      </c>
      <c r="R31" s="129"/>
      <c r="S31" s="50" t="s">
        <v>114</v>
      </c>
      <c r="T31" s="50" t="s">
        <v>114</v>
      </c>
      <c r="U31" s="50"/>
      <c r="V31" s="51" t="s">
        <v>114</v>
      </c>
      <c r="W31" s="51" t="str">
        <f t="shared" si="0"/>
        <v/>
      </c>
      <c r="X31" s="52"/>
      <c r="Y31" s="52"/>
      <c r="Z31" s="63"/>
    </row>
    <row r="32" spans="1:26" ht="12" customHeight="1" x14ac:dyDescent="0.3">
      <c r="A32" s="91" t="s">
        <v>114</v>
      </c>
      <c r="B32" s="88" t="s">
        <v>114</v>
      </c>
      <c r="C32" s="89" t="s">
        <v>114</v>
      </c>
      <c r="D32" s="88" t="s">
        <v>114</v>
      </c>
      <c r="E32" s="89" t="s">
        <v>114</v>
      </c>
      <c r="F32" s="79" t="s">
        <v>114</v>
      </c>
      <c r="G32" s="79" t="s">
        <v>114</v>
      </c>
      <c r="H32" s="88" t="s">
        <v>114</v>
      </c>
      <c r="I32" s="89" t="s">
        <v>114</v>
      </c>
      <c r="J32" s="88" t="s">
        <v>114</v>
      </c>
      <c r="K32" s="137" t="s">
        <v>114</v>
      </c>
      <c r="L32" s="129"/>
      <c r="M32" s="144" t="s">
        <v>114</v>
      </c>
      <c r="N32" s="108"/>
      <c r="O32" s="129"/>
      <c r="P32" s="90" t="s">
        <v>114</v>
      </c>
      <c r="Q32" s="130" t="s">
        <v>114</v>
      </c>
      <c r="R32" s="129"/>
      <c r="S32" s="50" t="s">
        <v>114</v>
      </c>
      <c r="T32" s="50" t="s">
        <v>114</v>
      </c>
      <c r="U32" s="50"/>
      <c r="V32" s="51" t="s">
        <v>114</v>
      </c>
      <c r="W32" s="51" t="str">
        <f t="shared" si="0"/>
        <v/>
      </c>
      <c r="X32" s="52"/>
      <c r="Y32" s="52"/>
      <c r="Z32" s="63"/>
    </row>
    <row r="33" spans="1:26" ht="12" customHeight="1" x14ac:dyDescent="0.3">
      <c r="A33" s="121" t="s">
        <v>93</v>
      </c>
      <c r="B33" s="142" t="s">
        <v>356</v>
      </c>
      <c r="C33" s="142" t="s">
        <v>357</v>
      </c>
      <c r="D33" s="142" t="s">
        <v>41</v>
      </c>
      <c r="E33" s="143" t="s">
        <v>358</v>
      </c>
      <c r="F33" s="138"/>
      <c r="G33" s="138"/>
      <c r="H33" s="138"/>
      <c r="I33" s="138"/>
      <c r="J33" s="125"/>
      <c r="K33" s="143" t="s">
        <v>134</v>
      </c>
      <c r="L33" s="138"/>
      <c r="M33" s="138"/>
      <c r="N33" s="138"/>
      <c r="O33" s="125"/>
      <c r="P33" s="142" t="s">
        <v>359</v>
      </c>
      <c r="Q33" s="143" t="s">
        <v>360</v>
      </c>
      <c r="R33" s="125"/>
      <c r="S33" s="50"/>
      <c r="T33" s="50"/>
      <c r="U33" s="50"/>
      <c r="V33" s="51"/>
      <c r="W33" s="51"/>
      <c r="X33" s="52"/>
      <c r="Y33" s="52"/>
      <c r="Z33" s="63"/>
    </row>
    <row r="34" spans="1:26" ht="8.25" customHeight="1" x14ac:dyDescent="0.3">
      <c r="A34" s="122"/>
      <c r="B34" s="122"/>
      <c r="C34" s="122"/>
      <c r="D34" s="122"/>
      <c r="E34" s="135"/>
      <c r="F34" s="126"/>
      <c r="G34" s="126"/>
      <c r="H34" s="126"/>
      <c r="I34" s="126"/>
      <c r="J34" s="127"/>
      <c r="K34" s="135"/>
      <c r="L34" s="126"/>
      <c r="M34" s="126"/>
      <c r="N34" s="126"/>
      <c r="O34" s="127"/>
      <c r="P34" s="122"/>
      <c r="Q34" s="134"/>
      <c r="R34" s="129"/>
      <c r="S34" s="50"/>
      <c r="T34" s="50"/>
      <c r="U34" s="50"/>
      <c r="V34" s="51"/>
      <c r="W34" s="51"/>
      <c r="X34" s="52"/>
      <c r="Y34" s="52"/>
      <c r="Z34" s="63"/>
    </row>
    <row r="35" spans="1:26" ht="10.5" customHeight="1" x14ac:dyDescent="0.3">
      <c r="A35" s="122"/>
      <c r="B35" s="122"/>
      <c r="C35" s="122"/>
      <c r="D35" s="122"/>
      <c r="E35" s="142" t="s">
        <v>361</v>
      </c>
      <c r="F35" s="142" t="s">
        <v>362</v>
      </c>
      <c r="G35" s="142" t="s">
        <v>363</v>
      </c>
      <c r="H35" s="142" t="s">
        <v>364</v>
      </c>
      <c r="I35" s="142" t="s">
        <v>365</v>
      </c>
      <c r="J35" s="142" t="s">
        <v>142</v>
      </c>
      <c r="K35" s="142" t="s">
        <v>366</v>
      </c>
      <c r="L35" s="143" t="s">
        <v>367</v>
      </c>
      <c r="M35" s="125"/>
      <c r="N35" s="145" t="s">
        <v>368</v>
      </c>
      <c r="O35" s="125"/>
      <c r="P35" s="122"/>
      <c r="Q35" s="134"/>
      <c r="R35" s="129"/>
      <c r="S35" s="50"/>
      <c r="T35" s="50"/>
      <c r="U35" s="50"/>
      <c r="V35" s="51"/>
      <c r="W35" s="51"/>
      <c r="X35" s="52"/>
      <c r="Y35" s="52"/>
      <c r="Z35" s="52"/>
    </row>
    <row r="36" spans="1:26" ht="21" customHeight="1" x14ac:dyDescent="0.3">
      <c r="A36" s="123"/>
      <c r="B36" s="123"/>
      <c r="C36" s="123"/>
      <c r="D36" s="123"/>
      <c r="E36" s="123"/>
      <c r="F36" s="123"/>
      <c r="G36" s="123"/>
      <c r="H36" s="123"/>
      <c r="I36" s="123"/>
      <c r="J36" s="123"/>
      <c r="K36" s="123"/>
      <c r="L36" s="135"/>
      <c r="M36" s="127"/>
      <c r="N36" s="135"/>
      <c r="O36" s="127"/>
      <c r="P36" s="123"/>
      <c r="Q36" s="135"/>
      <c r="R36" s="127"/>
      <c r="S36" s="50"/>
      <c r="T36" s="50"/>
      <c r="U36" s="50"/>
      <c r="V36" s="51"/>
      <c r="W36" s="51"/>
      <c r="X36" s="52"/>
      <c r="Y36" s="52"/>
      <c r="Z36" s="52"/>
    </row>
    <row r="37" spans="1:26" ht="12" customHeight="1" x14ac:dyDescent="0.3">
      <c r="A37" s="87" t="s">
        <v>77</v>
      </c>
      <c r="B37" s="88">
        <v>13.5</v>
      </c>
      <c r="C37" s="88">
        <v>1.3</v>
      </c>
      <c r="D37" s="77">
        <v>10</v>
      </c>
      <c r="E37" s="66" t="s">
        <v>114</v>
      </c>
      <c r="F37" s="77" t="s">
        <v>114</v>
      </c>
      <c r="G37" s="66" t="s">
        <v>114</v>
      </c>
      <c r="H37" s="88" t="s">
        <v>114</v>
      </c>
      <c r="I37" s="89" t="s">
        <v>114</v>
      </c>
      <c r="J37" s="88" t="s">
        <v>114</v>
      </c>
      <c r="K37" s="78" t="s">
        <v>114</v>
      </c>
      <c r="L37" s="143" t="s">
        <v>114</v>
      </c>
      <c r="M37" s="125"/>
      <c r="N37" s="141" t="s">
        <v>114</v>
      </c>
      <c r="O37" s="129"/>
      <c r="P37" s="79" t="s">
        <v>114</v>
      </c>
      <c r="Q37" s="141" t="s">
        <v>114</v>
      </c>
      <c r="R37" s="129"/>
      <c r="S37" s="50"/>
      <c r="T37" s="50"/>
      <c r="U37" s="50"/>
      <c r="V37" s="51" t="s">
        <v>114</v>
      </c>
      <c r="W37" s="51"/>
      <c r="X37" s="52"/>
      <c r="Y37" s="52"/>
      <c r="Z37" s="52"/>
    </row>
    <row r="38" spans="1:26" ht="12" customHeight="1" x14ac:dyDescent="0.3">
      <c r="A38" s="87" t="s">
        <v>81</v>
      </c>
      <c r="B38" s="88">
        <v>9.5</v>
      </c>
      <c r="C38" s="88">
        <v>1</v>
      </c>
      <c r="D38" s="77">
        <v>9</v>
      </c>
      <c r="E38" s="66" t="s">
        <v>114</v>
      </c>
      <c r="F38" s="77" t="s">
        <v>114</v>
      </c>
      <c r="G38" s="66" t="s">
        <v>114</v>
      </c>
      <c r="H38" s="88" t="s">
        <v>114</v>
      </c>
      <c r="I38" s="89" t="s">
        <v>114</v>
      </c>
      <c r="J38" s="88" t="s">
        <v>114</v>
      </c>
      <c r="K38" s="78" t="s">
        <v>114</v>
      </c>
      <c r="L38" s="141" t="s">
        <v>114</v>
      </c>
      <c r="M38" s="129"/>
      <c r="N38" s="139" t="s">
        <v>114</v>
      </c>
      <c r="O38" s="129"/>
      <c r="P38" s="79" t="s">
        <v>114</v>
      </c>
      <c r="Q38" s="141" t="s">
        <v>114</v>
      </c>
      <c r="R38" s="129"/>
      <c r="S38" s="50"/>
      <c r="T38" s="50"/>
      <c r="U38" s="50"/>
      <c r="V38" s="51" t="s">
        <v>114</v>
      </c>
      <c r="W38" s="51"/>
      <c r="X38" s="52"/>
      <c r="Y38" s="52"/>
      <c r="Z38" s="52"/>
    </row>
    <row r="39" spans="1:26" ht="12" customHeight="1" x14ac:dyDescent="0.3">
      <c r="A39" s="91" t="s">
        <v>114</v>
      </c>
      <c r="B39" s="88" t="s">
        <v>114</v>
      </c>
      <c r="C39" s="88" t="s">
        <v>114</v>
      </c>
      <c r="D39" s="77" t="s">
        <v>114</v>
      </c>
      <c r="E39" s="66" t="s">
        <v>114</v>
      </c>
      <c r="F39" s="77" t="s">
        <v>114</v>
      </c>
      <c r="G39" s="66" t="s">
        <v>114</v>
      </c>
      <c r="H39" s="88" t="s">
        <v>114</v>
      </c>
      <c r="I39" s="89" t="s">
        <v>114</v>
      </c>
      <c r="J39" s="88" t="s">
        <v>114</v>
      </c>
      <c r="K39" s="78" t="s">
        <v>114</v>
      </c>
      <c r="L39" s="141" t="s">
        <v>114</v>
      </c>
      <c r="M39" s="129"/>
      <c r="N39" s="139" t="s">
        <v>114</v>
      </c>
      <c r="O39" s="129"/>
      <c r="P39" s="79" t="s">
        <v>114</v>
      </c>
      <c r="Q39" s="141" t="s">
        <v>114</v>
      </c>
      <c r="R39" s="129"/>
      <c r="S39" s="50"/>
      <c r="T39" s="50"/>
      <c r="U39" s="50"/>
      <c r="V39" s="51" t="s">
        <v>114</v>
      </c>
      <c r="W39" s="51"/>
      <c r="X39" s="52"/>
      <c r="Y39" s="52"/>
      <c r="Z39" s="52"/>
    </row>
    <row r="40" spans="1:26" ht="12" customHeight="1" x14ac:dyDescent="0.3">
      <c r="A40" s="91" t="s">
        <v>114</v>
      </c>
      <c r="B40" s="88" t="s">
        <v>114</v>
      </c>
      <c r="C40" s="88" t="s">
        <v>114</v>
      </c>
      <c r="D40" s="77" t="s">
        <v>114</v>
      </c>
      <c r="E40" s="66" t="s">
        <v>114</v>
      </c>
      <c r="F40" s="77" t="s">
        <v>114</v>
      </c>
      <c r="G40" s="66" t="s">
        <v>114</v>
      </c>
      <c r="H40" s="88" t="s">
        <v>114</v>
      </c>
      <c r="I40" s="89" t="s">
        <v>114</v>
      </c>
      <c r="J40" s="88" t="s">
        <v>114</v>
      </c>
      <c r="K40" s="78" t="s">
        <v>114</v>
      </c>
      <c r="L40" s="141" t="s">
        <v>114</v>
      </c>
      <c r="M40" s="129"/>
      <c r="N40" s="139" t="s">
        <v>114</v>
      </c>
      <c r="O40" s="129"/>
      <c r="P40" s="79" t="s">
        <v>114</v>
      </c>
      <c r="Q40" s="141" t="s">
        <v>114</v>
      </c>
      <c r="R40" s="129"/>
      <c r="S40" s="50"/>
      <c r="T40" s="50"/>
      <c r="U40" s="50"/>
      <c r="V40" s="51" t="s">
        <v>114</v>
      </c>
      <c r="W40" s="51"/>
      <c r="X40" s="52"/>
      <c r="Y40" s="52"/>
      <c r="Z40" s="52"/>
    </row>
    <row r="41" spans="1:26" ht="12" customHeight="1" x14ac:dyDescent="0.3">
      <c r="A41" s="91" t="s">
        <v>114</v>
      </c>
      <c r="B41" s="88" t="s">
        <v>114</v>
      </c>
      <c r="C41" s="88" t="s">
        <v>114</v>
      </c>
      <c r="D41" s="77" t="s">
        <v>114</v>
      </c>
      <c r="E41" s="66" t="s">
        <v>114</v>
      </c>
      <c r="F41" s="77" t="s">
        <v>114</v>
      </c>
      <c r="G41" s="66" t="s">
        <v>114</v>
      </c>
      <c r="H41" s="88" t="s">
        <v>114</v>
      </c>
      <c r="I41" s="89" t="s">
        <v>114</v>
      </c>
      <c r="J41" s="88" t="s">
        <v>114</v>
      </c>
      <c r="K41" s="78" t="s">
        <v>114</v>
      </c>
      <c r="L41" s="141" t="s">
        <v>114</v>
      </c>
      <c r="M41" s="129"/>
      <c r="N41" s="139" t="s">
        <v>114</v>
      </c>
      <c r="O41" s="129"/>
      <c r="P41" s="79" t="s">
        <v>114</v>
      </c>
      <c r="Q41" s="141" t="s">
        <v>114</v>
      </c>
      <c r="R41" s="129"/>
      <c r="S41" s="50"/>
      <c r="T41" s="50"/>
      <c r="U41" s="50"/>
      <c r="V41" s="51" t="s">
        <v>114</v>
      </c>
      <c r="W41" s="51"/>
      <c r="X41" s="52"/>
      <c r="Y41" s="52"/>
      <c r="Z41" s="52"/>
    </row>
    <row r="42" spans="1:26" ht="12" customHeight="1" x14ac:dyDescent="0.3">
      <c r="A42" s="91" t="s">
        <v>114</v>
      </c>
      <c r="B42" s="88" t="s">
        <v>114</v>
      </c>
      <c r="C42" s="88" t="s">
        <v>114</v>
      </c>
      <c r="D42" s="77" t="s">
        <v>114</v>
      </c>
      <c r="E42" s="66" t="s">
        <v>114</v>
      </c>
      <c r="F42" s="77" t="s">
        <v>114</v>
      </c>
      <c r="G42" s="66" t="s">
        <v>114</v>
      </c>
      <c r="H42" s="88" t="s">
        <v>114</v>
      </c>
      <c r="I42" s="89" t="s">
        <v>114</v>
      </c>
      <c r="J42" s="88" t="s">
        <v>114</v>
      </c>
      <c r="K42" s="78" t="s">
        <v>114</v>
      </c>
      <c r="L42" s="141" t="s">
        <v>114</v>
      </c>
      <c r="M42" s="129"/>
      <c r="N42" s="139" t="s">
        <v>114</v>
      </c>
      <c r="O42" s="129"/>
      <c r="P42" s="79" t="s">
        <v>114</v>
      </c>
      <c r="Q42" s="141" t="s">
        <v>114</v>
      </c>
      <c r="R42" s="129"/>
      <c r="S42" s="50"/>
      <c r="T42" s="50"/>
      <c r="U42" s="50"/>
      <c r="V42" s="51" t="s">
        <v>114</v>
      </c>
      <c r="W42" s="51"/>
      <c r="X42" s="52"/>
      <c r="Y42" s="52"/>
      <c r="Z42" s="52"/>
    </row>
    <row r="43" spans="1:26" ht="12" customHeight="1" x14ac:dyDescent="0.3">
      <c r="A43" s="91" t="s">
        <v>114</v>
      </c>
      <c r="B43" s="88" t="s">
        <v>114</v>
      </c>
      <c r="C43" s="88" t="s">
        <v>114</v>
      </c>
      <c r="D43" s="77" t="s">
        <v>114</v>
      </c>
      <c r="E43" s="66" t="s">
        <v>114</v>
      </c>
      <c r="F43" s="77" t="s">
        <v>114</v>
      </c>
      <c r="G43" s="66" t="s">
        <v>114</v>
      </c>
      <c r="H43" s="88" t="s">
        <v>114</v>
      </c>
      <c r="I43" s="89" t="s">
        <v>114</v>
      </c>
      <c r="J43" s="88" t="s">
        <v>114</v>
      </c>
      <c r="K43" s="78" t="s">
        <v>114</v>
      </c>
      <c r="L43" s="141" t="s">
        <v>114</v>
      </c>
      <c r="M43" s="129"/>
      <c r="N43" s="139" t="s">
        <v>114</v>
      </c>
      <c r="O43" s="129"/>
      <c r="P43" s="79" t="s">
        <v>114</v>
      </c>
      <c r="Q43" s="141" t="s">
        <v>114</v>
      </c>
      <c r="R43" s="129"/>
      <c r="S43" s="50"/>
      <c r="T43" s="50"/>
      <c r="U43" s="50"/>
      <c r="V43" s="51" t="s">
        <v>114</v>
      </c>
      <c r="W43" s="51"/>
      <c r="X43" s="52"/>
      <c r="Y43" s="52"/>
      <c r="Z43" s="52"/>
    </row>
    <row r="44" spans="1:26" ht="12" customHeight="1" x14ac:dyDescent="0.3">
      <c r="A44" s="91" t="s">
        <v>114</v>
      </c>
      <c r="B44" s="88" t="s">
        <v>114</v>
      </c>
      <c r="C44" s="88" t="s">
        <v>114</v>
      </c>
      <c r="D44" s="77" t="s">
        <v>114</v>
      </c>
      <c r="E44" s="66" t="s">
        <v>114</v>
      </c>
      <c r="F44" s="77" t="s">
        <v>114</v>
      </c>
      <c r="G44" s="66" t="s">
        <v>114</v>
      </c>
      <c r="H44" s="88" t="s">
        <v>114</v>
      </c>
      <c r="I44" s="89" t="s">
        <v>114</v>
      </c>
      <c r="J44" s="88" t="s">
        <v>114</v>
      </c>
      <c r="K44" s="78" t="s">
        <v>114</v>
      </c>
      <c r="L44" s="141" t="s">
        <v>114</v>
      </c>
      <c r="M44" s="129"/>
      <c r="N44" s="139" t="s">
        <v>114</v>
      </c>
      <c r="O44" s="129"/>
      <c r="P44" s="79" t="s">
        <v>114</v>
      </c>
      <c r="Q44" s="141" t="s">
        <v>114</v>
      </c>
      <c r="R44" s="129"/>
      <c r="S44" s="50"/>
      <c r="T44" s="50"/>
      <c r="U44" s="50"/>
      <c r="V44" s="51" t="s">
        <v>114</v>
      </c>
      <c r="W44" s="51"/>
      <c r="X44" s="52"/>
      <c r="Y44" s="52"/>
      <c r="Z44" s="52"/>
    </row>
    <row r="45" spans="1:26" ht="12" customHeight="1" x14ac:dyDescent="0.3">
      <c r="A45" s="91" t="s">
        <v>114</v>
      </c>
      <c r="B45" s="88" t="s">
        <v>114</v>
      </c>
      <c r="C45" s="88" t="s">
        <v>114</v>
      </c>
      <c r="D45" s="77" t="s">
        <v>114</v>
      </c>
      <c r="E45" s="66" t="s">
        <v>114</v>
      </c>
      <c r="F45" s="77" t="s">
        <v>114</v>
      </c>
      <c r="G45" s="66" t="s">
        <v>114</v>
      </c>
      <c r="H45" s="88" t="s">
        <v>114</v>
      </c>
      <c r="I45" s="89" t="s">
        <v>114</v>
      </c>
      <c r="J45" s="88" t="s">
        <v>114</v>
      </c>
      <c r="K45" s="78" t="s">
        <v>114</v>
      </c>
      <c r="L45" s="141" t="s">
        <v>114</v>
      </c>
      <c r="M45" s="129"/>
      <c r="N45" s="141" t="s">
        <v>114</v>
      </c>
      <c r="O45" s="129"/>
      <c r="P45" s="79" t="s">
        <v>114</v>
      </c>
      <c r="Q45" s="141" t="s">
        <v>114</v>
      </c>
      <c r="R45" s="129"/>
      <c r="S45" s="50"/>
      <c r="T45" s="50"/>
      <c r="U45" s="50"/>
      <c r="V45" s="51" t="s">
        <v>114</v>
      </c>
      <c r="W45" s="51"/>
      <c r="X45" s="52"/>
      <c r="Y45" s="52"/>
      <c r="Z45" s="52"/>
    </row>
    <row r="46" spans="1:26" ht="12" customHeight="1" x14ac:dyDescent="0.3">
      <c r="A46" s="121" t="s">
        <v>93</v>
      </c>
      <c r="B46" s="153" t="s">
        <v>369</v>
      </c>
      <c r="C46" s="146" t="s">
        <v>147</v>
      </c>
      <c r="D46" s="148"/>
      <c r="E46" s="143" t="s">
        <v>370</v>
      </c>
      <c r="F46" s="138"/>
      <c r="G46" s="138"/>
      <c r="H46" s="138"/>
      <c r="I46" s="138"/>
      <c r="J46" s="138"/>
      <c r="K46" s="138"/>
      <c r="L46" s="125"/>
      <c r="M46" s="143" t="s">
        <v>371</v>
      </c>
      <c r="N46" s="138"/>
      <c r="O46" s="138"/>
      <c r="P46" s="138"/>
      <c r="Q46" s="138"/>
      <c r="R46" s="125"/>
      <c r="S46" s="50"/>
      <c r="T46" s="50"/>
      <c r="U46" s="50"/>
      <c r="V46" s="51"/>
      <c r="W46" s="51"/>
      <c r="X46" s="52"/>
      <c r="Y46" s="52"/>
      <c r="Z46" s="52"/>
    </row>
    <row r="47" spans="1:26" ht="9" customHeight="1" x14ac:dyDescent="0.3">
      <c r="A47" s="122"/>
      <c r="B47" s="122"/>
      <c r="C47" s="142" t="s">
        <v>372</v>
      </c>
      <c r="D47" s="142" t="s">
        <v>373</v>
      </c>
      <c r="E47" s="135"/>
      <c r="F47" s="126"/>
      <c r="G47" s="126"/>
      <c r="H47" s="126"/>
      <c r="I47" s="126"/>
      <c r="J47" s="126"/>
      <c r="K47" s="126"/>
      <c r="L47" s="127"/>
      <c r="M47" s="135"/>
      <c r="N47" s="126"/>
      <c r="O47" s="126"/>
      <c r="P47" s="126"/>
      <c r="Q47" s="126"/>
      <c r="R47" s="127"/>
      <c r="S47" s="50"/>
      <c r="T47" s="50"/>
      <c r="U47" s="50"/>
      <c r="V47" s="51"/>
      <c r="W47" s="51"/>
      <c r="X47" s="52"/>
      <c r="Y47" s="52"/>
      <c r="Z47" s="52"/>
    </row>
    <row r="48" spans="1:26" ht="12" customHeight="1" x14ac:dyDescent="0.3">
      <c r="A48" s="122"/>
      <c r="B48" s="122"/>
      <c r="C48" s="122"/>
      <c r="D48" s="122"/>
      <c r="E48" s="142" t="s">
        <v>374</v>
      </c>
      <c r="F48" s="142" t="s">
        <v>375</v>
      </c>
      <c r="G48" s="142" t="s">
        <v>376</v>
      </c>
      <c r="H48" s="142" t="s">
        <v>377</v>
      </c>
      <c r="I48" s="142" t="s">
        <v>378</v>
      </c>
      <c r="J48" s="142" t="s">
        <v>379</v>
      </c>
      <c r="K48" s="143" t="s">
        <v>380</v>
      </c>
      <c r="L48" s="125"/>
      <c r="M48" s="146" t="s">
        <v>159</v>
      </c>
      <c r="N48" s="147"/>
      <c r="O48" s="147"/>
      <c r="P48" s="148"/>
      <c r="Q48" s="143" t="s">
        <v>160</v>
      </c>
      <c r="R48" s="125"/>
      <c r="S48" s="50"/>
      <c r="T48" s="50"/>
      <c r="U48" s="50"/>
      <c r="V48" s="51"/>
      <c r="W48" s="51"/>
      <c r="X48" s="52"/>
      <c r="Y48" s="52"/>
      <c r="Z48" s="52"/>
    </row>
    <row r="49" spans="1:26" ht="12" customHeight="1" x14ac:dyDescent="0.3">
      <c r="A49" s="122"/>
      <c r="B49" s="122"/>
      <c r="C49" s="122"/>
      <c r="D49" s="122"/>
      <c r="E49" s="122"/>
      <c r="F49" s="122"/>
      <c r="G49" s="122"/>
      <c r="H49" s="122"/>
      <c r="I49" s="122"/>
      <c r="J49" s="122"/>
      <c r="K49" s="134"/>
      <c r="L49" s="129"/>
      <c r="M49" s="143" t="s">
        <v>161</v>
      </c>
      <c r="N49" s="138"/>
      <c r="O49" s="125"/>
      <c r="P49" s="142" t="s">
        <v>162</v>
      </c>
      <c r="Q49" s="134"/>
      <c r="R49" s="129"/>
      <c r="S49" s="50"/>
      <c r="T49" s="50"/>
      <c r="U49" s="50"/>
      <c r="V49" s="51"/>
      <c r="W49" s="51"/>
      <c r="X49" s="52"/>
      <c r="Y49" s="52"/>
      <c r="Z49" s="52"/>
    </row>
    <row r="50" spans="1:26" ht="6" customHeight="1" x14ac:dyDescent="0.3">
      <c r="A50" s="123"/>
      <c r="B50" s="123"/>
      <c r="C50" s="123"/>
      <c r="D50" s="123"/>
      <c r="E50" s="123"/>
      <c r="F50" s="123"/>
      <c r="G50" s="123"/>
      <c r="H50" s="123"/>
      <c r="I50" s="123"/>
      <c r="J50" s="123"/>
      <c r="K50" s="135"/>
      <c r="L50" s="127"/>
      <c r="M50" s="135"/>
      <c r="N50" s="126"/>
      <c r="O50" s="127"/>
      <c r="P50" s="123"/>
      <c r="Q50" s="135"/>
      <c r="R50" s="127"/>
      <c r="S50" s="50"/>
      <c r="T50" s="50"/>
      <c r="U50" s="50"/>
      <c r="V50" s="51"/>
      <c r="W50" s="51"/>
      <c r="X50" s="52"/>
      <c r="Y50" s="52"/>
      <c r="Z50" s="52"/>
    </row>
    <row r="51" spans="1:26" ht="12" customHeight="1" x14ac:dyDescent="0.3">
      <c r="A51" s="87" t="s">
        <v>77</v>
      </c>
      <c r="B51" s="79" t="s">
        <v>163</v>
      </c>
      <c r="C51" s="78" t="s">
        <v>114</v>
      </c>
      <c r="D51" s="77" t="s">
        <v>114</v>
      </c>
      <c r="E51" s="78" t="s">
        <v>114</v>
      </c>
      <c r="F51" s="79" t="s">
        <v>114</v>
      </c>
      <c r="G51" s="78" t="s">
        <v>114</v>
      </c>
      <c r="H51" s="79" t="s">
        <v>114</v>
      </c>
      <c r="I51" s="78" t="s">
        <v>114</v>
      </c>
      <c r="J51" s="79" t="s">
        <v>114</v>
      </c>
      <c r="K51" s="141" t="s">
        <v>114</v>
      </c>
      <c r="L51" s="129"/>
      <c r="M51" s="143" t="s">
        <v>114</v>
      </c>
      <c r="N51" s="138"/>
      <c r="O51" s="125"/>
      <c r="P51" s="69" t="s">
        <v>114</v>
      </c>
      <c r="Q51" s="143" t="s">
        <v>114</v>
      </c>
      <c r="R51" s="125"/>
      <c r="S51" s="50"/>
      <c r="T51" s="50"/>
      <c r="U51" s="50"/>
      <c r="V51" s="51" t="s">
        <v>114</v>
      </c>
      <c r="W51" s="51" t="str">
        <f t="shared" ref="W51:W59" si="1">IF(C51="","",IF(C51&gt;=7,"sálico",IF(C51&gt;=4,"salino","")))</f>
        <v/>
      </c>
      <c r="X51" s="52"/>
      <c r="Y51" s="52"/>
      <c r="Z51" s="52"/>
    </row>
    <row r="52" spans="1:26" ht="12" customHeight="1" x14ac:dyDescent="0.3">
      <c r="A52" s="87" t="s">
        <v>81</v>
      </c>
      <c r="B52" s="79" t="s">
        <v>163</v>
      </c>
      <c r="C52" s="78" t="s">
        <v>114</v>
      </c>
      <c r="D52" s="77" t="s">
        <v>114</v>
      </c>
      <c r="E52" s="78" t="s">
        <v>114</v>
      </c>
      <c r="F52" s="79" t="s">
        <v>114</v>
      </c>
      <c r="G52" s="78" t="s">
        <v>114</v>
      </c>
      <c r="H52" s="79" t="s">
        <v>114</v>
      </c>
      <c r="I52" s="78" t="s">
        <v>114</v>
      </c>
      <c r="J52" s="79" t="s">
        <v>114</v>
      </c>
      <c r="K52" s="141" t="s">
        <v>114</v>
      </c>
      <c r="L52" s="108"/>
      <c r="M52" s="141" t="s">
        <v>114</v>
      </c>
      <c r="N52" s="108"/>
      <c r="O52" s="129"/>
      <c r="P52" s="78" t="s">
        <v>114</v>
      </c>
      <c r="Q52" s="141" t="s">
        <v>114</v>
      </c>
      <c r="R52" s="129"/>
      <c r="S52" s="50"/>
      <c r="T52" s="50"/>
      <c r="U52" s="50"/>
      <c r="V52" s="51" t="s">
        <v>114</v>
      </c>
      <c r="W52" s="51" t="str">
        <f t="shared" si="1"/>
        <v/>
      </c>
      <c r="X52" s="52"/>
      <c r="Y52" s="52"/>
      <c r="Z52" s="52"/>
    </row>
    <row r="53" spans="1:26" ht="12" customHeight="1" x14ac:dyDescent="0.3">
      <c r="A53" s="91" t="s">
        <v>114</v>
      </c>
      <c r="B53" s="79" t="s">
        <v>114</v>
      </c>
      <c r="C53" s="78" t="s">
        <v>114</v>
      </c>
      <c r="D53" s="77" t="s">
        <v>114</v>
      </c>
      <c r="E53" s="78" t="s">
        <v>114</v>
      </c>
      <c r="F53" s="79" t="s">
        <v>114</v>
      </c>
      <c r="G53" s="78" t="s">
        <v>114</v>
      </c>
      <c r="H53" s="79" t="s">
        <v>114</v>
      </c>
      <c r="I53" s="78" t="s">
        <v>114</v>
      </c>
      <c r="J53" s="79" t="s">
        <v>114</v>
      </c>
      <c r="K53" s="141" t="s">
        <v>114</v>
      </c>
      <c r="L53" s="108"/>
      <c r="M53" s="141" t="s">
        <v>114</v>
      </c>
      <c r="N53" s="108"/>
      <c r="O53" s="129"/>
      <c r="P53" s="78" t="s">
        <v>114</v>
      </c>
      <c r="Q53" s="141" t="s">
        <v>114</v>
      </c>
      <c r="R53" s="129"/>
      <c r="S53" s="50"/>
      <c r="T53" s="50"/>
      <c r="U53" s="50"/>
      <c r="V53" s="51" t="s">
        <v>114</v>
      </c>
      <c r="W53" s="51" t="str">
        <f t="shared" si="1"/>
        <v/>
      </c>
      <c r="X53" s="52"/>
      <c r="Y53" s="52"/>
      <c r="Z53" s="52"/>
    </row>
    <row r="54" spans="1:26" ht="12" customHeight="1" x14ac:dyDescent="0.3">
      <c r="A54" s="91" t="s">
        <v>114</v>
      </c>
      <c r="B54" s="79" t="s">
        <v>114</v>
      </c>
      <c r="C54" s="78" t="s">
        <v>114</v>
      </c>
      <c r="D54" s="77" t="s">
        <v>114</v>
      </c>
      <c r="E54" s="78" t="s">
        <v>114</v>
      </c>
      <c r="F54" s="79" t="s">
        <v>114</v>
      </c>
      <c r="G54" s="78" t="s">
        <v>114</v>
      </c>
      <c r="H54" s="79" t="s">
        <v>114</v>
      </c>
      <c r="I54" s="78" t="s">
        <v>114</v>
      </c>
      <c r="J54" s="79" t="s">
        <v>114</v>
      </c>
      <c r="K54" s="141" t="s">
        <v>114</v>
      </c>
      <c r="L54" s="108"/>
      <c r="M54" s="141" t="s">
        <v>114</v>
      </c>
      <c r="N54" s="108"/>
      <c r="O54" s="129"/>
      <c r="P54" s="78" t="s">
        <v>114</v>
      </c>
      <c r="Q54" s="141" t="s">
        <v>114</v>
      </c>
      <c r="R54" s="129"/>
      <c r="S54" s="50"/>
      <c r="T54" s="50"/>
      <c r="U54" s="50"/>
      <c r="V54" s="51" t="s">
        <v>114</v>
      </c>
      <c r="W54" s="51" t="str">
        <f t="shared" si="1"/>
        <v/>
      </c>
      <c r="X54" s="52"/>
      <c r="Y54" s="52"/>
      <c r="Z54" s="52"/>
    </row>
    <row r="55" spans="1:26" ht="12" customHeight="1" x14ac:dyDescent="0.3">
      <c r="A55" s="91" t="s">
        <v>114</v>
      </c>
      <c r="B55" s="79" t="s">
        <v>114</v>
      </c>
      <c r="C55" s="78" t="s">
        <v>114</v>
      </c>
      <c r="D55" s="77" t="s">
        <v>114</v>
      </c>
      <c r="E55" s="78" t="s">
        <v>114</v>
      </c>
      <c r="F55" s="79" t="s">
        <v>114</v>
      </c>
      <c r="G55" s="78" t="s">
        <v>114</v>
      </c>
      <c r="H55" s="79" t="s">
        <v>114</v>
      </c>
      <c r="I55" s="78" t="s">
        <v>114</v>
      </c>
      <c r="J55" s="79" t="s">
        <v>114</v>
      </c>
      <c r="K55" s="141" t="s">
        <v>114</v>
      </c>
      <c r="L55" s="108"/>
      <c r="M55" s="141" t="s">
        <v>114</v>
      </c>
      <c r="N55" s="108"/>
      <c r="O55" s="129"/>
      <c r="P55" s="78" t="s">
        <v>114</v>
      </c>
      <c r="Q55" s="141" t="s">
        <v>114</v>
      </c>
      <c r="R55" s="129"/>
      <c r="S55" s="50"/>
      <c r="T55" s="50"/>
      <c r="U55" s="50"/>
      <c r="V55" s="51" t="s">
        <v>114</v>
      </c>
      <c r="W55" s="51" t="str">
        <f t="shared" si="1"/>
        <v/>
      </c>
      <c r="X55" s="52"/>
      <c r="Y55" s="52"/>
      <c r="Z55" s="52"/>
    </row>
    <row r="56" spans="1:26" ht="12" customHeight="1" x14ac:dyDescent="0.3">
      <c r="A56" s="91" t="s">
        <v>114</v>
      </c>
      <c r="B56" s="79" t="s">
        <v>114</v>
      </c>
      <c r="C56" s="78" t="s">
        <v>114</v>
      </c>
      <c r="D56" s="77" t="s">
        <v>114</v>
      </c>
      <c r="E56" s="78" t="s">
        <v>114</v>
      </c>
      <c r="F56" s="79" t="s">
        <v>114</v>
      </c>
      <c r="G56" s="78" t="s">
        <v>114</v>
      </c>
      <c r="H56" s="79" t="s">
        <v>114</v>
      </c>
      <c r="I56" s="78" t="s">
        <v>114</v>
      </c>
      <c r="J56" s="79" t="s">
        <v>114</v>
      </c>
      <c r="K56" s="141" t="s">
        <v>114</v>
      </c>
      <c r="L56" s="108"/>
      <c r="M56" s="141" t="s">
        <v>114</v>
      </c>
      <c r="N56" s="108"/>
      <c r="O56" s="129"/>
      <c r="P56" s="78" t="s">
        <v>114</v>
      </c>
      <c r="Q56" s="141" t="s">
        <v>114</v>
      </c>
      <c r="R56" s="129"/>
      <c r="S56" s="50"/>
      <c r="T56" s="50"/>
      <c r="U56" s="50"/>
      <c r="V56" s="51" t="s">
        <v>114</v>
      </c>
      <c r="W56" s="51" t="str">
        <f t="shared" si="1"/>
        <v/>
      </c>
      <c r="X56" s="52"/>
      <c r="Y56" s="52"/>
      <c r="Z56" s="52"/>
    </row>
    <row r="57" spans="1:26" ht="12" customHeight="1" x14ac:dyDescent="0.3">
      <c r="A57" s="91" t="s">
        <v>114</v>
      </c>
      <c r="B57" s="79" t="s">
        <v>114</v>
      </c>
      <c r="C57" s="78" t="s">
        <v>114</v>
      </c>
      <c r="D57" s="77" t="s">
        <v>114</v>
      </c>
      <c r="E57" s="78" t="s">
        <v>114</v>
      </c>
      <c r="F57" s="79" t="s">
        <v>114</v>
      </c>
      <c r="G57" s="78" t="s">
        <v>114</v>
      </c>
      <c r="H57" s="79" t="s">
        <v>114</v>
      </c>
      <c r="I57" s="78" t="s">
        <v>114</v>
      </c>
      <c r="J57" s="79" t="s">
        <v>114</v>
      </c>
      <c r="K57" s="141" t="s">
        <v>114</v>
      </c>
      <c r="L57" s="108"/>
      <c r="M57" s="141" t="s">
        <v>114</v>
      </c>
      <c r="N57" s="108"/>
      <c r="O57" s="129"/>
      <c r="P57" s="78" t="s">
        <v>114</v>
      </c>
      <c r="Q57" s="141" t="s">
        <v>114</v>
      </c>
      <c r="R57" s="129"/>
      <c r="S57" s="50"/>
      <c r="T57" s="50"/>
      <c r="U57" s="50"/>
      <c r="V57" s="51" t="s">
        <v>114</v>
      </c>
      <c r="W57" s="51" t="str">
        <f t="shared" si="1"/>
        <v/>
      </c>
      <c r="X57" s="52"/>
      <c r="Y57" s="52"/>
      <c r="Z57" s="52"/>
    </row>
    <row r="58" spans="1:26" ht="12" customHeight="1" x14ac:dyDescent="0.3">
      <c r="A58" s="91" t="s">
        <v>114</v>
      </c>
      <c r="B58" s="79" t="s">
        <v>114</v>
      </c>
      <c r="C58" s="78" t="s">
        <v>114</v>
      </c>
      <c r="D58" s="77" t="s">
        <v>114</v>
      </c>
      <c r="E58" s="78" t="s">
        <v>114</v>
      </c>
      <c r="F58" s="79" t="s">
        <v>114</v>
      </c>
      <c r="G58" s="78" t="s">
        <v>114</v>
      </c>
      <c r="H58" s="79" t="s">
        <v>114</v>
      </c>
      <c r="I58" s="78" t="s">
        <v>114</v>
      </c>
      <c r="J58" s="79" t="s">
        <v>114</v>
      </c>
      <c r="K58" s="141" t="s">
        <v>114</v>
      </c>
      <c r="L58" s="108"/>
      <c r="M58" s="141" t="s">
        <v>114</v>
      </c>
      <c r="N58" s="108"/>
      <c r="O58" s="129"/>
      <c r="P58" s="78" t="s">
        <v>114</v>
      </c>
      <c r="Q58" s="141" t="s">
        <v>114</v>
      </c>
      <c r="R58" s="129"/>
      <c r="S58" s="50"/>
      <c r="T58" s="50"/>
      <c r="U58" s="50"/>
      <c r="V58" s="51" t="s">
        <v>114</v>
      </c>
      <c r="W58" s="51" t="str">
        <f t="shared" si="1"/>
        <v/>
      </c>
      <c r="X58" s="52"/>
      <c r="Y58" s="52"/>
      <c r="Z58" s="52"/>
    </row>
    <row r="59" spans="1:26" ht="12" customHeight="1" x14ac:dyDescent="0.3">
      <c r="A59" s="92" t="s">
        <v>114</v>
      </c>
      <c r="B59" s="84" t="s">
        <v>114</v>
      </c>
      <c r="C59" s="83" t="s">
        <v>114</v>
      </c>
      <c r="D59" s="93" t="s">
        <v>114</v>
      </c>
      <c r="E59" s="83" t="s">
        <v>114</v>
      </c>
      <c r="F59" s="84" t="s">
        <v>114</v>
      </c>
      <c r="G59" s="83" t="s">
        <v>114</v>
      </c>
      <c r="H59" s="84" t="s">
        <v>114</v>
      </c>
      <c r="I59" s="83" t="s">
        <v>114</v>
      </c>
      <c r="J59" s="84" t="s">
        <v>114</v>
      </c>
      <c r="K59" s="140" t="s">
        <v>114</v>
      </c>
      <c r="L59" s="127"/>
      <c r="M59" s="140" t="s">
        <v>114</v>
      </c>
      <c r="N59" s="126"/>
      <c r="O59" s="127"/>
      <c r="P59" s="85" t="s">
        <v>114</v>
      </c>
      <c r="Q59" s="140" t="s">
        <v>114</v>
      </c>
      <c r="R59" s="127"/>
      <c r="S59" s="50"/>
      <c r="T59" s="50"/>
      <c r="U59" s="50"/>
      <c r="V59" s="51" t="s">
        <v>114</v>
      </c>
      <c r="W59" s="51" t="str">
        <f t="shared" si="1"/>
        <v/>
      </c>
      <c r="X59" s="52"/>
      <c r="Y59" s="52"/>
      <c r="Z59" s="52"/>
    </row>
    <row r="60" spans="1:26" ht="12" customHeight="1" x14ac:dyDescent="0.3">
      <c r="A60" s="94" t="s">
        <v>164</v>
      </c>
      <c r="B60" s="95"/>
      <c r="C60" s="63"/>
      <c r="D60" s="63"/>
      <c r="E60" s="63"/>
      <c r="F60" s="63"/>
      <c r="G60" s="63"/>
      <c r="H60" s="63"/>
      <c r="I60" s="63"/>
      <c r="J60" s="63"/>
      <c r="K60" s="149"/>
      <c r="L60" s="108"/>
      <c r="M60" s="149"/>
      <c r="N60" s="108"/>
      <c r="O60" s="108"/>
      <c r="P60" s="63"/>
      <c r="Q60" s="149"/>
      <c r="R60" s="108"/>
      <c r="S60" s="50"/>
      <c r="T60" s="50"/>
      <c r="U60" s="50"/>
      <c r="V60" s="51"/>
      <c r="W60" s="51"/>
      <c r="X60" s="52"/>
      <c r="Y60" s="52"/>
      <c r="Z60" s="52"/>
    </row>
    <row r="61" spans="1:26" ht="12" customHeight="1" x14ac:dyDescent="0.3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150"/>
      <c r="L61" s="108"/>
      <c r="M61" s="150"/>
      <c r="N61" s="108"/>
      <c r="O61" s="108"/>
      <c r="P61" s="52"/>
      <c r="Q61" s="150"/>
      <c r="R61" s="108"/>
      <c r="S61" s="50"/>
      <c r="T61" s="50"/>
      <c r="U61" s="50"/>
      <c r="V61" s="51"/>
      <c r="W61" s="51"/>
      <c r="X61" s="52"/>
      <c r="Y61" s="52"/>
      <c r="Z61" s="52"/>
    </row>
    <row r="62" spans="1:26" ht="12" customHeight="1" x14ac:dyDescent="0.3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150"/>
      <c r="L62" s="108"/>
      <c r="M62" s="150"/>
      <c r="N62" s="108"/>
      <c r="O62" s="108"/>
      <c r="P62" s="52"/>
      <c r="Q62" s="150"/>
      <c r="R62" s="108"/>
      <c r="S62" s="50"/>
      <c r="T62" s="50"/>
      <c r="U62" s="50"/>
      <c r="V62" s="51"/>
      <c r="W62" s="51"/>
      <c r="X62" s="52"/>
      <c r="Y62" s="52"/>
      <c r="Z62" s="52"/>
    </row>
    <row r="63" spans="1:26" ht="12" customHeight="1" x14ac:dyDescent="0.3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150"/>
      <c r="L63" s="108"/>
      <c r="M63" s="150"/>
      <c r="N63" s="108"/>
      <c r="O63" s="108"/>
      <c r="P63" s="52"/>
      <c r="Q63" s="150"/>
      <c r="R63" s="108"/>
      <c r="S63" s="50"/>
      <c r="T63" s="50"/>
      <c r="U63" s="50"/>
      <c r="V63" s="51"/>
      <c r="W63" s="51"/>
      <c r="X63" s="52"/>
      <c r="Y63" s="52"/>
      <c r="Z63" s="52"/>
    </row>
    <row r="64" spans="1:26" ht="12" customHeight="1" x14ac:dyDescent="0.3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0"/>
      <c r="T64" s="50"/>
      <c r="U64" s="50"/>
      <c r="V64" s="51"/>
      <c r="W64" s="51"/>
      <c r="X64" s="52"/>
      <c r="Y64" s="52"/>
      <c r="Z64" s="52"/>
    </row>
    <row r="65" spans="1:26" ht="12" customHeight="1" x14ac:dyDescent="0.3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0"/>
      <c r="T65" s="50"/>
      <c r="U65" s="50"/>
      <c r="V65" s="51"/>
      <c r="W65" s="51"/>
      <c r="X65" s="52"/>
      <c r="Y65" s="52"/>
      <c r="Z65" s="52"/>
    </row>
    <row r="66" spans="1:26" ht="12" customHeight="1" x14ac:dyDescent="0.3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0"/>
      <c r="T66" s="50"/>
      <c r="U66" s="50"/>
      <c r="V66" s="51"/>
      <c r="W66" s="51"/>
      <c r="X66" s="52"/>
      <c r="Y66" s="52"/>
      <c r="Z66" s="52"/>
    </row>
    <row r="67" spans="1:26" ht="12" customHeight="1" x14ac:dyDescent="0.3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0"/>
      <c r="T67" s="50"/>
      <c r="U67" s="50"/>
      <c r="V67" s="51"/>
      <c r="W67" s="51"/>
      <c r="X67" s="52"/>
      <c r="Y67" s="52"/>
      <c r="Z67" s="52"/>
    </row>
    <row r="68" spans="1:26" ht="12" customHeight="1" x14ac:dyDescent="0.3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0"/>
      <c r="T68" s="50"/>
      <c r="U68" s="50"/>
      <c r="V68" s="51"/>
      <c r="W68" s="51"/>
      <c r="X68" s="52"/>
      <c r="Y68" s="52"/>
      <c r="Z68" s="52"/>
    </row>
    <row r="69" spans="1:26" ht="12" customHeight="1" x14ac:dyDescent="0.3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0"/>
      <c r="T69" s="50"/>
      <c r="U69" s="50"/>
      <c r="V69" s="51"/>
      <c r="W69" s="51"/>
      <c r="X69" s="52"/>
      <c r="Y69" s="52"/>
      <c r="Z69" s="52"/>
    </row>
    <row r="70" spans="1:26" ht="12" customHeight="1" x14ac:dyDescent="0.3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0"/>
      <c r="T70" s="50"/>
      <c r="U70" s="50"/>
      <c r="V70" s="51"/>
      <c r="W70" s="51"/>
      <c r="X70" s="52"/>
      <c r="Y70" s="52"/>
      <c r="Z70" s="52"/>
    </row>
    <row r="71" spans="1:26" ht="12" customHeight="1" x14ac:dyDescent="0.3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0"/>
      <c r="T71" s="50"/>
      <c r="U71" s="50"/>
      <c r="V71" s="51"/>
      <c r="W71" s="51"/>
      <c r="X71" s="52"/>
      <c r="Y71" s="52"/>
      <c r="Z71" s="52"/>
    </row>
    <row r="72" spans="1:26" ht="12" customHeight="1" x14ac:dyDescent="0.3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0"/>
      <c r="T72" s="50"/>
      <c r="U72" s="50"/>
      <c r="V72" s="51"/>
      <c r="W72" s="51"/>
      <c r="X72" s="52"/>
      <c r="Y72" s="52"/>
      <c r="Z72" s="52"/>
    </row>
    <row r="73" spans="1:26" ht="12" customHeight="1" x14ac:dyDescent="0.3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0"/>
      <c r="T73" s="50"/>
      <c r="U73" s="50"/>
      <c r="V73" s="51"/>
      <c r="W73" s="51"/>
      <c r="X73" s="52"/>
      <c r="Y73" s="52"/>
      <c r="Z73" s="52"/>
    </row>
    <row r="74" spans="1:26" ht="12" customHeight="1" x14ac:dyDescent="0.3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0"/>
      <c r="T74" s="50"/>
      <c r="U74" s="50"/>
      <c r="V74" s="51"/>
      <c r="W74" s="51"/>
      <c r="X74" s="52"/>
      <c r="Y74" s="52"/>
      <c r="Z74" s="52"/>
    </row>
    <row r="75" spans="1:26" ht="12" customHeight="1" x14ac:dyDescent="0.3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0"/>
      <c r="T75" s="50"/>
      <c r="U75" s="50"/>
      <c r="V75" s="51"/>
      <c r="W75" s="51"/>
      <c r="X75" s="52"/>
      <c r="Y75" s="52"/>
      <c r="Z75" s="52"/>
    </row>
    <row r="76" spans="1:26" ht="12" customHeight="1" x14ac:dyDescent="0.3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0"/>
      <c r="T76" s="50"/>
      <c r="U76" s="50"/>
      <c r="V76" s="51"/>
      <c r="W76" s="51"/>
      <c r="X76" s="52"/>
      <c r="Y76" s="52"/>
      <c r="Z76" s="52"/>
    </row>
    <row r="77" spans="1:26" ht="12" customHeight="1" x14ac:dyDescent="0.3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0"/>
      <c r="T77" s="50"/>
      <c r="U77" s="50"/>
      <c r="V77" s="51"/>
      <c r="W77" s="51"/>
      <c r="X77" s="52"/>
      <c r="Y77" s="52"/>
      <c r="Z77" s="52"/>
    </row>
    <row r="78" spans="1:26" ht="12" customHeight="1" x14ac:dyDescent="0.3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0"/>
      <c r="T78" s="50"/>
      <c r="U78" s="50"/>
      <c r="V78" s="51"/>
      <c r="W78" s="51"/>
      <c r="X78" s="52"/>
      <c r="Y78" s="52"/>
      <c r="Z78" s="52"/>
    </row>
    <row r="79" spans="1:26" ht="12" customHeight="1" x14ac:dyDescent="0.3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0"/>
      <c r="T79" s="50"/>
      <c r="U79" s="50"/>
      <c r="V79" s="51"/>
      <c r="W79" s="51"/>
      <c r="X79" s="52"/>
      <c r="Y79" s="52"/>
      <c r="Z79" s="52"/>
    </row>
    <row r="80" spans="1:26" ht="12" customHeight="1" x14ac:dyDescent="0.3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0"/>
      <c r="T80" s="50"/>
      <c r="U80" s="50"/>
      <c r="V80" s="51"/>
      <c r="W80" s="51"/>
      <c r="X80" s="52"/>
      <c r="Y80" s="52"/>
      <c r="Z80" s="52"/>
    </row>
    <row r="81" spans="1:26" ht="12" customHeight="1" x14ac:dyDescent="0.3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0"/>
      <c r="T81" s="50"/>
      <c r="U81" s="50"/>
      <c r="V81" s="51"/>
      <c r="W81" s="51"/>
      <c r="X81" s="52"/>
      <c r="Y81" s="52"/>
      <c r="Z81" s="52"/>
    </row>
    <row r="82" spans="1:26" ht="12" customHeight="1" x14ac:dyDescent="0.3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0"/>
      <c r="T82" s="50"/>
      <c r="U82" s="50"/>
      <c r="V82" s="51"/>
      <c r="W82" s="51"/>
      <c r="X82" s="52"/>
      <c r="Y82" s="52"/>
      <c r="Z82" s="52"/>
    </row>
    <row r="83" spans="1:26" ht="12" customHeight="1" x14ac:dyDescent="0.3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0"/>
      <c r="T83" s="50"/>
      <c r="U83" s="50"/>
      <c r="V83" s="51"/>
      <c r="W83" s="51"/>
      <c r="X83" s="52"/>
      <c r="Y83" s="52"/>
      <c r="Z83" s="52"/>
    </row>
    <row r="84" spans="1:26" ht="12" customHeight="1" x14ac:dyDescent="0.3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0"/>
      <c r="T84" s="50"/>
      <c r="U84" s="50"/>
      <c r="V84" s="51"/>
      <c r="W84" s="51"/>
      <c r="X84" s="52"/>
      <c r="Y84" s="52"/>
      <c r="Z84" s="52"/>
    </row>
    <row r="85" spans="1:26" ht="12" customHeight="1" x14ac:dyDescent="0.3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0"/>
      <c r="T85" s="50"/>
      <c r="U85" s="50"/>
      <c r="V85" s="51"/>
      <c r="W85" s="51"/>
      <c r="X85" s="52"/>
      <c r="Y85" s="52"/>
      <c r="Z85" s="52"/>
    </row>
    <row r="86" spans="1:26" ht="12" customHeight="1" x14ac:dyDescent="0.3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0"/>
      <c r="T86" s="50"/>
      <c r="U86" s="50"/>
      <c r="V86" s="51"/>
      <c r="W86" s="51"/>
      <c r="X86" s="52"/>
      <c r="Y86" s="52"/>
      <c r="Z86" s="52"/>
    </row>
    <row r="87" spans="1:26" ht="12" customHeight="1" x14ac:dyDescent="0.3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0"/>
      <c r="T87" s="50"/>
      <c r="U87" s="50"/>
      <c r="V87" s="51"/>
      <c r="W87" s="51"/>
      <c r="X87" s="52"/>
      <c r="Y87" s="52"/>
      <c r="Z87" s="52"/>
    </row>
    <row r="88" spans="1:26" ht="12" customHeight="1" x14ac:dyDescent="0.3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0"/>
      <c r="T88" s="50"/>
      <c r="U88" s="50"/>
      <c r="V88" s="51"/>
      <c r="W88" s="51"/>
      <c r="X88" s="52"/>
      <c r="Y88" s="52"/>
      <c r="Z88" s="52"/>
    </row>
    <row r="89" spans="1:26" ht="12" customHeight="1" x14ac:dyDescent="0.3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0"/>
      <c r="T89" s="50"/>
      <c r="U89" s="50"/>
      <c r="V89" s="51"/>
      <c r="W89" s="51"/>
      <c r="X89" s="52"/>
      <c r="Y89" s="52"/>
      <c r="Z89" s="52"/>
    </row>
    <row r="90" spans="1:26" ht="12" customHeight="1" x14ac:dyDescent="0.3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0"/>
      <c r="T90" s="50"/>
      <c r="U90" s="50"/>
      <c r="V90" s="51"/>
      <c r="W90" s="51"/>
      <c r="X90" s="52"/>
      <c r="Y90" s="52"/>
      <c r="Z90" s="52"/>
    </row>
    <row r="91" spans="1:26" ht="12" customHeight="1" x14ac:dyDescent="0.3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0"/>
      <c r="T91" s="50"/>
      <c r="U91" s="50"/>
      <c r="V91" s="51"/>
      <c r="W91" s="51"/>
      <c r="X91" s="52"/>
      <c r="Y91" s="52"/>
      <c r="Z91" s="52"/>
    </row>
    <row r="92" spans="1:26" ht="12" customHeight="1" x14ac:dyDescent="0.3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0"/>
      <c r="T92" s="50"/>
      <c r="U92" s="50"/>
      <c r="V92" s="51"/>
      <c r="W92" s="51"/>
      <c r="X92" s="52"/>
      <c r="Y92" s="52"/>
      <c r="Z92" s="52"/>
    </row>
    <row r="93" spans="1:26" ht="12" customHeight="1" x14ac:dyDescent="0.3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0"/>
      <c r="T93" s="50"/>
      <c r="U93" s="50"/>
      <c r="V93" s="51"/>
      <c r="W93" s="51"/>
      <c r="X93" s="52"/>
      <c r="Y93" s="52"/>
      <c r="Z93" s="52"/>
    </row>
    <row r="94" spans="1:26" ht="12" customHeight="1" x14ac:dyDescent="0.3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0"/>
      <c r="T94" s="50"/>
      <c r="U94" s="50"/>
      <c r="V94" s="51"/>
      <c r="W94" s="51"/>
      <c r="X94" s="52"/>
      <c r="Y94" s="52"/>
      <c r="Z94" s="52"/>
    </row>
    <row r="95" spans="1:26" ht="12" customHeight="1" x14ac:dyDescent="0.3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0"/>
      <c r="T95" s="50"/>
      <c r="U95" s="50"/>
      <c r="V95" s="51"/>
      <c r="W95" s="51"/>
      <c r="X95" s="52"/>
      <c r="Y95" s="52"/>
      <c r="Z95" s="52"/>
    </row>
    <row r="96" spans="1:26" ht="12" customHeight="1" x14ac:dyDescent="0.3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0"/>
      <c r="T96" s="50"/>
      <c r="U96" s="50"/>
      <c r="V96" s="51"/>
      <c r="W96" s="51"/>
      <c r="X96" s="52"/>
      <c r="Y96" s="52"/>
      <c r="Z96" s="52"/>
    </row>
    <row r="97" spans="1:26" ht="12" customHeight="1" x14ac:dyDescent="0.3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0"/>
      <c r="T97" s="50"/>
      <c r="U97" s="50"/>
      <c r="V97" s="51"/>
      <c r="W97" s="51"/>
      <c r="X97" s="52"/>
      <c r="Y97" s="52"/>
      <c r="Z97" s="52"/>
    </row>
    <row r="98" spans="1:26" ht="12" customHeight="1" x14ac:dyDescent="0.3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0"/>
      <c r="T98" s="50"/>
      <c r="U98" s="50"/>
      <c r="V98" s="51"/>
      <c r="W98" s="51"/>
      <c r="X98" s="52"/>
      <c r="Y98" s="52"/>
      <c r="Z98" s="52"/>
    </row>
    <row r="99" spans="1:26" ht="12" customHeight="1" x14ac:dyDescent="0.3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0"/>
      <c r="T99" s="50"/>
      <c r="U99" s="50"/>
      <c r="V99" s="51"/>
      <c r="W99" s="51"/>
      <c r="X99" s="52"/>
      <c r="Y99" s="52"/>
      <c r="Z99" s="52"/>
    </row>
    <row r="100" spans="1:26" ht="12" customHeight="1" x14ac:dyDescent="0.3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0"/>
      <c r="T100" s="50"/>
      <c r="U100" s="50"/>
      <c r="V100" s="51"/>
      <c r="W100" s="51"/>
      <c r="X100" s="52"/>
      <c r="Y100" s="52"/>
      <c r="Z100" s="52"/>
    </row>
    <row r="101" spans="1:26" ht="12" customHeight="1" x14ac:dyDescent="0.3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0"/>
      <c r="T101" s="50"/>
      <c r="U101" s="50"/>
      <c r="V101" s="51"/>
      <c r="W101" s="51"/>
      <c r="X101" s="52"/>
      <c r="Y101" s="52"/>
      <c r="Z101" s="52"/>
    </row>
    <row r="102" spans="1:26" ht="12" customHeight="1" x14ac:dyDescent="0.3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0"/>
      <c r="T102" s="50"/>
      <c r="U102" s="50"/>
      <c r="V102" s="51"/>
      <c r="W102" s="51"/>
      <c r="X102" s="52"/>
      <c r="Y102" s="52"/>
      <c r="Z102" s="52"/>
    </row>
    <row r="103" spans="1:26" ht="12" customHeight="1" x14ac:dyDescent="0.3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0"/>
      <c r="T103" s="50"/>
      <c r="U103" s="50"/>
      <c r="V103" s="51"/>
      <c r="W103" s="51"/>
      <c r="X103" s="52"/>
      <c r="Y103" s="52"/>
      <c r="Z103" s="52"/>
    </row>
    <row r="104" spans="1:26" ht="12" customHeight="1" x14ac:dyDescent="0.3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0"/>
      <c r="T104" s="50"/>
      <c r="U104" s="50"/>
      <c r="V104" s="51"/>
      <c r="W104" s="51"/>
      <c r="X104" s="52"/>
      <c r="Y104" s="52"/>
      <c r="Z104" s="52"/>
    </row>
    <row r="105" spans="1:26" ht="12" customHeight="1" x14ac:dyDescent="0.3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0"/>
      <c r="T105" s="50"/>
      <c r="U105" s="50"/>
      <c r="V105" s="51"/>
      <c r="W105" s="51"/>
      <c r="X105" s="52"/>
      <c r="Y105" s="52"/>
      <c r="Z105" s="52"/>
    </row>
    <row r="106" spans="1:26" ht="12" customHeight="1" x14ac:dyDescent="0.3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0"/>
      <c r="T106" s="50"/>
      <c r="U106" s="50"/>
      <c r="V106" s="51"/>
      <c r="W106" s="51"/>
      <c r="X106" s="52"/>
      <c r="Y106" s="52"/>
      <c r="Z106" s="52"/>
    </row>
    <row r="107" spans="1:26" ht="12" customHeight="1" x14ac:dyDescent="0.3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0"/>
      <c r="T107" s="50"/>
      <c r="U107" s="50"/>
      <c r="V107" s="51"/>
      <c r="W107" s="51"/>
      <c r="X107" s="52"/>
      <c r="Y107" s="52"/>
      <c r="Z107" s="52"/>
    </row>
    <row r="108" spans="1:26" ht="12" customHeight="1" x14ac:dyDescent="0.3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0"/>
      <c r="T108" s="50"/>
      <c r="U108" s="50"/>
      <c r="V108" s="51"/>
      <c r="W108" s="51"/>
      <c r="X108" s="52"/>
      <c r="Y108" s="52"/>
      <c r="Z108" s="52"/>
    </row>
    <row r="109" spans="1:26" ht="12" customHeight="1" x14ac:dyDescent="0.3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0"/>
      <c r="T109" s="50"/>
      <c r="U109" s="50"/>
      <c r="V109" s="51"/>
      <c r="W109" s="51"/>
      <c r="X109" s="52"/>
      <c r="Y109" s="52"/>
      <c r="Z109" s="52"/>
    </row>
    <row r="110" spans="1:26" ht="12" customHeight="1" x14ac:dyDescent="0.3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0"/>
      <c r="T110" s="50"/>
      <c r="U110" s="50"/>
      <c r="V110" s="51"/>
      <c r="W110" s="51"/>
      <c r="X110" s="52"/>
      <c r="Y110" s="52"/>
      <c r="Z110" s="52"/>
    </row>
    <row r="111" spans="1:26" ht="12" customHeight="1" x14ac:dyDescent="0.3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0"/>
      <c r="T111" s="50"/>
      <c r="U111" s="50"/>
      <c r="V111" s="51"/>
      <c r="W111" s="51"/>
      <c r="X111" s="52"/>
      <c r="Y111" s="52"/>
      <c r="Z111" s="52"/>
    </row>
    <row r="112" spans="1:26" ht="12" customHeight="1" x14ac:dyDescent="0.3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0"/>
      <c r="T112" s="50"/>
      <c r="U112" s="50"/>
      <c r="V112" s="51"/>
      <c r="W112" s="51"/>
      <c r="X112" s="52"/>
      <c r="Y112" s="52"/>
      <c r="Z112" s="52"/>
    </row>
    <row r="113" spans="1:26" ht="12" customHeight="1" x14ac:dyDescent="0.3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0"/>
      <c r="T113" s="50"/>
      <c r="U113" s="50"/>
      <c r="V113" s="51"/>
      <c r="W113" s="51"/>
      <c r="X113" s="52"/>
      <c r="Y113" s="52"/>
      <c r="Z113" s="52"/>
    </row>
    <row r="114" spans="1:26" ht="12" customHeight="1" x14ac:dyDescent="0.3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0"/>
      <c r="T114" s="50"/>
      <c r="U114" s="50"/>
      <c r="V114" s="51"/>
      <c r="W114" s="51"/>
      <c r="X114" s="52"/>
      <c r="Y114" s="52"/>
      <c r="Z114" s="52"/>
    </row>
    <row r="115" spans="1:26" ht="12" customHeight="1" x14ac:dyDescent="0.3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0"/>
      <c r="T115" s="50"/>
      <c r="U115" s="50"/>
      <c r="V115" s="51"/>
      <c r="W115" s="51"/>
      <c r="X115" s="52"/>
      <c r="Y115" s="52"/>
      <c r="Z115" s="52"/>
    </row>
    <row r="116" spans="1:26" ht="12" customHeight="1" x14ac:dyDescent="0.3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0"/>
      <c r="T116" s="50"/>
      <c r="U116" s="50"/>
      <c r="V116" s="51"/>
      <c r="W116" s="51"/>
      <c r="X116" s="52"/>
      <c r="Y116" s="52"/>
      <c r="Z116" s="52"/>
    </row>
    <row r="117" spans="1:26" ht="12" customHeight="1" x14ac:dyDescent="0.3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0"/>
      <c r="T117" s="50"/>
      <c r="U117" s="50"/>
      <c r="V117" s="51"/>
      <c r="W117" s="51"/>
      <c r="X117" s="52"/>
      <c r="Y117" s="52"/>
      <c r="Z117" s="52"/>
    </row>
    <row r="118" spans="1:26" ht="12" customHeight="1" x14ac:dyDescent="0.3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0"/>
      <c r="T118" s="50"/>
      <c r="U118" s="50"/>
      <c r="V118" s="51"/>
      <c r="W118" s="51"/>
      <c r="X118" s="52"/>
      <c r="Y118" s="52"/>
      <c r="Z118" s="52"/>
    </row>
    <row r="119" spans="1:26" ht="12" customHeight="1" x14ac:dyDescent="0.3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0"/>
      <c r="T119" s="50"/>
      <c r="U119" s="50"/>
      <c r="V119" s="51"/>
      <c r="W119" s="51"/>
      <c r="X119" s="52"/>
      <c r="Y119" s="52"/>
      <c r="Z119" s="52"/>
    </row>
    <row r="120" spans="1:26" ht="12" customHeight="1" x14ac:dyDescent="0.3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0"/>
      <c r="T120" s="50"/>
      <c r="U120" s="50"/>
      <c r="V120" s="51"/>
      <c r="W120" s="51"/>
      <c r="X120" s="52"/>
      <c r="Y120" s="52"/>
      <c r="Z120" s="52"/>
    </row>
    <row r="121" spans="1:26" ht="12" customHeight="1" x14ac:dyDescent="0.3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0"/>
      <c r="T121" s="50"/>
      <c r="U121" s="50"/>
      <c r="V121" s="51"/>
      <c r="W121" s="51"/>
      <c r="X121" s="52"/>
      <c r="Y121" s="52"/>
      <c r="Z121" s="52"/>
    </row>
    <row r="122" spans="1:26" ht="12" customHeight="1" x14ac:dyDescent="0.3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0"/>
      <c r="T122" s="50"/>
      <c r="U122" s="50"/>
      <c r="V122" s="51"/>
      <c r="W122" s="51"/>
      <c r="X122" s="52"/>
      <c r="Y122" s="52"/>
      <c r="Z122" s="52"/>
    </row>
    <row r="123" spans="1:26" ht="12" customHeight="1" x14ac:dyDescent="0.3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0"/>
      <c r="T123" s="50"/>
      <c r="U123" s="50"/>
      <c r="V123" s="51"/>
      <c r="W123" s="51"/>
      <c r="X123" s="52"/>
      <c r="Y123" s="52"/>
      <c r="Z123" s="52"/>
    </row>
    <row r="124" spans="1:26" ht="12" customHeight="1" x14ac:dyDescent="0.3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0"/>
      <c r="T124" s="50"/>
      <c r="U124" s="50"/>
      <c r="V124" s="51"/>
      <c r="W124" s="51"/>
      <c r="X124" s="52"/>
      <c r="Y124" s="52"/>
      <c r="Z124" s="52"/>
    </row>
    <row r="125" spans="1:26" ht="12" customHeight="1" x14ac:dyDescent="0.3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0"/>
      <c r="T125" s="50"/>
      <c r="U125" s="50"/>
      <c r="V125" s="51"/>
      <c r="W125" s="51"/>
      <c r="X125" s="52"/>
      <c r="Y125" s="52"/>
      <c r="Z125" s="52"/>
    </row>
    <row r="126" spans="1:26" ht="12" customHeight="1" x14ac:dyDescent="0.3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0"/>
      <c r="T126" s="50"/>
      <c r="U126" s="50"/>
      <c r="V126" s="51"/>
      <c r="W126" s="51"/>
      <c r="X126" s="52"/>
      <c r="Y126" s="52"/>
      <c r="Z126" s="52"/>
    </row>
    <row r="127" spans="1:26" ht="12" customHeight="1" x14ac:dyDescent="0.3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0"/>
      <c r="T127" s="50"/>
      <c r="U127" s="50"/>
      <c r="V127" s="51"/>
      <c r="W127" s="51"/>
      <c r="X127" s="52"/>
      <c r="Y127" s="52"/>
      <c r="Z127" s="52"/>
    </row>
    <row r="128" spans="1:26" ht="12" customHeight="1" x14ac:dyDescent="0.3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0"/>
      <c r="T128" s="50"/>
      <c r="U128" s="50"/>
      <c r="V128" s="51"/>
      <c r="W128" s="51"/>
      <c r="X128" s="52"/>
      <c r="Y128" s="52"/>
      <c r="Z128" s="52"/>
    </row>
    <row r="129" spans="1:26" ht="12" customHeight="1" x14ac:dyDescent="0.3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0"/>
      <c r="T129" s="50"/>
      <c r="U129" s="50"/>
      <c r="V129" s="51"/>
      <c r="W129" s="51"/>
      <c r="X129" s="52"/>
      <c r="Y129" s="52"/>
      <c r="Z129" s="52"/>
    </row>
    <row r="130" spans="1:26" ht="12" customHeight="1" x14ac:dyDescent="0.3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0"/>
      <c r="T130" s="50"/>
      <c r="U130" s="50"/>
      <c r="V130" s="51"/>
      <c r="W130" s="51"/>
      <c r="X130" s="52"/>
      <c r="Y130" s="52"/>
      <c r="Z130" s="52"/>
    </row>
    <row r="131" spans="1:26" ht="12" customHeight="1" x14ac:dyDescent="0.3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0"/>
      <c r="T131" s="50"/>
      <c r="U131" s="50"/>
      <c r="V131" s="51"/>
      <c r="W131" s="51"/>
      <c r="X131" s="52"/>
      <c r="Y131" s="52"/>
      <c r="Z131" s="52"/>
    </row>
    <row r="132" spans="1:26" ht="12" customHeight="1" x14ac:dyDescent="0.3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0"/>
      <c r="T132" s="50"/>
      <c r="U132" s="50"/>
      <c r="V132" s="51"/>
      <c r="W132" s="51"/>
      <c r="X132" s="52"/>
      <c r="Y132" s="52"/>
      <c r="Z132" s="52"/>
    </row>
    <row r="133" spans="1:26" ht="12" customHeight="1" x14ac:dyDescent="0.3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0"/>
      <c r="T133" s="50"/>
      <c r="U133" s="50"/>
      <c r="V133" s="51"/>
      <c r="W133" s="51"/>
      <c r="X133" s="52"/>
      <c r="Y133" s="52"/>
      <c r="Z133" s="52"/>
    </row>
    <row r="134" spans="1:26" ht="12" customHeight="1" x14ac:dyDescent="0.3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0"/>
      <c r="T134" s="50"/>
      <c r="U134" s="50"/>
      <c r="V134" s="51"/>
      <c r="W134" s="51"/>
      <c r="X134" s="52"/>
      <c r="Y134" s="52"/>
      <c r="Z134" s="52"/>
    </row>
    <row r="135" spans="1:26" ht="12" customHeight="1" x14ac:dyDescent="0.3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0"/>
      <c r="T135" s="50"/>
      <c r="U135" s="50"/>
      <c r="V135" s="51"/>
      <c r="W135" s="51"/>
      <c r="X135" s="52"/>
      <c r="Y135" s="52"/>
      <c r="Z135" s="52"/>
    </row>
    <row r="136" spans="1:26" ht="12" customHeight="1" x14ac:dyDescent="0.3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0"/>
      <c r="T136" s="50"/>
      <c r="U136" s="50"/>
      <c r="V136" s="51"/>
      <c r="W136" s="51"/>
      <c r="X136" s="52"/>
      <c r="Y136" s="52"/>
      <c r="Z136" s="52"/>
    </row>
    <row r="137" spans="1:26" ht="12" customHeight="1" x14ac:dyDescent="0.3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0"/>
      <c r="T137" s="50"/>
      <c r="U137" s="50"/>
      <c r="V137" s="51"/>
      <c r="W137" s="51"/>
      <c r="X137" s="52"/>
      <c r="Y137" s="52"/>
      <c r="Z137" s="52"/>
    </row>
    <row r="138" spans="1:26" ht="12" customHeight="1" x14ac:dyDescent="0.3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0"/>
      <c r="T138" s="50"/>
      <c r="U138" s="50"/>
      <c r="V138" s="51"/>
      <c r="W138" s="51"/>
      <c r="X138" s="52"/>
      <c r="Y138" s="52"/>
      <c r="Z138" s="52"/>
    </row>
    <row r="139" spans="1:26" ht="12" customHeight="1" x14ac:dyDescent="0.3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0"/>
      <c r="T139" s="50"/>
      <c r="U139" s="50"/>
      <c r="V139" s="51"/>
      <c r="W139" s="51"/>
      <c r="X139" s="52"/>
      <c r="Y139" s="52"/>
      <c r="Z139" s="52"/>
    </row>
    <row r="140" spans="1:26" ht="12" customHeight="1" x14ac:dyDescent="0.3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0"/>
      <c r="T140" s="50"/>
      <c r="U140" s="50"/>
      <c r="V140" s="51"/>
      <c r="W140" s="51"/>
      <c r="X140" s="52"/>
      <c r="Y140" s="52"/>
      <c r="Z140" s="52"/>
    </row>
    <row r="141" spans="1:26" ht="12" customHeight="1" x14ac:dyDescent="0.3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0"/>
      <c r="T141" s="50"/>
      <c r="U141" s="50"/>
      <c r="V141" s="51"/>
      <c r="W141" s="51"/>
      <c r="X141" s="52"/>
      <c r="Y141" s="52"/>
      <c r="Z141" s="52"/>
    </row>
    <row r="142" spans="1:26" ht="12" customHeight="1" x14ac:dyDescent="0.3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0"/>
      <c r="T142" s="50"/>
      <c r="U142" s="50"/>
      <c r="V142" s="51"/>
      <c r="W142" s="51"/>
      <c r="X142" s="52"/>
      <c r="Y142" s="52"/>
      <c r="Z142" s="52"/>
    </row>
    <row r="143" spans="1:26" ht="12" customHeight="1" x14ac:dyDescent="0.3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0"/>
      <c r="T143" s="50"/>
      <c r="U143" s="50"/>
      <c r="V143" s="51"/>
      <c r="W143" s="51"/>
      <c r="X143" s="52"/>
      <c r="Y143" s="52"/>
      <c r="Z143" s="52"/>
    </row>
    <row r="144" spans="1:26" ht="12" customHeight="1" x14ac:dyDescent="0.3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0"/>
      <c r="T144" s="50"/>
      <c r="U144" s="50"/>
      <c r="V144" s="51"/>
      <c r="W144" s="51"/>
      <c r="X144" s="52"/>
      <c r="Y144" s="52"/>
      <c r="Z144" s="52"/>
    </row>
    <row r="145" spans="1:26" ht="12" customHeight="1" x14ac:dyDescent="0.3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0"/>
      <c r="T145" s="50"/>
      <c r="U145" s="50"/>
      <c r="V145" s="51"/>
      <c r="W145" s="51"/>
      <c r="X145" s="52"/>
      <c r="Y145" s="52"/>
      <c r="Z145" s="52"/>
    </row>
    <row r="146" spans="1:26" ht="12" customHeight="1" x14ac:dyDescent="0.3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0"/>
      <c r="T146" s="50"/>
      <c r="U146" s="50"/>
      <c r="V146" s="51"/>
      <c r="W146" s="51"/>
      <c r="X146" s="52"/>
      <c r="Y146" s="52"/>
      <c r="Z146" s="52"/>
    </row>
    <row r="147" spans="1:26" ht="12" customHeight="1" x14ac:dyDescent="0.3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0"/>
      <c r="T147" s="50"/>
      <c r="U147" s="50"/>
      <c r="V147" s="51"/>
      <c r="W147" s="51"/>
      <c r="X147" s="52"/>
      <c r="Y147" s="52"/>
      <c r="Z147" s="52"/>
    </row>
    <row r="148" spans="1:26" ht="12" customHeight="1" x14ac:dyDescent="0.3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0"/>
      <c r="T148" s="50"/>
      <c r="U148" s="50"/>
      <c r="V148" s="51"/>
      <c r="W148" s="51"/>
      <c r="X148" s="52"/>
      <c r="Y148" s="52"/>
      <c r="Z148" s="52"/>
    </row>
    <row r="149" spans="1:26" ht="12" customHeight="1" x14ac:dyDescent="0.3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0"/>
      <c r="T149" s="50"/>
      <c r="U149" s="50"/>
      <c r="V149" s="51"/>
      <c r="W149" s="51"/>
      <c r="X149" s="52"/>
      <c r="Y149" s="52"/>
      <c r="Z149" s="52"/>
    </row>
    <row r="150" spans="1:26" ht="12" customHeight="1" x14ac:dyDescent="0.3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0"/>
      <c r="T150" s="50"/>
      <c r="U150" s="50"/>
      <c r="V150" s="51"/>
      <c r="W150" s="51"/>
      <c r="X150" s="52"/>
      <c r="Y150" s="52"/>
      <c r="Z150" s="52"/>
    </row>
    <row r="151" spans="1:26" ht="12" customHeight="1" x14ac:dyDescent="0.3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0"/>
      <c r="T151" s="50"/>
      <c r="U151" s="50"/>
      <c r="V151" s="51"/>
      <c r="W151" s="51"/>
      <c r="X151" s="52"/>
      <c r="Y151" s="52"/>
      <c r="Z151" s="52"/>
    </row>
    <row r="152" spans="1:26" ht="12" customHeight="1" x14ac:dyDescent="0.3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0"/>
      <c r="T152" s="50"/>
      <c r="U152" s="50"/>
      <c r="V152" s="51"/>
      <c r="W152" s="51"/>
      <c r="X152" s="52"/>
      <c r="Y152" s="52"/>
      <c r="Z152" s="52"/>
    </row>
    <row r="153" spans="1:26" ht="12" customHeight="1" x14ac:dyDescent="0.3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0"/>
      <c r="T153" s="50"/>
      <c r="U153" s="50"/>
      <c r="V153" s="51"/>
      <c r="W153" s="51"/>
      <c r="X153" s="52"/>
      <c r="Y153" s="52"/>
      <c r="Z153" s="52"/>
    </row>
    <row r="154" spans="1:26" ht="12" customHeight="1" x14ac:dyDescent="0.3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0"/>
      <c r="T154" s="50"/>
      <c r="U154" s="50"/>
      <c r="V154" s="51"/>
      <c r="W154" s="51"/>
      <c r="X154" s="52"/>
      <c r="Y154" s="52"/>
      <c r="Z154" s="52"/>
    </row>
    <row r="155" spans="1:26" ht="12" customHeight="1" x14ac:dyDescent="0.3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0"/>
      <c r="T155" s="50"/>
      <c r="U155" s="50"/>
      <c r="V155" s="51"/>
      <c r="W155" s="51"/>
      <c r="X155" s="52"/>
      <c r="Y155" s="52"/>
      <c r="Z155" s="52"/>
    </row>
    <row r="156" spans="1:26" ht="12" customHeight="1" x14ac:dyDescent="0.3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0"/>
      <c r="T156" s="50"/>
      <c r="U156" s="50"/>
      <c r="V156" s="51"/>
      <c r="W156" s="51"/>
      <c r="X156" s="52"/>
      <c r="Y156" s="52"/>
      <c r="Z156" s="52"/>
    </row>
    <row r="157" spans="1:26" ht="12" customHeight="1" x14ac:dyDescent="0.3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0"/>
      <c r="T157" s="50"/>
      <c r="U157" s="50"/>
      <c r="V157" s="51"/>
      <c r="W157" s="51"/>
      <c r="X157" s="52"/>
      <c r="Y157" s="52"/>
      <c r="Z157" s="52"/>
    </row>
    <row r="158" spans="1:26" ht="12" customHeight="1" x14ac:dyDescent="0.3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0"/>
      <c r="T158" s="50"/>
      <c r="U158" s="50"/>
      <c r="V158" s="51"/>
      <c r="W158" s="51"/>
      <c r="X158" s="52"/>
      <c r="Y158" s="52"/>
      <c r="Z158" s="52"/>
    </row>
    <row r="159" spans="1:26" ht="12" customHeight="1" x14ac:dyDescent="0.3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0"/>
      <c r="T159" s="50"/>
      <c r="U159" s="50"/>
      <c r="V159" s="51"/>
      <c r="W159" s="51"/>
      <c r="X159" s="52"/>
      <c r="Y159" s="52"/>
      <c r="Z159" s="52"/>
    </row>
    <row r="160" spans="1:26" ht="12" customHeight="1" x14ac:dyDescent="0.3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0"/>
      <c r="T160" s="50"/>
      <c r="U160" s="50"/>
      <c r="V160" s="51"/>
      <c r="W160" s="51"/>
      <c r="X160" s="52"/>
      <c r="Y160" s="52"/>
      <c r="Z160" s="52"/>
    </row>
    <row r="161" spans="1:26" ht="12" customHeight="1" x14ac:dyDescent="0.3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0"/>
      <c r="T161" s="50"/>
      <c r="U161" s="50"/>
      <c r="V161" s="51"/>
      <c r="W161" s="51"/>
      <c r="X161" s="52"/>
      <c r="Y161" s="52"/>
      <c r="Z161" s="52"/>
    </row>
    <row r="162" spans="1:26" ht="12" customHeight="1" x14ac:dyDescent="0.3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0"/>
      <c r="T162" s="50"/>
      <c r="U162" s="50"/>
      <c r="V162" s="51"/>
      <c r="W162" s="51"/>
      <c r="X162" s="52"/>
      <c r="Y162" s="52"/>
      <c r="Z162" s="52"/>
    </row>
    <row r="163" spans="1:26" ht="12" customHeight="1" x14ac:dyDescent="0.3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0"/>
      <c r="T163" s="50"/>
      <c r="U163" s="50"/>
      <c r="V163" s="51"/>
      <c r="W163" s="51"/>
      <c r="X163" s="52"/>
      <c r="Y163" s="52"/>
      <c r="Z163" s="52"/>
    </row>
    <row r="164" spans="1:26" ht="12" customHeight="1" x14ac:dyDescent="0.3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0"/>
      <c r="T164" s="50"/>
      <c r="U164" s="50"/>
      <c r="V164" s="51"/>
      <c r="W164" s="51"/>
      <c r="X164" s="52"/>
      <c r="Y164" s="52"/>
      <c r="Z164" s="52"/>
    </row>
    <row r="165" spans="1:26" ht="12" customHeight="1" x14ac:dyDescent="0.3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0"/>
      <c r="T165" s="50"/>
      <c r="U165" s="50"/>
      <c r="V165" s="51"/>
      <c r="W165" s="51"/>
      <c r="X165" s="52"/>
      <c r="Y165" s="52"/>
      <c r="Z165" s="52"/>
    </row>
    <row r="166" spans="1:26" ht="12" customHeight="1" x14ac:dyDescent="0.3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0"/>
      <c r="T166" s="50"/>
      <c r="U166" s="50"/>
      <c r="V166" s="51"/>
      <c r="W166" s="51"/>
      <c r="X166" s="52"/>
      <c r="Y166" s="52"/>
      <c r="Z166" s="52"/>
    </row>
    <row r="167" spans="1:26" ht="12" customHeight="1" x14ac:dyDescent="0.3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0"/>
      <c r="T167" s="50"/>
      <c r="U167" s="50"/>
      <c r="V167" s="51"/>
      <c r="W167" s="51"/>
      <c r="X167" s="52"/>
      <c r="Y167" s="52"/>
      <c r="Z167" s="52"/>
    </row>
    <row r="168" spans="1:26" ht="12" customHeight="1" x14ac:dyDescent="0.3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0"/>
      <c r="T168" s="50"/>
      <c r="U168" s="50"/>
      <c r="V168" s="51"/>
      <c r="W168" s="51"/>
      <c r="X168" s="52"/>
      <c r="Y168" s="52"/>
      <c r="Z168" s="52"/>
    </row>
    <row r="169" spans="1:26" ht="12" customHeight="1" x14ac:dyDescent="0.3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0"/>
      <c r="T169" s="50"/>
      <c r="U169" s="50"/>
      <c r="V169" s="51"/>
      <c r="W169" s="51"/>
      <c r="X169" s="52"/>
      <c r="Y169" s="52"/>
      <c r="Z169" s="52"/>
    </row>
    <row r="170" spans="1:26" ht="12" customHeight="1" x14ac:dyDescent="0.3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0"/>
      <c r="T170" s="50"/>
      <c r="U170" s="50"/>
      <c r="V170" s="51"/>
      <c r="W170" s="51"/>
      <c r="X170" s="52"/>
      <c r="Y170" s="52"/>
      <c r="Z170" s="52"/>
    </row>
    <row r="171" spans="1:26" ht="12" customHeight="1" x14ac:dyDescent="0.3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0"/>
      <c r="T171" s="50"/>
      <c r="U171" s="50"/>
      <c r="V171" s="51"/>
      <c r="W171" s="51"/>
      <c r="X171" s="52"/>
      <c r="Y171" s="52"/>
      <c r="Z171" s="52"/>
    </row>
    <row r="172" spans="1:26" ht="12" customHeight="1" x14ac:dyDescent="0.3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0"/>
      <c r="T172" s="50"/>
      <c r="U172" s="50"/>
      <c r="V172" s="51"/>
      <c r="W172" s="51"/>
      <c r="X172" s="52"/>
      <c r="Y172" s="52"/>
      <c r="Z172" s="52"/>
    </row>
    <row r="173" spans="1:26" ht="12" customHeight="1" x14ac:dyDescent="0.3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0"/>
      <c r="T173" s="50"/>
      <c r="U173" s="50"/>
      <c r="V173" s="51"/>
      <c r="W173" s="51"/>
      <c r="X173" s="52"/>
      <c r="Y173" s="52"/>
      <c r="Z173" s="52"/>
    </row>
    <row r="174" spans="1:26" ht="12" customHeight="1" x14ac:dyDescent="0.3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0"/>
      <c r="T174" s="50"/>
      <c r="U174" s="50"/>
      <c r="V174" s="51"/>
      <c r="W174" s="51"/>
      <c r="X174" s="52"/>
      <c r="Y174" s="52"/>
      <c r="Z174" s="52"/>
    </row>
    <row r="175" spans="1:26" ht="12" customHeight="1" x14ac:dyDescent="0.3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0"/>
      <c r="T175" s="50"/>
      <c r="U175" s="50"/>
      <c r="V175" s="51"/>
      <c r="W175" s="51"/>
      <c r="X175" s="52"/>
      <c r="Y175" s="52"/>
      <c r="Z175" s="52"/>
    </row>
    <row r="176" spans="1:26" ht="12" customHeight="1" x14ac:dyDescent="0.3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0"/>
      <c r="T176" s="50"/>
      <c r="U176" s="50"/>
      <c r="V176" s="51"/>
      <c r="W176" s="51"/>
      <c r="X176" s="52"/>
      <c r="Y176" s="52"/>
      <c r="Z176" s="52"/>
    </row>
    <row r="177" spans="1:26" ht="12" customHeight="1" x14ac:dyDescent="0.3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0"/>
      <c r="T177" s="50"/>
      <c r="U177" s="50"/>
      <c r="V177" s="51"/>
      <c r="W177" s="51"/>
      <c r="X177" s="52"/>
      <c r="Y177" s="52"/>
      <c r="Z177" s="52"/>
    </row>
    <row r="178" spans="1:26" ht="12" customHeight="1" x14ac:dyDescent="0.3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0"/>
      <c r="T178" s="50"/>
      <c r="U178" s="50"/>
      <c r="V178" s="51"/>
      <c r="W178" s="51"/>
      <c r="X178" s="52"/>
      <c r="Y178" s="52"/>
      <c r="Z178" s="52"/>
    </row>
    <row r="179" spans="1:26" ht="12" customHeight="1" x14ac:dyDescent="0.3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0"/>
      <c r="T179" s="50"/>
      <c r="U179" s="50"/>
      <c r="V179" s="51"/>
      <c r="W179" s="51"/>
      <c r="X179" s="52"/>
      <c r="Y179" s="52"/>
      <c r="Z179" s="52"/>
    </row>
    <row r="180" spans="1:26" ht="12" customHeight="1" x14ac:dyDescent="0.3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0"/>
      <c r="T180" s="50"/>
      <c r="U180" s="50"/>
      <c r="V180" s="51"/>
      <c r="W180" s="51"/>
      <c r="X180" s="52"/>
      <c r="Y180" s="52"/>
      <c r="Z180" s="52"/>
    </row>
    <row r="181" spans="1:26" ht="12" customHeight="1" x14ac:dyDescent="0.3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0"/>
      <c r="T181" s="50"/>
      <c r="U181" s="50"/>
      <c r="V181" s="51"/>
      <c r="W181" s="51"/>
      <c r="X181" s="52"/>
      <c r="Y181" s="52"/>
      <c r="Z181" s="52"/>
    </row>
    <row r="182" spans="1:26" ht="12" customHeight="1" x14ac:dyDescent="0.3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0"/>
      <c r="T182" s="50"/>
      <c r="U182" s="50"/>
      <c r="V182" s="51"/>
      <c r="W182" s="51"/>
      <c r="X182" s="52"/>
      <c r="Y182" s="52"/>
      <c r="Z182" s="52"/>
    </row>
    <row r="183" spans="1:26" ht="12" customHeight="1" x14ac:dyDescent="0.3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0"/>
      <c r="T183" s="50"/>
      <c r="U183" s="50"/>
      <c r="V183" s="51"/>
      <c r="W183" s="51"/>
      <c r="X183" s="52"/>
      <c r="Y183" s="52"/>
      <c r="Z183" s="52"/>
    </row>
    <row r="184" spans="1:26" ht="12" customHeight="1" x14ac:dyDescent="0.3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0"/>
      <c r="T184" s="50"/>
      <c r="U184" s="50"/>
      <c r="V184" s="51"/>
      <c r="W184" s="51"/>
      <c r="X184" s="52"/>
      <c r="Y184" s="52"/>
      <c r="Z184" s="52"/>
    </row>
    <row r="185" spans="1:26" ht="12" customHeight="1" x14ac:dyDescent="0.3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0"/>
      <c r="T185" s="50"/>
      <c r="U185" s="50"/>
      <c r="V185" s="51"/>
      <c r="W185" s="51"/>
      <c r="X185" s="52"/>
      <c r="Y185" s="52"/>
      <c r="Z185" s="52"/>
    </row>
    <row r="186" spans="1:26" ht="12" customHeight="1" x14ac:dyDescent="0.3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0"/>
      <c r="T186" s="50"/>
      <c r="U186" s="50"/>
      <c r="V186" s="51"/>
      <c r="W186" s="51"/>
      <c r="X186" s="52"/>
      <c r="Y186" s="52"/>
      <c r="Z186" s="52"/>
    </row>
    <row r="187" spans="1:26" ht="12" customHeight="1" x14ac:dyDescent="0.3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0"/>
      <c r="T187" s="50"/>
      <c r="U187" s="50"/>
      <c r="V187" s="51"/>
      <c r="W187" s="51"/>
      <c r="X187" s="52"/>
      <c r="Y187" s="52"/>
      <c r="Z187" s="52"/>
    </row>
    <row r="188" spans="1:26" ht="12" customHeight="1" x14ac:dyDescent="0.3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0"/>
      <c r="T188" s="50"/>
      <c r="U188" s="50"/>
      <c r="V188" s="51"/>
      <c r="W188" s="51"/>
      <c r="X188" s="52"/>
      <c r="Y188" s="52"/>
      <c r="Z188" s="52"/>
    </row>
    <row r="189" spans="1:26" ht="12" customHeight="1" x14ac:dyDescent="0.3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0"/>
      <c r="T189" s="50"/>
      <c r="U189" s="50"/>
      <c r="V189" s="51"/>
      <c r="W189" s="51"/>
      <c r="X189" s="52"/>
      <c r="Y189" s="52"/>
      <c r="Z189" s="52"/>
    </row>
    <row r="190" spans="1:26" ht="12" customHeight="1" x14ac:dyDescent="0.3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0"/>
      <c r="T190" s="50"/>
      <c r="U190" s="50"/>
      <c r="V190" s="51"/>
      <c r="W190" s="51"/>
      <c r="X190" s="52"/>
      <c r="Y190" s="52"/>
      <c r="Z190" s="52"/>
    </row>
    <row r="191" spans="1:26" ht="12" customHeight="1" x14ac:dyDescent="0.3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0"/>
      <c r="T191" s="50"/>
      <c r="U191" s="50"/>
      <c r="V191" s="51"/>
      <c r="W191" s="51"/>
      <c r="X191" s="52"/>
      <c r="Y191" s="52"/>
      <c r="Z191" s="52"/>
    </row>
    <row r="192" spans="1:26" ht="12" customHeight="1" x14ac:dyDescent="0.3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0"/>
      <c r="T192" s="50"/>
      <c r="U192" s="50"/>
      <c r="V192" s="51"/>
      <c r="W192" s="51"/>
      <c r="X192" s="52"/>
      <c r="Y192" s="52"/>
      <c r="Z192" s="52"/>
    </row>
    <row r="193" spans="1:26" ht="12" customHeight="1" x14ac:dyDescent="0.3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0"/>
      <c r="T193" s="50"/>
      <c r="U193" s="50"/>
      <c r="V193" s="51"/>
      <c r="W193" s="51"/>
      <c r="X193" s="52"/>
      <c r="Y193" s="52"/>
      <c r="Z193" s="52"/>
    </row>
    <row r="194" spans="1:26" ht="12" customHeight="1" x14ac:dyDescent="0.3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0"/>
      <c r="T194" s="50"/>
      <c r="U194" s="50"/>
      <c r="V194" s="51"/>
      <c r="W194" s="51"/>
      <c r="X194" s="52"/>
      <c r="Y194" s="52"/>
      <c r="Z194" s="52"/>
    </row>
    <row r="195" spans="1:26" ht="12" customHeight="1" x14ac:dyDescent="0.3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0"/>
      <c r="T195" s="50"/>
      <c r="U195" s="50"/>
      <c r="V195" s="51"/>
      <c r="W195" s="51"/>
      <c r="X195" s="52"/>
      <c r="Y195" s="52"/>
      <c r="Z195" s="52"/>
    </row>
    <row r="196" spans="1:26" ht="12" customHeight="1" x14ac:dyDescent="0.3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0"/>
      <c r="T196" s="50"/>
      <c r="U196" s="50"/>
      <c r="V196" s="51"/>
      <c r="W196" s="51"/>
      <c r="X196" s="52"/>
      <c r="Y196" s="52"/>
      <c r="Z196" s="52"/>
    </row>
    <row r="197" spans="1:26" ht="12" customHeight="1" x14ac:dyDescent="0.3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0"/>
      <c r="T197" s="50"/>
      <c r="U197" s="50"/>
      <c r="V197" s="51"/>
      <c r="W197" s="51"/>
      <c r="X197" s="52"/>
      <c r="Y197" s="52"/>
      <c r="Z197" s="52"/>
    </row>
    <row r="198" spans="1:26" ht="12" customHeight="1" x14ac:dyDescent="0.3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0"/>
      <c r="T198" s="50"/>
      <c r="U198" s="50"/>
      <c r="V198" s="51"/>
      <c r="W198" s="51"/>
      <c r="X198" s="52"/>
      <c r="Y198" s="52"/>
      <c r="Z198" s="52"/>
    </row>
    <row r="199" spans="1:26" ht="12" customHeight="1" x14ac:dyDescent="0.3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0"/>
      <c r="T199" s="50"/>
      <c r="U199" s="50"/>
      <c r="V199" s="51"/>
      <c r="W199" s="51"/>
      <c r="X199" s="52"/>
      <c r="Y199" s="52"/>
      <c r="Z199" s="52"/>
    </row>
    <row r="200" spans="1:26" ht="12" customHeight="1" x14ac:dyDescent="0.3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0"/>
      <c r="T200" s="50"/>
      <c r="U200" s="50"/>
      <c r="V200" s="51"/>
      <c r="W200" s="51"/>
      <c r="X200" s="52"/>
      <c r="Y200" s="52"/>
      <c r="Z200" s="52"/>
    </row>
    <row r="201" spans="1:26" ht="12" customHeight="1" x14ac:dyDescent="0.3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0"/>
      <c r="T201" s="50"/>
      <c r="U201" s="50"/>
      <c r="V201" s="51"/>
      <c r="W201" s="51"/>
      <c r="X201" s="52"/>
      <c r="Y201" s="52"/>
      <c r="Z201" s="52"/>
    </row>
    <row r="202" spans="1:26" ht="12" customHeight="1" x14ac:dyDescent="0.3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0"/>
      <c r="T202" s="50"/>
      <c r="U202" s="50"/>
      <c r="V202" s="51"/>
      <c r="W202" s="51"/>
      <c r="X202" s="52"/>
      <c r="Y202" s="52"/>
      <c r="Z202" s="52"/>
    </row>
    <row r="203" spans="1:26" ht="12" customHeight="1" x14ac:dyDescent="0.3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0"/>
      <c r="T203" s="50"/>
      <c r="U203" s="50"/>
      <c r="V203" s="51"/>
      <c r="W203" s="51"/>
      <c r="X203" s="52"/>
      <c r="Y203" s="52"/>
      <c r="Z203" s="52"/>
    </row>
    <row r="204" spans="1:26" ht="12" customHeight="1" x14ac:dyDescent="0.3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0"/>
      <c r="T204" s="50"/>
      <c r="U204" s="50"/>
      <c r="V204" s="51"/>
      <c r="W204" s="51"/>
      <c r="X204" s="52"/>
      <c r="Y204" s="52"/>
      <c r="Z204" s="52"/>
    </row>
    <row r="205" spans="1:26" ht="12" customHeight="1" x14ac:dyDescent="0.3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0"/>
      <c r="T205" s="50"/>
      <c r="U205" s="50"/>
      <c r="V205" s="51"/>
      <c r="W205" s="51"/>
      <c r="X205" s="52"/>
      <c r="Y205" s="52"/>
      <c r="Z205" s="52"/>
    </row>
    <row r="206" spans="1:26" ht="12" customHeight="1" x14ac:dyDescent="0.3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0"/>
      <c r="T206" s="50"/>
      <c r="U206" s="50"/>
      <c r="V206" s="51"/>
      <c r="W206" s="51"/>
      <c r="X206" s="52"/>
      <c r="Y206" s="52"/>
      <c r="Z206" s="52"/>
    </row>
    <row r="207" spans="1:26" ht="12" customHeight="1" x14ac:dyDescent="0.3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0"/>
      <c r="T207" s="50"/>
      <c r="U207" s="50"/>
      <c r="V207" s="51"/>
      <c r="W207" s="51"/>
      <c r="X207" s="52"/>
      <c r="Y207" s="52"/>
      <c r="Z207" s="52"/>
    </row>
    <row r="208" spans="1:26" ht="12" customHeight="1" x14ac:dyDescent="0.3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0"/>
      <c r="T208" s="50"/>
      <c r="U208" s="50"/>
      <c r="V208" s="51"/>
      <c r="W208" s="51"/>
      <c r="X208" s="52"/>
      <c r="Y208" s="52"/>
      <c r="Z208" s="52"/>
    </row>
    <row r="209" spans="1:26" ht="12" customHeight="1" x14ac:dyDescent="0.3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0"/>
      <c r="T209" s="50"/>
      <c r="U209" s="50"/>
      <c r="V209" s="51"/>
      <c r="W209" s="51"/>
      <c r="X209" s="52"/>
      <c r="Y209" s="52"/>
      <c r="Z209" s="52"/>
    </row>
    <row r="210" spans="1:26" ht="12" customHeight="1" x14ac:dyDescent="0.3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0"/>
      <c r="T210" s="50"/>
      <c r="U210" s="50"/>
      <c r="V210" s="51"/>
      <c r="W210" s="51"/>
      <c r="X210" s="52"/>
      <c r="Y210" s="52"/>
      <c r="Z210" s="52"/>
    </row>
    <row r="211" spans="1:26" ht="12" customHeight="1" x14ac:dyDescent="0.3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0"/>
      <c r="T211" s="50"/>
      <c r="U211" s="50"/>
      <c r="V211" s="51"/>
      <c r="W211" s="51"/>
      <c r="X211" s="52"/>
      <c r="Y211" s="52"/>
      <c r="Z211" s="52"/>
    </row>
    <row r="212" spans="1:26" ht="12" customHeight="1" x14ac:dyDescent="0.3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0"/>
      <c r="T212" s="50"/>
      <c r="U212" s="50"/>
      <c r="V212" s="51"/>
      <c r="W212" s="51"/>
      <c r="X212" s="52"/>
      <c r="Y212" s="52"/>
      <c r="Z212" s="52"/>
    </row>
    <row r="213" spans="1:26" ht="12" customHeight="1" x14ac:dyDescent="0.3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0"/>
      <c r="T213" s="50"/>
      <c r="U213" s="50"/>
      <c r="V213" s="51"/>
      <c r="W213" s="51"/>
      <c r="X213" s="52"/>
      <c r="Y213" s="52"/>
      <c r="Z213" s="52"/>
    </row>
    <row r="214" spans="1:26" ht="12" customHeight="1" x14ac:dyDescent="0.3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0"/>
      <c r="T214" s="50"/>
      <c r="U214" s="50"/>
      <c r="V214" s="51"/>
      <c r="W214" s="51"/>
      <c r="X214" s="52"/>
      <c r="Y214" s="52"/>
      <c r="Z214" s="52"/>
    </row>
    <row r="215" spans="1:26" ht="12" customHeight="1" x14ac:dyDescent="0.3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0"/>
      <c r="T215" s="50"/>
      <c r="U215" s="50"/>
      <c r="V215" s="51"/>
      <c r="W215" s="51"/>
      <c r="X215" s="52"/>
      <c r="Y215" s="52"/>
      <c r="Z215" s="52"/>
    </row>
    <row r="216" spans="1:26" ht="12" customHeight="1" x14ac:dyDescent="0.3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0"/>
      <c r="T216" s="50"/>
      <c r="U216" s="50"/>
      <c r="V216" s="51"/>
      <c r="W216" s="51"/>
      <c r="X216" s="52"/>
      <c r="Y216" s="52"/>
      <c r="Z216" s="52"/>
    </row>
    <row r="217" spans="1:26" ht="12" customHeight="1" x14ac:dyDescent="0.3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0"/>
      <c r="T217" s="50"/>
      <c r="U217" s="50"/>
      <c r="V217" s="51"/>
      <c r="W217" s="51"/>
      <c r="X217" s="52"/>
      <c r="Y217" s="52"/>
      <c r="Z217" s="52"/>
    </row>
    <row r="218" spans="1:26" ht="12" customHeight="1" x14ac:dyDescent="0.3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0"/>
      <c r="T218" s="50"/>
      <c r="U218" s="50"/>
      <c r="V218" s="51"/>
      <c r="W218" s="51"/>
      <c r="X218" s="52"/>
      <c r="Y218" s="52"/>
      <c r="Z218" s="52"/>
    </row>
    <row r="219" spans="1:26" ht="12" customHeight="1" x14ac:dyDescent="0.3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0"/>
      <c r="T219" s="50"/>
      <c r="U219" s="50"/>
      <c r="V219" s="51"/>
      <c r="W219" s="51"/>
      <c r="X219" s="52"/>
      <c r="Y219" s="52"/>
      <c r="Z219" s="52"/>
    </row>
    <row r="220" spans="1:26" ht="12" customHeight="1" x14ac:dyDescent="0.3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0"/>
      <c r="T220" s="50"/>
      <c r="U220" s="50"/>
      <c r="V220" s="51"/>
      <c r="W220" s="51"/>
      <c r="X220" s="52"/>
      <c r="Y220" s="52"/>
      <c r="Z220" s="52"/>
    </row>
    <row r="221" spans="1:26" ht="12" customHeight="1" x14ac:dyDescent="0.3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0"/>
      <c r="T221" s="50"/>
      <c r="U221" s="50"/>
      <c r="V221" s="51"/>
      <c r="W221" s="51"/>
      <c r="X221" s="52"/>
      <c r="Y221" s="52"/>
      <c r="Z221" s="52"/>
    </row>
    <row r="222" spans="1:26" ht="12" customHeight="1" x14ac:dyDescent="0.3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0"/>
      <c r="T222" s="50"/>
      <c r="U222" s="50"/>
      <c r="V222" s="51"/>
      <c r="W222" s="51"/>
      <c r="X222" s="52"/>
      <c r="Y222" s="52"/>
      <c r="Z222" s="52"/>
    </row>
    <row r="223" spans="1:26" ht="12" customHeight="1" x14ac:dyDescent="0.3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0"/>
      <c r="T223" s="50"/>
      <c r="U223" s="50"/>
      <c r="V223" s="51"/>
      <c r="W223" s="51"/>
      <c r="X223" s="52"/>
      <c r="Y223" s="52"/>
      <c r="Z223" s="52"/>
    </row>
    <row r="224" spans="1:26" ht="12" customHeight="1" x14ac:dyDescent="0.3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0"/>
      <c r="T224" s="50"/>
      <c r="U224" s="50"/>
      <c r="V224" s="51"/>
      <c r="W224" s="51"/>
      <c r="X224" s="52"/>
      <c r="Y224" s="52"/>
      <c r="Z224" s="52"/>
    </row>
    <row r="225" spans="1:26" ht="12" customHeight="1" x14ac:dyDescent="0.3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0"/>
      <c r="T225" s="50"/>
      <c r="U225" s="50"/>
      <c r="V225" s="51"/>
      <c r="W225" s="51"/>
      <c r="X225" s="52"/>
      <c r="Y225" s="52"/>
      <c r="Z225" s="52"/>
    </row>
    <row r="226" spans="1:26" ht="12" customHeight="1" x14ac:dyDescent="0.3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0"/>
      <c r="T226" s="50"/>
      <c r="U226" s="50"/>
      <c r="V226" s="51"/>
      <c r="W226" s="51"/>
      <c r="X226" s="52"/>
      <c r="Y226" s="52"/>
      <c r="Z226" s="52"/>
    </row>
    <row r="227" spans="1:26" ht="12" customHeight="1" x14ac:dyDescent="0.3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0"/>
      <c r="T227" s="50"/>
      <c r="U227" s="50"/>
      <c r="V227" s="51"/>
      <c r="W227" s="51"/>
      <c r="X227" s="52"/>
      <c r="Y227" s="52"/>
      <c r="Z227" s="52"/>
    </row>
    <row r="228" spans="1:26" ht="12" customHeight="1" x14ac:dyDescent="0.3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0"/>
      <c r="T228" s="50"/>
      <c r="U228" s="50"/>
      <c r="V228" s="51"/>
      <c r="W228" s="51"/>
      <c r="X228" s="52"/>
      <c r="Y228" s="52"/>
      <c r="Z228" s="52"/>
    </row>
    <row r="229" spans="1:26" ht="12" customHeight="1" x14ac:dyDescent="0.3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0"/>
      <c r="T229" s="50"/>
      <c r="U229" s="50"/>
      <c r="V229" s="51"/>
      <c r="W229" s="51"/>
      <c r="X229" s="52"/>
      <c r="Y229" s="52"/>
      <c r="Z229" s="52"/>
    </row>
    <row r="230" spans="1:26" ht="12" customHeight="1" x14ac:dyDescent="0.3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0"/>
      <c r="T230" s="50"/>
      <c r="U230" s="50"/>
      <c r="V230" s="51"/>
      <c r="W230" s="51"/>
      <c r="X230" s="52"/>
      <c r="Y230" s="52"/>
      <c r="Z230" s="52"/>
    </row>
    <row r="231" spans="1:26" ht="12" customHeight="1" x14ac:dyDescent="0.3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0"/>
      <c r="T231" s="50"/>
      <c r="U231" s="50"/>
      <c r="V231" s="51"/>
      <c r="W231" s="51"/>
      <c r="X231" s="52"/>
      <c r="Y231" s="52"/>
      <c r="Z231" s="52"/>
    </row>
    <row r="232" spans="1:26" ht="12" customHeight="1" x14ac:dyDescent="0.3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0"/>
      <c r="T232" s="50"/>
      <c r="U232" s="50"/>
      <c r="V232" s="51"/>
      <c r="W232" s="51"/>
      <c r="X232" s="52"/>
      <c r="Y232" s="52"/>
      <c r="Z232" s="52"/>
    </row>
    <row r="233" spans="1:26" ht="12" customHeight="1" x14ac:dyDescent="0.3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0"/>
      <c r="T233" s="50"/>
      <c r="U233" s="50"/>
      <c r="V233" s="51"/>
      <c r="W233" s="51"/>
      <c r="X233" s="52"/>
      <c r="Y233" s="52"/>
      <c r="Z233" s="52"/>
    </row>
    <row r="234" spans="1:26" ht="12" customHeight="1" x14ac:dyDescent="0.3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0"/>
      <c r="T234" s="50"/>
      <c r="U234" s="50"/>
      <c r="V234" s="51"/>
      <c r="W234" s="51"/>
      <c r="X234" s="52"/>
      <c r="Y234" s="52"/>
      <c r="Z234" s="52"/>
    </row>
    <row r="235" spans="1:26" ht="12" customHeight="1" x14ac:dyDescent="0.3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0"/>
      <c r="T235" s="50"/>
      <c r="U235" s="50"/>
      <c r="V235" s="51"/>
      <c r="W235" s="51"/>
      <c r="X235" s="52"/>
      <c r="Y235" s="52"/>
      <c r="Z235" s="52"/>
    </row>
    <row r="236" spans="1:26" ht="12" customHeight="1" x14ac:dyDescent="0.3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0"/>
      <c r="T236" s="50"/>
      <c r="U236" s="50"/>
      <c r="V236" s="51"/>
      <c r="W236" s="51"/>
      <c r="X236" s="52"/>
      <c r="Y236" s="52"/>
      <c r="Z236" s="52"/>
    </row>
    <row r="237" spans="1:26" ht="12" customHeight="1" x14ac:dyDescent="0.3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0"/>
      <c r="T237" s="50"/>
      <c r="U237" s="50"/>
      <c r="V237" s="51"/>
      <c r="W237" s="51"/>
      <c r="X237" s="52"/>
      <c r="Y237" s="52"/>
      <c r="Z237" s="52"/>
    </row>
    <row r="238" spans="1:26" ht="12" customHeight="1" x14ac:dyDescent="0.3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0"/>
      <c r="T238" s="50"/>
      <c r="U238" s="50"/>
      <c r="V238" s="51"/>
      <c r="W238" s="51"/>
      <c r="X238" s="52"/>
      <c r="Y238" s="52"/>
      <c r="Z238" s="52"/>
    </row>
    <row r="239" spans="1:26" ht="12" customHeight="1" x14ac:dyDescent="0.3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0"/>
      <c r="T239" s="50"/>
      <c r="U239" s="50"/>
      <c r="V239" s="51"/>
      <c r="W239" s="51"/>
      <c r="X239" s="52"/>
      <c r="Y239" s="52"/>
      <c r="Z239" s="52"/>
    </row>
    <row r="240" spans="1:26" ht="12" customHeight="1" x14ac:dyDescent="0.3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0"/>
      <c r="T240" s="50"/>
      <c r="U240" s="50"/>
      <c r="V240" s="51"/>
      <c r="W240" s="51"/>
      <c r="X240" s="52"/>
      <c r="Y240" s="52"/>
      <c r="Z240" s="52"/>
    </row>
    <row r="241" spans="1:26" ht="12" customHeight="1" x14ac:dyDescent="0.3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0"/>
      <c r="T241" s="50"/>
      <c r="U241" s="50"/>
      <c r="V241" s="51"/>
      <c r="W241" s="51"/>
      <c r="X241" s="52"/>
      <c r="Y241" s="52"/>
      <c r="Z241" s="52"/>
    </row>
    <row r="242" spans="1:26" ht="12" customHeight="1" x14ac:dyDescent="0.3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0"/>
      <c r="T242" s="50"/>
      <c r="U242" s="50"/>
      <c r="V242" s="51"/>
      <c r="W242" s="51"/>
      <c r="X242" s="52"/>
      <c r="Y242" s="52"/>
      <c r="Z242" s="52"/>
    </row>
    <row r="243" spans="1:26" ht="12" customHeight="1" x14ac:dyDescent="0.3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0"/>
      <c r="T243" s="50"/>
      <c r="U243" s="50"/>
      <c r="V243" s="51"/>
      <c r="W243" s="51"/>
      <c r="X243" s="52"/>
      <c r="Y243" s="52"/>
      <c r="Z243" s="52"/>
    </row>
    <row r="244" spans="1:26" ht="12" customHeight="1" x14ac:dyDescent="0.3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0"/>
      <c r="T244" s="50"/>
      <c r="U244" s="50"/>
      <c r="V244" s="51"/>
      <c r="W244" s="51"/>
      <c r="X244" s="52"/>
      <c r="Y244" s="52"/>
      <c r="Z244" s="52"/>
    </row>
    <row r="245" spans="1:26" ht="12" customHeight="1" x14ac:dyDescent="0.3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0"/>
      <c r="T245" s="50"/>
      <c r="U245" s="50"/>
      <c r="V245" s="51"/>
      <c r="W245" s="51"/>
      <c r="X245" s="52"/>
      <c r="Y245" s="52"/>
      <c r="Z245" s="52"/>
    </row>
    <row r="246" spans="1:26" ht="12" customHeight="1" x14ac:dyDescent="0.3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0"/>
      <c r="T246" s="50"/>
      <c r="U246" s="50"/>
      <c r="V246" s="51"/>
      <c r="W246" s="51"/>
      <c r="X246" s="52"/>
      <c r="Y246" s="52"/>
      <c r="Z246" s="52"/>
    </row>
    <row r="247" spans="1:26" ht="12" customHeight="1" x14ac:dyDescent="0.3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0"/>
      <c r="T247" s="50"/>
      <c r="U247" s="50"/>
      <c r="V247" s="51"/>
      <c r="W247" s="51"/>
      <c r="X247" s="52"/>
      <c r="Y247" s="52"/>
      <c r="Z247" s="52"/>
    </row>
    <row r="248" spans="1:26" ht="12" customHeight="1" x14ac:dyDescent="0.3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0"/>
      <c r="T248" s="50"/>
      <c r="U248" s="50"/>
      <c r="V248" s="51"/>
      <c r="W248" s="51"/>
      <c r="X248" s="52"/>
      <c r="Y248" s="52"/>
      <c r="Z248" s="52"/>
    </row>
    <row r="249" spans="1:26" ht="12" customHeight="1" x14ac:dyDescent="0.3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0"/>
      <c r="T249" s="50"/>
      <c r="U249" s="50"/>
      <c r="V249" s="51"/>
      <c r="W249" s="51"/>
      <c r="X249" s="52"/>
      <c r="Y249" s="52"/>
      <c r="Z249" s="52"/>
    </row>
    <row r="250" spans="1:26" ht="12" customHeight="1" x14ac:dyDescent="0.3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0"/>
      <c r="T250" s="50"/>
      <c r="U250" s="50"/>
      <c r="V250" s="51"/>
      <c r="W250" s="51"/>
      <c r="X250" s="52"/>
      <c r="Y250" s="52"/>
      <c r="Z250" s="52"/>
    </row>
    <row r="251" spans="1:26" ht="12" customHeight="1" x14ac:dyDescent="0.3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0"/>
      <c r="T251" s="50"/>
      <c r="U251" s="50"/>
      <c r="V251" s="51"/>
      <c r="W251" s="51"/>
      <c r="X251" s="52"/>
      <c r="Y251" s="52"/>
      <c r="Z251" s="52"/>
    </row>
    <row r="252" spans="1:26" ht="12" customHeight="1" x14ac:dyDescent="0.3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0"/>
      <c r="T252" s="50"/>
      <c r="U252" s="50"/>
      <c r="V252" s="51"/>
      <c r="W252" s="51"/>
      <c r="X252" s="52"/>
      <c r="Y252" s="52"/>
      <c r="Z252" s="52"/>
    </row>
    <row r="253" spans="1:26" ht="12" customHeight="1" x14ac:dyDescent="0.3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0"/>
      <c r="T253" s="50"/>
      <c r="U253" s="50"/>
      <c r="V253" s="51"/>
      <c r="W253" s="51"/>
      <c r="X253" s="52"/>
      <c r="Y253" s="52"/>
      <c r="Z253" s="52"/>
    </row>
    <row r="254" spans="1:26" ht="12" customHeight="1" x14ac:dyDescent="0.3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0"/>
      <c r="T254" s="50"/>
      <c r="U254" s="50"/>
      <c r="V254" s="51"/>
      <c r="W254" s="51"/>
      <c r="X254" s="52"/>
      <c r="Y254" s="52"/>
      <c r="Z254" s="52"/>
    </row>
    <row r="255" spans="1:26" ht="12" customHeight="1" x14ac:dyDescent="0.3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0"/>
      <c r="T255" s="50"/>
      <c r="U255" s="50"/>
      <c r="V255" s="51"/>
      <c r="W255" s="51"/>
      <c r="X255" s="52"/>
      <c r="Y255" s="52"/>
      <c r="Z255" s="52"/>
    </row>
    <row r="256" spans="1:26" ht="12" customHeight="1" x14ac:dyDescent="0.3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0"/>
      <c r="T256" s="50"/>
      <c r="U256" s="50"/>
      <c r="V256" s="51"/>
      <c r="W256" s="51"/>
      <c r="X256" s="52"/>
      <c r="Y256" s="52"/>
      <c r="Z256" s="52"/>
    </row>
    <row r="257" spans="1:26" ht="12" customHeight="1" x14ac:dyDescent="0.3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0"/>
      <c r="T257" s="50"/>
      <c r="U257" s="50"/>
      <c r="V257" s="51"/>
      <c r="W257" s="51"/>
      <c r="X257" s="52"/>
      <c r="Y257" s="52"/>
      <c r="Z257" s="52"/>
    </row>
    <row r="258" spans="1:26" ht="12" customHeight="1" x14ac:dyDescent="0.3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0"/>
      <c r="T258" s="50"/>
      <c r="U258" s="50"/>
      <c r="V258" s="51"/>
      <c r="W258" s="51"/>
      <c r="X258" s="52"/>
      <c r="Y258" s="52"/>
      <c r="Z258" s="52"/>
    </row>
    <row r="259" spans="1:26" ht="12" customHeight="1" x14ac:dyDescent="0.3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0"/>
      <c r="T259" s="50"/>
      <c r="U259" s="50"/>
      <c r="V259" s="51"/>
      <c r="W259" s="51"/>
      <c r="X259" s="52"/>
      <c r="Y259" s="52"/>
      <c r="Z259" s="52"/>
    </row>
    <row r="260" spans="1:26" ht="12" customHeight="1" x14ac:dyDescent="0.3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0"/>
      <c r="T260" s="50"/>
      <c r="U260" s="50"/>
      <c r="V260" s="51"/>
      <c r="W260" s="51"/>
      <c r="X260" s="52"/>
      <c r="Y260" s="52"/>
      <c r="Z260" s="5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00">
    <mergeCell ref="A46:A50"/>
    <mergeCell ref="B46:B50"/>
    <mergeCell ref="C46:D46"/>
    <mergeCell ref="C47:C50"/>
    <mergeCell ref="D47:D50"/>
    <mergeCell ref="E48:E50"/>
    <mergeCell ref="Q41:R41"/>
    <mergeCell ref="Q42:R42"/>
    <mergeCell ref="Q43:R43"/>
    <mergeCell ref="Q44:R44"/>
    <mergeCell ref="Q45:R45"/>
    <mergeCell ref="E46:L47"/>
    <mergeCell ref="M46:R47"/>
    <mergeCell ref="Q32:R32"/>
    <mergeCell ref="P33:P36"/>
    <mergeCell ref="Q33:R36"/>
    <mergeCell ref="Q37:R37"/>
    <mergeCell ref="Q38:R38"/>
    <mergeCell ref="Q39:R39"/>
    <mergeCell ref="Q40:R40"/>
    <mergeCell ref="M24:O24"/>
    <mergeCell ref="Q24:R24"/>
    <mergeCell ref="M25:O25"/>
    <mergeCell ref="Q25:R25"/>
    <mergeCell ref="Q26:R26"/>
    <mergeCell ref="Q29:R29"/>
    <mergeCell ref="Q30:R30"/>
    <mergeCell ref="M26:O26"/>
    <mergeCell ref="M27:O27"/>
    <mergeCell ref="Q27:R27"/>
    <mergeCell ref="M28:O28"/>
    <mergeCell ref="Q28:R28"/>
    <mergeCell ref="M29:O29"/>
    <mergeCell ref="M30:O30"/>
    <mergeCell ref="A20:A23"/>
    <mergeCell ref="B20:C21"/>
    <mergeCell ref="D20:L21"/>
    <mergeCell ref="M20:O23"/>
    <mergeCell ref="P20:P23"/>
    <mergeCell ref="Q20:R23"/>
    <mergeCell ref="B22:B23"/>
    <mergeCell ref="K22:L23"/>
    <mergeCell ref="I22:I23"/>
    <mergeCell ref="J22:J23"/>
    <mergeCell ref="Q58:R58"/>
    <mergeCell ref="Q59:R59"/>
    <mergeCell ref="Q60:R60"/>
    <mergeCell ref="Q61:R61"/>
    <mergeCell ref="Q62:R62"/>
    <mergeCell ref="Q63:R63"/>
    <mergeCell ref="Q51:R51"/>
    <mergeCell ref="Q52:R52"/>
    <mergeCell ref="Q53:R53"/>
    <mergeCell ref="Q54:R54"/>
    <mergeCell ref="Q55:R55"/>
    <mergeCell ref="Q56:R56"/>
    <mergeCell ref="Q57:R57"/>
    <mergeCell ref="K61:L61"/>
    <mergeCell ref="K62:L62"/>
    <mergeCell ref="K63:L63"/>
    <mergeCell ref="M57:O57"/>
    <mergeCell ref="M58:O58"/>
    <mergeCell ref="M59:O59"/>
    <mergeCell ref="M60:O60"/>
    <mergeCell ref="M61:O61"/>
    <mergeCell ref="M62:O62"/>
    <mergeCell ref="M63:O63"/>
    <mergeCell ref="K51:L51"/>
    <mergeCell ref="M51:O51"/>
    <mergeCell ref="K52:L52"/>
    <mergeCell ref="M52:O52"/>
    <mergeCell ref="K56:L56"/>
    <mergeCell ref="K57:L57"/>
    <mergeCell ref="K58:L58"/>
    <mergeCell ref="K59:L59"/>
    <mergeCell ref="K60:L60"/>
    <mergeCell ref="K53:L53"/>
    <mergeCell ref="M53:O53"/>
    <mergeCell ref="K54:L54"/>
    <mergeCell ref="M54:O54"/>
    <mergeCell ref="K55:L55"/>
    <mergeCell ref="M55:O55"/>
    <mergeCell ref="M56:O56"/>
    <mergeCell ref="F48:F50"/>
    <mergeCell ref="G48:G50"/>
    <mergeCell ref="H48:H50"/>
    <mergeCell ref="I48:I50"/>
    <mergeCell ref="J48:J50"/>
    <mergeCell ref="K48:L50"/>
    <mergeCell ref="Q48:R50"/>
    <mergeCell ref="M48:P48"/>
    <mergeCell ref="M49:O50"/>
    <mergeCell ref="P49:P50"/>
    <mergeCell ref="M31:O31"/>
    <mergeCell ref="Q31:R31"/>
    <mergeCell ref="M32:O32"/>
    <mergeCell ref="A33:A36"/>
    <mergeCell ref="B33:B36"/>
    <mergeCell ref="C33:C36"/>
    <mergeCell ref="K33:O34"/>
    <mergeCell ref="N35:O36"/>
    <mergeCell ref="E33:J34"/>
    <mergeCell ref="E35:E36"/>
    <mergeCell ref="F35:F36"/>
    <mergeCell ref="G35:G36"/>
    <mergeCell ref="H35:H36"/>
    <mergeCell ref="I35:I36"/>
    <mergeCell ref="J35:J36"/>
    <mergeCell ref="D33:D36"/>
    <mergeCell ref="L44:M44"/>
    <mergeCell ref="N44:O44"/>
    <mergeCell ref="L45:M45"/>
    <mergeCell ref="N45:O45"/>
    <mergeCell ref="L39:M39"/>
    <mergeCell ref="L40:M40"/>
    <mergeCell ref="N40:O40"/>
    <mergeCell ref="L41:M41"/>
    <mergeCell ref="N41:O41"/>
    <mergeCell ref="L42:M42"/>
    <mergeCell ref="N42:O42"/>
    <mergeCell ref="K35:K36"/>
    <mergeCell ref="L35:M36"/>
    <mergeCell ref="L37:M37"/>
    <mergeCell ref="N37:O37"/>
    <mergeCell ref="L38:M38"/>
    <mergeCell ref="N38:O38"/>
    <mergeCell ref="N39:O39"/>
    <mergeCell ref="L43:M43"/>
    <mergeCell ref="N43:O43"/>
    <mergeCell ref="C22:C23"/>
    <mergeCell ref="D22:D23"/>
    <mergeCell ref="E22:E23"/>
    <mergeCell ref="F22:F23"/>
    <mergeCell ref="G22:G23"/>
    <mergeCell ref="H22:H23"/>
    <mergeCell ref="K13:L13"/>
    <mergeCell ref="K14:L14"/>
    <mergeCell ref="K15:L15"/>
    <mergeCell ref="K16:L16"/>
    <mergeCell ref="K17:L17"/>
    <mergeCell ref="K18:L18"/>
    <mergeCell ref="K19:L19"/>
    <mergeCell ref="I8:I10"/>
    <mergeCell ref="M14:N14"/>
    <mergeCell ref="M15:N15"/>
    <mergeCell ref="M16:N16"/>
    <mergeCell ref="M17:N17"/>
    <mergeCell ref="M18:N18"/>
    <mergeCell ref="M19:N19"/>
    <mergeCell ref="K6:L10"/>
    <mergeCell ref="M6:N10"/>
    <mergeCell ref="K11:L11"/>
    <mergeCell ref="M11:N11"/>
    <mergeCell ref="K12:L12"/>
    <mergeCell ref="M12:N12"/>
    <mergeCell ref="M13:N13"/>
    <mergeCell ref="K31:L31"/>
    <mergeCell ref="K32:L32"/>
    <mergeCell ref="K24:L24"/>
    <mergeCell ref="K25:L25"/>
    <mergeCell ref="K26:L26"/>
    <mergeCell ref="K27:L27"/>
    <mergeCell ref="K28:L28"/>
    <mergeCell ref="K29:L29"/>
    <mergeCell ref="K30:L30"/>
    <mergeCell ref="Q16:R16"/>
    <mergeCell ref="Q17:R17"/>
    <mergeCell ref="Q18:R18"/>
    <mergeCell ref="Q19:R19"/>
    <mergeCell ref="Q5:R5"/>
    <mergeCell ref="Q6:R10"/>
    <mergeCell ref="Q11:R11"/>
    <mergeCell ref="Q12:R12"/>
    <mergeCell ref="Q13:R13"/>
    <mergeCell ref="Q14:R14"/>
    <mergeCell ref="Q15:R15"/>
    <mergeCell ref="A1:R1"/>
    <mergeCell ref="K3:L3"/>
    <mergeCell ref="M3:N3"/>
    <mergeCell ref="Q3:R3"/>
    <mergeCell ref="K4:L4"/>
    <mergeCell ref="M4:N4"/>
    <mergeCell ref="Q4:R4"/>
    <mergeCell ref="A8:A10"/>
    <mergeCell ref="B8:B10"/>
    <mergeCell ref="C8:C10"/>
    <mergeCell ref="D8:D10"/>
    <mergeCell ref="E8:E10"/>
    <mergeCell ref="F8:F10"/>
    <mergeCell ref="G8:G10"/>
    <mergeCell ref="H8:H10"/>
    <mergeCell ref="O6:P7"/>
    <mergeCell ref="O8:O10"/>
    <mergeCell ref="P8:P10"/>
    <mergeCell ref="K5:L5"/>
    <mergeCell ref="M5:N5"/>
    <mergeCell ref="A6:B7"/>
    <mergeCell ref="C6:E7"/>
    <mergeCell ref="F6:I7"/>
    <mergeCell ref="J6:J10"/>
  </mergeCells>
  <conditionalFormatting sqref="B24:G32 B37:C45 C51:P59 E37:J45 F11:J19 I24:J32 O11:R19 P37:R45 Q24:R32">
    <cfRule type="cellIs" dxfId="7" priority="1" stopIfTrue="1" operator="lessThan">
      <formula>0</formula>
    </cfRule>
  </conditionalFormatting>
  <conditionalFormatting sqref="C11:D19">
    <cfRule type="cellIs" dxfId="6" priority="2" stopIfTrue="1" operator="lessThan">
      <formula>0</formula>
    </cfRule>
  </conditionalFormatting>
  <conditionalFormatting sqref="Q11:R19">
    <cfRule type="cellIs" dxfId="5" priority="3" stopIfTrue="1" operator="lessThan">
      <formula>0</formula>
    </cfRule>
  </conditionalFormatting>
  <conditionalFormatting sqref="A4">
    <cfRule type="cellIs" dxfId="4" priority="4" stopIfTrue="1" operator="equal">
      <formula>"erro"</formula>
    </cfRule>
  </conditionalFormatting>
  <pageMargins left="0.78740157480314965" right="0.51181102362204722" top="0.94488188976377963" bottom="0.78740157480314965" header="0" footer="0"/>
  <pageSetup orientation="portrait"/>
  <rowBreaks count="1" manualBreakCount="1">
    <brk id="60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4140625" defaultRowHeight="15" customHeight="1" x14ac:dyDescent="0.3"/>
  <cols>
    <col min="1" max="1" width="8" customWidth="1"/>
    <col min="2" max="2" width="7" customWidth="1"/>
    <col min="3" max="3" width="6.33203125" customWidth="1"/>
    <col min="4" max="4" width="5.109375" customWidth="1"/>
    <col min="5" max="5" width="5.33203125" customWidth="1"/>
    <col min="6" max="6" width="5.6640625" customWidth="1"/>
    <col min="7" max="7" width="5.88671875" customWidth="1"/>
    <col min="8" max="8" width="6.109375" customWidth="1"/>
    <col min="9" max="9" width="5.88671875" customWidth="1"/>
    <col min="10" max="10" width="6.88671875" customWidth="1"/>
    <col min="11" max="11" width="4.6640625" customWidth="1"/>
    <col min="12" max="12" width="1.109375" customWidth="1"/>
    <col min="13" max="13" width="3.88671875" customWidth="1"/>
    <col min="14" max="14" width="2.44140625" customWidth="1"/>
    <col min="15" max="15" width="4.109375" customWidth="1"/>
    <col min="16" max="16" width="7" customWidth="1"/>
    <col min="17" max="17" width="2.33203125" customWidth="1"/>
    <col min="18" max="18" width="6.109375" customWidth="1"/>
    <col min="19" max="21" width="11.44140625" hidden="1" customWidth="1"/>
    <col min="22" max="26" width="11.44140625" customWidth="1"/>
  </cols>
  <sheetData>
    <row r="1" spans="1:26" ht="12" customHeight="1" x14ac:dyDescent="0.3">
      <c r="A1" s="118" t="s">
        <v>89</v>
      </c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50"/>
      <c r="T1" s="50"/>
      <c r="U1" s="50"/>
      <c r="V1" s="51"/>
      <c r="W1" s="51"/>
      <c r="X1" s="52"/>
      <c r="Y1" s="52"/>
      <c r="Z1" s="52"/>
    </row>
    <row r="2" spans="1:26" ht="5.25" customHeight="1" x14ac:dyDescent="0.3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50"/>
      <c r="T2" s="50"/>
      <c r="U2" s="50"/>
      <c r="V2" s="51"/>
      <c r="W2" s="51"/>
      <c r="X2" s="52"/>
      <c r="Y2" s="52"/>
      <c r="Z2" s="52"/>
    </row>
    <row r="3" spans="1:26" ht="12" customHeight="1" x14ac:dyDescent="0.3">
      <c r="A3" s="53" t="s">
        <v>381</v>
      </c>
      <c r="B3" s="54"/>
      <c r="C3" s="54"/>
      <c r="D3" s="55"/>
      <c r="E3" s="55"/>
      <c r="F3" s="55"/>
      <c r="G3" s="55"/>
      <c r="H3" s="55"/>
      <c r="I3" s="55"/>
      <c r="J3" s="55"/>
      <c r="K3" s="119"/>
      <c r="L3" s="108"/>
      <c r="M3" s="119"/>
      <c r="N3" s="108"/>
      <c r="O3" s="55"/>
      <c r="P3" s="55"/>
      <c r="Q3" s="119"/>
      <c r="R3" s="108"/>
      <c r="S3" s="56"/>
      <c r="T3" s="56"/>
      <c r="U3" s="56"/>
      <c r="V3" s="57"/>
      <c r="W3" s="57"/>
      <c r="X3" s="58"/>
      <c r="Y3" s="58"/>
      <c r="Z3" s="58"/>
    </row>
    <row r="4" spans="1:26" ht="12" customHeight="1" x14ac:dyDescent="0.3">
      <c r="A4" s="59" t="s">
        <v>382</v>
      </c>
      <c r="B4" s="60"/>
      <c r="C4" s="60"/>
      <c r="D4" s="61"/>
      <c r="E4" s="61"/>
      <c r="F4" s="61"/>
      <c r="G4" s="61"/>
      <c r="H4" s="61"/>
      <c r="I4" s="61"/>
      <c r="J4" s="61"/>
      <c r="K4" s="120"/>
      <c r="L4" s="108"/>
      <c r="M4" s="120"/>
      <c r="N4" s="108"/>
      <c r="O4" s="61"/>
      <c r="P4" s="61"/>
      <c r="Q4" s="120"/>
      <c r="R4" s="108"/>
      <c r="S4" s="56"/>
      <c r="T4" s="56"/>
      <c r="U4" s="56"/>
      <c r="V4" s="57"/>
      <c r="W4" s="57"/>
      <c r="X4" s="58"/>
      <c r="Y4" s="58"/>
      <c r="Z4" s="58"/>
    </row>
    <row r="5" spans="1:26" ht="12" customHeight="1" x14ac:dyDescent="0.3">
      <c r="A5" s="53" t="s">
        <v>92</v>
      </c>
      <c r="B5" s="61"/>
      <c r="C5" s="61"/>
      <c r="D5" s="61"/>
      <c r="E5" s="61"/>
      <c r="F5" s="61"/>
      <c r="G5" s="61"/>
      <c r="H5" s="61"/>
      <c r="I5" s="61"/>
      <c r="J5" s="61"/>
      <c r="K5" s="120"/>
      <c r="L5" s="108"/>
      <c r="M5" s="120"/>
      <c r="N5" s="108"/>
      <c r="O5" s="60"/>
      <c r="P5" s="60"/>
      <c r="Q5" s="132"/>
      <c r="R5" s="126"/>
      <c r="S5" s="56"/>
      <c r="T5" s="56"/>
      <c r="U5" s="56"/>
      <c r="V5" s="57"/>
      <c r="W5" s="57"/>
      <c r="X5" s="58"/>
      <c r="Y5" s="58"/>
      <c r="Z5" s="58"/>
    </row>
    <row r="6" spans="1:26" ht="12" customHeight="1" x14ac:dyDescent="0.3">
      <c r="A6" s="133" t="s">
        <v>93</v>
      </c>
      <c r="B6" s="125"/>
      <c r="C6" s="133" t="s">
        <v>383</v>
      </c>
      <c r="D6" s="138"/>
      <c r="E6" s="125"/>
      <c r="F6" s="133" t="s">
        <v>384</v>
      </c>
      <c r="G6" s="138"/>
      <c r="H6" s="138"/>
      <c r="I6" s="125"/>
      <c r="J6" s="121" t="s">
        <v>385</v>
      </c>
      <c r="K6" s="133" t="s">
        <v>386</v>
      </c>
      <c r="L6" s="125"/>
      <c r="M6" s="133" t="s">
        <v>98</v>
      </c>
      <c r="N6" s="125"/>
      <c r="O6" s="124" t="s">
        <v>387</v>
      </c>
      <c r="P6" s="125"/>
      <c r="Q6" s="133" t="s">
        <v>388</v>
      </c>
      <c r="R6" s="125"/>
      <c r="S6" s="50"/>
      <c r="T6" s="50"/>
      <c r="U6" s="50"/>
      <c r="V6" s="51"/>
      <c r="W6" s="51"/>
      <c r="X6" s="52"/>
      <c r="Y6" s="52"/>
      <c r="Z6" s="52"/>
    </row>
    <row r="7" spans="1:26" ht="19.5" customHeight="1" x14ac:dyDescent="0.3">
      <c r="A7" s="135"/>
      <c r="B7" s="127"/>
      <c r="C7" s="135"/>
      <c r="D7" s="126"/>
      <c r="E7" s="127"/>
      <c r="F7" s="135"/>
      <c r="G7" s="126"/>
      <c r="H7" s="126"/>
      <c r="I7" s="127"/>
      <c r="J7" s="122"/>
      <c r="K7" s="134"/>
      <c r="L7" s="129"/>
      <c r="M7" s="134"/>
      <c r="N7" s="129"/>
      <c r="O7" s="126"/>
      <c r="P7" s="127"/>
      <c r="Q7" s="134"/>
      <c r="R7" s="129"/>
      <c r="S7" s="62"/>
      <c r="T7" s="50"/>
      <c r="U7" s="50"/>
      <c r="V7" s="51"/>
      <c r="W7" s="51"/>
      <c r="X7" s="52"/>
      <c r="Y7" s="52"/>
      <c r="Z7" s="52"/>
    </row>
    <row r="8" spans="1:26" ht="12" customHeight="1" x14ac:dyDescent="0.3">
      <c r="A8" s="121" t="s">
        <v>101</v>
      </c>
      <c r="B8" s="121" t="s">
        <v>389</v>
      </c>
      <c r="C8" s="121" t="s">
        <v>390</v>
      </c>
      <c r="D8" s="121" t="s">
        <v>391</v>
      </c>
      <c r="E8" s="121" t="s">
        <v>392</v>
      </c>
      <c r="F8" s="121" t="s">
        <v>393</v>
      </c>
      <c r="G8" s="121" t="s">
        <v>394</v>
      </c>
      <c r="H8" s="121" t="s">
        <v>395</v>
      </c>
      <c r="I8" s="121" t="s">
        <v>396</v>
      </c>
      <c r="J8" s="122"/>
      <c r="K8" s="134"/>
      <c r="L8" s="129"/>
      <c r="M8" s="134"/>
      <c r="N8" s="129"/>
      <c r="O8" s="128" t="s">
        <v>110</v>
      </c>
      <c r="P8" s="121" t="s">
        <v>111</v>
      </c>
      <c r="Q8" s="134"/>
      <c r="R8" s="129"/>
      <c r="S8" s="62"/>
      <c r="T8" s="62"/>
      <c r="U8" s="62"/>
      <c r="V8" s="51"/>
      <c r="W8" s="51"/>
      <c r="X8" s="52"/>
      <c r="Y8" s="52"/>
      <c r="Z8" s="52"/>
    </row>
    <row r="9" spans="1:26" ht="12" customHeight="1" x14ac:dyDescent="0.3">
      <c r="A9" s="122"/>
      <c r="B9" s="122"/>
      <c r="C9" s="122"/>
      <c r="D9" s="122"/>
      <c r="E9" s="122"/>
      <c r="F9" s="122"/>
      <c r="G9" s="122"/>
      <c r="H9" s="122"/>
      <c r="I9" s="122"/>
      <c r="J9" s="122"/>
      <c r="K9" s="134"/>
      <c r="L9" s="129"/>
      <c r="M9" s="134"/>
      <c r="N9" s="129"/>
      <c r="O9" s="129"/>
      <c r="P9" s="122"/>
      <c r="Q9" s="134"/>
      <c r="R9" s="129"/>
      <c r="S9" s="62"/>
      <c r="T9" s="50"/>
      <c r="U9" s="62"/>
      <c r="V9" s="51"/>
      <c r="W9" s="51"/>
      <c r="X9" s="52"/>
      <c r="Y9" s="52"/>
      <c r="Z9" s="63"/>
    </row>
    <row r="10" spans="1:26" ht="14.25" customHeight="1" x14ac:dyDescent="0.3">
      <c r="A10" s="123"/>
      <c r="B10" s="123"/>
      <c r="C10" s="123"/>
      <c r="D10" s="123"/>
      <c r="E10" s="123"/>
      <c r="F10" s="123"/>
      <c r="G10" s="123"/>
      <c r="H10" s="123"/>
      <c r="I10" s="123"/>
      <c r="J10" s="123"/>
      <c r="K10" s="135"/>
      <c r="L10" s="127"/>
      <c r="M10" s="135"/>
      <c r="N10" s="127"/>
      <c r="O10" s="127"/>
      <c r="P10" s="123"/>
      <c r="Q10" s="135"/>
      <c r="R10" s="127"/>
      <c r="S10" s="50" t="s">
        <v>112</v>
      </c>
      <c r="T10" s="50" t="s">
        <v>112</v>
      </c>
      <c r="U10" s="50" t="s">
        <v>112</v>
      </c>
      <c r="V10" s="51"/>
      <c r="W10" s="51"/>
      <c r="X10" s="52"/>
      <c r="Y10" s="52"/>
      <c r="Z10" s="63"/>
    </row>
    <row r="11" spans="1:26" ht="12" customHeight="1" x14ac:dyDescent="0.3">
      <c r="A11" s="64" t="s">
        <v>77</v>
      </c>
      <c r="B11" s="65" t="s">
        <v>113</v>
      </c>
      <c r="C11" s="66" t="s">
        <v>114</v>
      </c>
      <c r="D11" s="67" t="s">
        <v>114</v>
      </c>
      <c r="E11" s="66" t="s">
        <v>114</v>
      </c>
      <c r="F11" s="67">
        <v>409</v>
      </c>
      <c r="G11" s="66">
        <v>179</v>
      </c>
      <c r="H11" s="67">
        <v>168</v>
      </c>
      <c r="I11" s="66">
        <v>244</v>
      </c>
      <c r="J11" s="68" t="s">
        <v>114</v>
      </c>
      <c r="K11" s="130" t="s">
        <v>114</v>
      </c>
      <c r="L11" s="108"/>
      <c r="M11" s="141">
        <v>0.69</v>
      </c>
      <c r="N11" s="129"/>
      <c r="O11" s="70" t="s">
        <v>114</v>
      </c>
      <c r="P11" s="71" t="s">
        <v>114</v>
      </c>
      <c r="Q11" s="136" t="s">
        <v>114</v>
      </c>
      <c r="R11" s="125"/>
      <c r="S11" s="72">
        <v>1</v>
      </c>
      <c r="T11" s="72" t="s">
        <v>84</v>
      </c>
      <c r="U11" s="72" t="s">
        <v>84</v>
      </c>
      <c r="V11" s="73" t="s">
        <v>84</v>
      </c>
      <c r="W11" s="74"/>
      <c r="X11" s="52"/>
      <c r="Y11" s="52"/>
      <c r="Z11" s="63"/>
    </row>
    <row r="12" spans="1:26" ht="12" customHeight="1" x14ac:dyDescent="0.3">
      <c r="A12" s="98" t="s">
        <v>81</v>
      </c>
      <c r="B12" s="76" t="s">
        <v>115</v>
      </c>
      <c r="C12" s="66" t="s">
        <v>114</v>
      </c>
      <c r="D12" s="77" t="s">
        <v>114</v>
      </c>
      <c r="E12" s="77" t="s">
        <v>114</v>
      </c>
      <c r="F12" s="66">
        <v>401</v>
      </c>
      <c r="G12" s="77">
        <v>168</v>
      </c>
      <c r="H12" s="66">
        <v>146</v>
      </c>
      <c r="I12" s="77">
        <v>285</v>
      </c>
      <c r="J12" s="66" t="s">
        <v>114</v>
      </c>
      <c r="K12" s="130" t="s">
        <v>114</v>
      </c>
      <c r="L12" s="129"/>
      <c r="M12" s="139">
        <v>0.51</v>
      </c>
      <c r="N12" s="108"/>
      <c r="O12" s="79" t="s">
        <v>114</v>
      </c>
      <c r="P12" s="78" t="s">
        <v>114</v>
      </c>
      <c r="Q12" s="130" t="s">
        <v>114</v>
      </c>
      <c r="R12" s="129"/>
      <c r="S12" s="72">
        <v>1</v>
      </c>
      <c r="T12" s="72" t="s">
        <v>84</v>
      </c>
      <c r="U12" s="72" t="s">
        <v>84</v>
      </c>
      <c r="V12" s="73" t="s">
        <v>84</v>
      </c>
      <c r="W12" s="51"/>
      <c r="X12" s="52"/>
      <c r="Y12" s="52"/>
      <c r="Z12" s="63"/>
    </row>
    <row r="13" spans="1:26" ht="12" customHeight="1" x14ac:dyDescent="0.3">
      <c r="A13" s="96" t="s">
        <v>114</v>
      </c>
      <c r="B13" s="76" t="s">
        <v>114</v>
      </c>
      <c r="C13" s="66" t="s">
        <v>114</v>
      </c>
      <c r="D13" s="77" t="s">
        <v>114</v>
      </c>
      <c r="E13" s="77" t="s">
        <v>114</v>
      </c>
      <c r="F13" s="66" t="s">
        <v>114</v>
      </c>
      <c r="G13" s="77" t="s">
        <v>114</v>
      </c>
      <c r="H13" s="66" t="s">
        <v>114</v>
      </c>
      <c r="I13" s="77" t="s">
        <v>114</v>
      </c>
      <c r="J13" s="66" t="s">
        <v>114</v>
      </c>
      <c r="K13" s="130" t="s">
        <v>114</v>
      </c>
      <c r="L13" s="129"/>
      <c r="M13" s="139" t="s">
        <v>114</v>
      </c>
      <c r="N13" s="108"/>
      <c r="O13" s="79" t="s">
        <v>114</v>
      </c>
      <c r="P13" s="78" t="s">
        <v>114</v>
      </c>
      <c r="Q13" s="130" t="s">
        <v>114</v>
      </c>
      <c r="R13" s="129"/>
      <c r="S13" s="72" t="s">
        <v>114</v>
      </c>
      <c r="T13" s="72" t="s">
        <v>114</v>
      </c>
      <c r="U13" s="72" t="s">
        <v>114</v>
      </c>
      <c r="V13" s="73" t="s">
        <v>114</v>
      </c>
      <c r="W13" s="51"/>
      <c r="X13" s="52"/>
      <c r="Y13" s="52"/>
      <c r="Z13" s="63"/>
    </row>
    <row r="14" spans="1:26" ht="12" customHeight="1" x14ac:dyDescent="0.3">
      <c r="A14" s="96" t="s">
        <v>114</v>
      </c>
      <c r="B14" s="76" t="s">
        <v>114</v>
      </c>
      <c r="C14" s="66" t="s">
        <v>114</v>
      </c>
      <c r="D14" s="77" t="s">
        <v>114</v>
      </c>
      <c r="E14" s="77" t="s">
        <v>114</v>
      </c>
      <c r="F14" s="66" t="s">
        <v>114</v>
      </c>
      <c r="G14" s="77" t="s">
        <v>114</v>
      </c>
      <c r="H14" s="66" t="s">
        <v>114</v>
      </c>
      <c r="I14" s="77" t="s">
        <v>114</v>
      </c>
      <c r="J14" s="66" t="s">
        <v>114</v>
      </c>
      <c r="K14" s="130" t="s">
        <v>114</v>
      </c>
      <c r="L14" s="129"/>
      <c r="M14" s="139" t="s">
        <v>114</v>
      </c>
      <c r="N14" s="108"/>
      <c r="O14" s="79" t="s">
        <v>114</v>
      </c>
      <c r="P14" s="78" t="s">
        <v>114</v>
      </c>
      <c r="Q14" s="130" t="s">
        <v>114</v>
      </c>
      <c r="R14" s="129"/>
      <c r="S14" s="72" t="s">
        <v>114</v>
      </c>
      <c r="T14" s="72" t="s">
        <v>114</v>
      </c>
      <c r="U14" s="72" t="s">
        <v>114</v>
      </c>
      <c r="V14" s="73" t="s">
        <v>114</v>
      </c>
      <c r="W14" s="51"/>
      <c r="X14" s="52"/>
      <c r="Y14" s="52"/>
      <c r="Z14" s="63"/>
    </row>
    <row r="15" spans="1:26" ht="12" customHeight="1" x14ac:dyDescent="0.3">
      <c r="A15" s="96" t="s">
        <v>114</v>
      </c>
      <c r="B15" s="76" t="s">
        <v>114</v>
      </c>
      <c r="C15" s="66" t="s">
        <v>114</v>
      </c>
      <c r="D15" s="77" t="s">
        <v>114</v>
      </c>
      <c r="E15" s="77" t="s">
        <v>114</v>
      </c>
      <c r="F15" s="66" t="s">
        <v>114</v>
      </c>
      <c r="G15" s="77" t="s">
        <v>114</v>
      </c>
      <c r="H15" s="66" t="s">
        <v>114</v>
      </c>
      <c r="I15" s="77" t="s">
        <v>114</v>
      </c>
      <c r="J15" s="66" t="s">
        <v>114</v>
      </c>
      <c r="K15" s="130" t="s">
        <v>114</v>
      </c>
      <c r="L15" s="129"/>
      <c r="M15" s="139" t="s">
        <v>114</v>
      </c>
      <c r="N15" s="108"/>
      <c r="O15" s="79" t="s">
        <v>114</v>
      </c>
      <c r="P15" s="78" t="s">
        <v>114</v>
      </c>
      <c r="Q15" s="130" t="s">
        <v>114</v>
      </c>
      <c r="R15" s="129"/>
      <c r="S15" s="72" t="s">
        <v>114</v>
      </c>
      <c r="T15" s="72" t="s">
        <v>114</v>
      </c>
      <c r="U15" s="72" t="s">
        <v>114</v>
      </c>
      <c r="V15" s="73" t="s">
        <v>114</v>
      </c>
      <c r="W15" s="51"/>
      <c r="X15" s="52"/>
      <c r="Y15" s="52"/>
      <c r="Z15" s="63"/>
    </row>
    <row r="16" spans="1:26" ht="12" customHeight="1" x14ac:dyDescent="0.3">
      <c r="A16" s="96" t="s">
        <v>114</v>
      </c>
      <c r="B16" s="76" t="s">
        <v>114</v>
      </c>
      <c r="C16" s="66" t="s">
        <v>114</v>
      </c>
      <c r="D16" s="77" t="s">
        <v>114</v>
      </c>
      <c r="E16" s="77" t="s">
        <v>114</v>
      </c>
      <c r="F16" s="66" t="s">
        <v>114</v>
      </c>
      <c r="G16" s="77" t="s">
        <v>114</v>
      </c>
      <c r="H16" s="66" t="s">
        <v>114</v>
      </c>
      <c r="I16" s="77" t="s">
        <v>114</v>
      </c>
      <c r="J16" s="66" t="s">
        <v>114</v>
      </c>
      <c r="K16" s="130" t="s">
        <v>114</v>
      </c>
      <c r="L16" s="129"/>
      <c r="M16" s="139" t="s">
        <v>114</v>
      </c>
      <c r="N16" s="108"/>
      <c r="O16" s="79" t="s">
        <v>114</v>
      </c>
      <c r="P16" s="78" t="s">
        <v>114</v>
      </c>
      <c r="Q16" s="130" t="s">
        <v>114</v>
      </c>
      <c r="R16" s="129"/>
      <c r="S16" s="72" t="s">
        <v>114</v>
      </c>
      <c r="T16" s="72" t="s">
        <v>114</v>
      </c>
      <c r="U16" s="72" t="s">
        <v>114</v>
      </c>
      <c r="V16" s="73" t="s">
        <v>114</v>
      </c>
      <c r="W16" s="51"/>
      <c r="X16" s="52"/>
      <c r="Y16" s="52"/>
      <c r="Z16" s="63"/>
    </row>
    <row r="17" spans="1:26" ht="12" customHeight="1" x14ac:dyDescent="0.3">
      <c r="A17" s="96" t="s">
        <v>114</v>
      </c>
      <c r="B17" s="76" t="s">
        <v>114</v>
      </c>
      <c r="C17" s="78" t="s">
        <v>114</v>
      </c>
      <c r="D17" s="79" t="s">
        <v>114</v>
      </c>
      <c r="E17" s="79" t="s">
        <v>114</v>
      </c>
      <c r="F17" s="78" t="s">
        <v>114</v>
      </c>
      <c r="G17" s="79" t="s">
        <v>114</v>
      </c>
      <c r="H17" s="78" t="s">
        <v>114</v>
      </c>
      <c r="I17" s="79" t="s">
        <v>114</v>
      </c>
      <c r="J17" s="78" t="s">
        <v>114</v>
      </c>
      <c r="K17" s="130" t="s">
        <v>114</v>
      </c>
      <c r="L17" s="129"/>
      <c r="M17" s="139" t="s">
        <v>114</v>
      </c>
      <c r="N17" s="108"/>
      <c r="O17" s="79" t="s">
        <v>114</v>
      </c>
      <c r="P17" s="78" t="s">
        <v>114</v>
      </c>
      <c r="Q17" s="130" t="s">
        <v>114</v>
      </c>
      <c r="R17" s="129"/>
      <c r="S17" s="72" t="s">
        <v>114</v>
      </c>
      <c r="T17" s="72" t="s">
        <v>114</v>
      </c>
      <c r="U17" s="72" t="s">
        <v>114</v>
      </c>
      <c r="V17" s="73" t="s">
        <v>114</v>
      </c>
      <c r="W17" s="51"/>
      <c r="X17" s="52"/>
      <c r="Y17" s="52"/>
      <c r="Z17" s="63"/>
    </row>
    <row r="18" spans="1:26" ht="12" customHeight="1" x14ac:dyDescent="0.3">
      <c r="A18" s="96" t="s">
        <v>114</v>
      </c>
      <c r="B18" s="76" t="s">
        <v>114</v>
      </c>
      <c r="C18" s="78" t="s">
        <v>114</v>
      </c>
      <c r="D18" s="79" t="s">
        <v>114</v>
      </c>
      <c r="E18" s="79" t="s">
        <v>114</v>
      </c>
      <c r="F18" s="78" t="s">
        <v>114</v>
      </c>
      <c r="G18" s="79" t="s">
        <v>114</v>
      </c>
      <c r="H18" s="78" t="s">
        <v>114</v>
      </c>
      <c r="I18" s="79" t="s">
        <v>114</v>
      </c>
      <c r="J18" s="78" t="s">
        <v>114</v>
      </c>
      <c r="K18" s="130" t="s">
        <v>114</v>
      </c>
      <c r="L18" s="129"/>
      <c r="M18" s="139" t="s">
        <v>114</v>
      </c>
      <c r="N18" s="108"/>
      <c r="O18" s="79" t="s">
        <v>114</v>
      </c>
      <c r="P18" s="78" t="s">
        <v>114</v>
      </c>
      <c r="Q18" s="130" t="s">
        <v>114</v>
      </c>
      <c r="R18" s="129"/>
      <c r="S18" s="72" t="s">
        <v>114</v>
      </c>
      <c r="T18" s="72" t="s">
        <v>114</v>
      </c>
      <c r="U18" s="72" t="s">
        <v>114</v>
      </c>
      <c r="V18" s="73" t="s">
        <v>114</v>
      </c>
      <c r="W18" s="51"/>
      <c r="X18" s="52"/>
      <c r="Y18" s="52"/>
      <c r="Z18" s="63"/>
    </row>
    <row r="19" spans="1:26" ht="12" customHeight="1" x14ac:dyDescent="0.3">
      <c r="A19" s="96" t="s">
        <v>114</v>
      </c>
      <c r="B19" s="82" t="s">
        <v>114</v>
      </c>
      <c r="C19" s="83" t="s">
        <v>114</v>
      </c>
      <c r="D19" s="84" t="s">
        <v>114</v>
      </c>
      <c r="E19" s="83" t="s">
        <v>114</v>
      </c>
      <c r="F19" s="84" t="s">
        <v>114</v>
      </c>
      <c r="G19" s="83" t="s">
        <v>114</v>
      </c>
      <c r="H19" s="84" t="s">
        <v>114</v>
      </c>
      <c r="I19" s="83" t="s">
        <v>114</v>
      </c>
      <c r="J19" s="85" t="s">
        <v>114</v>
      </c>
      <c r="K19" s="131" t="s">
        <v>114</v>
      </c>
      <c r="L19" s="126"/>
      <c r="M19" s="140" t="s">
        <v>114</v>
      </c>
      <c r="N19" s="127"/>
      <c r="O19" s="86" t="s">
        <v>114</v>
      </c>
      <c r="P19" s="84" t="s">
        <v>114</v>
      </c>
      <c r="Q19" s="131" t="s">
        <v>114</v>
      </c>
      <c r="R19" s="127"/>
      <c r="S19" s="72" t="s">
        <v>114</v>
      </c>
      <c r="T19" s="72" t="s">
        <v>114</v>
      </c>
      <c r="U19" s="72" t="s">
        <v>114</v>
      </c>
      <c r="V19" s="73" t="s">
        <v>114</v>
      </c>
      <c r="W19" s="51"/>
      <c r="X19" s="52"/>
      <c r="Y19" s="52"/>
      <c r="Z19" s="63"/>
    </row>
    <row r="20" spans="1:26" ht="12" customHeight="1" x14ac:dyDescent="0.3">
      <c r="A20" s="121" t="s">
        <v>93</v>
      </c>
      <c r="B20" s="141" t="s">
        <v>397</v>
      </c>
      <c r="C20" s="129"/>
      <c r="D20" s="141" t="s">
        <v>398</v>
      </c>
      <c r="E20" s="108"/>
      <c r="F20" s="108"/>
      <c r="G20" s="108"/>
      <c r="H20" s="108"/>
      <c r="I20" s="108"/>
      <c r="J20" s="108"/>
      <c r="K20" s="108"/>
      <c r="L20" s="129"/>
      <c r="M20" s="141" t="s">
        <v>399</v>
      </c>
      <c r="N20" s="108"/>
      <c r="O20" s="129"/>
      <c r="P20" s="152" t="s">
        <v>400</v>
      </c>
      <c r="Q20" s="141" t="s">
        <v>401</v>
      </c>
      <c r="R20" s="129"/>
      <c r="S20" s="50"/>
      <c r="T20" s="50"/>
      <c r="U20" s="62"/>
      <c r="V20" s="51"/>
      <c r="W20" s="51"/>
      <c r="X20" s="52"/>
      <c r="Y20" s="52"/>
      <c r="Z20" s="63"/>
    </row>
    <row r="21" spans="1:26" ht="9.75" customHeight="1" x14ac:dyDescent="0.3">
      <c r="A21" s="122"/>
      <c r="B21" s="135"/>
      <c r="C21" s="127"/>
      <c r="D21" s="135"/>
      <c r="E21" s="126"/>
      <c r="F21" s="126"/>
      <c r="G21" s="126"/>
      <c r="H21" s="126"/>
      <c r="I21" s="126"/>
      <c r="J21" s="126"/>
      <c r="K21" s="126"/>
      <c r="L21" s="127"/>
      <c r="M21" s="134"/>
      <c r="N21" s="108"/>
      <c r="O21" s="129"/>
      <c r="P21" s="122"/>
      <c r="Q21" s="134"/>
      <c r="R21" s="129"/>
      <c r="S21" s="50"/>
      <c r="T21" s="50"/>
      <c r="U21" s="62"/>
      <c r="V21" s="51"/>
      <c r="W21" s="51"/>
      <c r="X21" s="52"/>
      <c r="Y21" s="52"/>
      <c r="Z21" s="52"/>
    </row>
    <row r="22" spans="1:26" ht="9.75" customHeight="1" x14ac:dyDescent="0.3">
      <c r="A22" s="122"/>
      <c r="B22" s="142" t="s">
        <v>121</v>
      </c>
      <c r="C22" s="142" t="s">
        <v>402</v>
      </c>
      <c r="D22" s="142" t="s">
        <v>403</v>
      </c>
      <c r="E22" s="142" t="s">
        <v>404</v>
      </c>
      <c r="F22" s="142" t="s">
        <v>405</v>
      </c>
      <c r="G22" s="142" t="s">
        <v>406</v>
      </c>
      <c r="H22" s="142" t="s">
        <v>407</v>
      </c>
      <c r="I22" s="142" t="s">
        <v>408</v>
      </c>
      <c r="J22" s="142" t="s">
        <v>409</v>
      </c>
      <c r="K22" s="143" t="s">
        <v>130</v>
      </c>
      <c r="L22" s="125"/>
      <c r="M22" s="134"/>
      <c r="N22" s="108"/>
      <c r="O22" s="129"/>
      <c r="P22" s="122"/>
      <c r="Q22" s="134"/>
      <c r="R22" s="129"/>
      <c r="S22" s="50"/>
      <c r="T22" s="50"/>
      <c r="U22" s="50"/>
      <c r="V22" s="51"/>
      <c r="W22" s="51"/>
      <c r="X22" s="52"/>
      <c r="Y22" s="52"/>
      <c r="Z22" s="63"/>
    </row>
    <row r="23" spans="1:26" ht="11.25" customHeight="1" x14ac:dyDescent="0.3">
      <c r="A23" s="123"/>
      <c r="B23" s="123"/>
      <c r="C23" s="123"/>
      <c r="D23" s="123"/>
      <c r="E23" s="123"/>
      <c r="F23" s="123"/>
      <c r="G23" s="123"/>
      <c r="H23" s="123"/>
      <c r="I23" s="123"/>
      <c r="J23" s="123"/>
      <c r="K23" s="135"/>
      <c r="L23" s="127"/>
      <c r="M23" s="135"/>
      <c r="N23" s="126"/>
      <c r="O23" s="127"/>
      <c r="P23" s="123"/>
      <c r="Q23" s="135"/>
      <c r="R23" s="127"/>
      <c r="S23" s="50" t="s">
        <v>112</v>
      </c>
      <c r="T23" s="50" t="s">
        <v>112</v>
      </c>
      <c r="U23" s="50"/>
      <c r="V23" s="51"/>
      <c r="W23" s="51"/>
      <c r="X23" s="52"/>
      <c r="Y23" s="52"/>
      <c r="Z23" s="63"/>
    </row>
    <row r="24" spans="1:26" ht="12" customHeight="1" x14ac:dyDescent="0.3">
      <c r="A24" s="87" t="s">
        <v>77</v>
      </c>
      <c r="B24" s="88">
        <v>5.5</v>
      </c>
      <c r="C24" s="89" t="s">
        <v>114</v>
      </c>
      <c r="D24" s="88">
        <v>1.7</v>
      </c>
      <c r="E24" s="89">
        <v>2.4</v>
      </c>
      <c r="F24" s="79">
        <v>0.46</v>
      </c>
      <c r="G24" s="79">
        <v>0.04</v>
      </c>
      <c r="H24" s="88">
        <v>4.5999999999999996</v>
      </c>
      <c r="I24" s="89">
        <v>0.1</v>
      </c>
      <c r="J24" s="88">
        <v>2.2000000000000002</v>
      </c>
      <c r="K24" s="137">
        <v>6.9</v>
      </c>
      <c r="L24" s="129"/>
      <c r="M24" s="144">
        <v>67</v>
      </c>
      <c r="N24" s="108"/>
      <c r="O24" s="129"/>
      <c r="P24" s="90">
        <v>2</v>
      </c>
      <c r="Q24" s="130">
        <v>2</v>
      </c>
      <c r="R24" s="129"/>
      <c r="S24" s="50">
        <v>4.5999999999999996</v>
      </c>
      <c r="T24" s="50">
        <v>4.5999999999999996</v>
      </c>
      <c r="U24" s="50"/>
      <c r="V24" s="51" t="s">
        <v>79</v>
      </c>
      <c r="W24" s="51" t="str">
        <f t="shared" ref="W24:W32" si="0">IF(OR(H24="",I24="",I11="",M24=""),"",IF(1000*(H24+I24)/I11&gt;1.5,"",IF(C24&gt;=5,"ácrico",IF(C24-B24&gt;=0,"ácrico",""))))</f>
        <v/>
      </c>
      <c r="X24" s="52"/>
      <c r="Y24" s="52"/>
      <c r="Z24" s="63"/>
    </row>
    <row r="25" spans="1:26" ht="12" customHeight="1" x14ac:dyDescent="0.3">
      <c r="A25" s="87" t="s">
        <v>81</v>
      </c>
      <c r="B25" s="88">
        <v>5.0999999999999996</v>
      </c>
      <c r="C25" s="89" t="s">
        <v>114</v>
      </c>
      <c r="D25" s="88">
        <v>1</v>
      </c>
      <c r="E25" s="89">
        <v>1.8</v>
      </c>
      <c r="F25" s="79">
        <v>0.34</v>
      </c>
      <c r="G25" s="79">
        <v>0.03</v>
      </c>
      <c r="H25" s="88">
        <v>3.2</v>
      </c>
      <c r="I25" s="89">
        <v>0.4</v>
      </c>
      <c r="J25" s="88">
        <v>1.9</v>
      </c>
      <c r="K25" s="137">
        <v>5.5</v>
      </c>
      <c r="L25" s="129"/>
      <c r="M25" s="144">
        <v>58</v>
      </c>
      <c r="N25" s="108"/>
      <c r="O25" s="129"/>
      <c r="P25" s="90">
        <v>11</v>
      </c>
      <c r="Q25" s="130">
        <v>1</v>
      </c>
      <c r="R25" s="129"/>
      <c r="S25" s="97">
        <v>3.2</v>
      </c>
      <c r="T25" s="97">
        <v>3.2</v>
      </c>
      <c r="U25" s="50"/>
      <c r="V25" s="51" t="s">
        <v>79</v>
      </c>
      <c r="W25" s="51" t="str">
        <f t="shared" si="0"/>
        <v/>
      </c>
      <c r="X25" s="52"/>
      <c r="Y25" s="52"/>
      <c r="Z25" s="63"/>
    </row>
    <row r="26" spans="1:26" ht="12" customHeight="1" x14ac:dyDescent="0.3">
      <c r="A26" s="91" t="s">
        <v>114</v>
      </c>
      <c r="B26" s="88" t="s">
        <v>114</v>
      </c>
      <c r="C26" s="89" t="s">
        <v>114</v>
      </c>
      <c r="D26" s="88" t="s">
        <v>114</v>
      </c>
      <c r="E26" s="89" t="s">
        <v>114</v>
      </c>
      <c r="F26" s="79" t="s">
        <v>114</v>
      </c>
      <c r="G26" s="79" t="s">
        <v>114</v>
      </c>
      <c r="H26" s="88" t="s">
        <v>114</v>
      </c>
      <c r="I26" s="89" t="s">
        <v>114</v>
      </c>
      <c r="J26" s="88" t="s">
        <v>114</v>
      </c>
      <c r="K26" s="137" t="s">
        <v>114</v>
      </c>
      <c r="L26" s="129"/>
      <c r="M26" s="144" t="s">
        <v>114</v>
      </c>
      <c r="N26" s="108"/>
      <c r="O26" s="129"/>
      <c r="P26" s="90" t="s">
        <v>114</v>
      </c>
      <c r="Q26" s="130" t="s">
        <v>114</v>
      </c>
      <c r="R26" s="129"/>
      <c r="S26" s="50" t="s">
        <v>114</v>
      </c>
      <c r="T26" s="50" t="s">
        <v>114</v>
      </c>
      <c r="U26" s="50"/>
      <c r="V26" s="51" t="s">
        <v>114</v>
      </c>
      <c r="W26" s="51" t="str">
        <f t="shared" si="0"/>
        <v/>
      </c>
      <c r="X26" s="52"/>
      <c r="Y26" s="52"/>
      <c r="Z26" s="63"/>
    </row>
    <row r="27" spans="1:26" ht="12" customHeight="1" x14ac:dyDescent="0.3">
      <c r="A27" s="91" t="s">
        <v>114</v>
      </c>
      <c r="B27" s="88" t="s">
        <v>114</v>
      </c>
      <c r="C27" s="89" t="s">
        <v>114</v>
      </c>
      <c r="D27" s="88" t="s">
        <v>114</v>
      </c>
      <c r="E27" s="89" t="s">
        <v>114</v>
      </c>
      <c r="F27" s="79" t="s">
        <v>114</v>
      </c>
      <c r="G27" s="79" t="s">
        <v>114</v>
      </c>
      <c r="H27" s="88" t="s">
        <v>114</v>
      </c>
      <c r="I27" s="89" t="s">
        <v>114</v>
      </c>
      <c r="J27" s="88" t="s">
        <v>114</v>
      </c>
      <c r="K27" s="137" t="s">
        <v>114</v>
      </c>
      <c r="L27" s="129"/>
      <c r="M27" s="144" t="s">
        <v>114</v>
      </c>
      <c r="N27" s="108"/>
      <c r="O27" s="129"/>
      <c r="P27" s="90" t="s">
        <v>114</v>
      </c>
      <c r="Q27" s="130" t="s">
        <v>114</v>
      </c>
      <c r="R27" s="129"/>
      <c r="S27" s="50" t="s">
        <v>114</v>
      </c>
      <c r="T27" s="50" t="s">
        <v>114</v>
      </c>
      <c r="U27" s="50"/>
      <c r="V27" s="51" t="s">
        <v>114</v>
      </c>
      <c r="W27" s="51" t="str">
        <f t="shared" si="0"/>
        <v/>
      </c>
      <c r="X27" s="52"/>
      <c r="Y27" s="52"/>
      <c r="Z27" s="63"/>
    </row>
    <row r="28" spans="1:26" ht="12" customHeight="1" x14ac:dyDescent="0.3">
      <c r="A28" s="91" t="s">
        <v>114</v>
      </c>
      <c r="B28" s="88" t="s">
        <v>114</v>
      </c>
      <c r="C28" s="89" t="s">
        <v>114</v>
      </c>
      <c r="D28" s="88" t="s">
        <v>114</v>
      </c>
      <c r="E28" s="89" t="s">
        <v>114</v>
      </c>
      <c r="F28" s="79" t="s">
        <v>114</v>
      </c>
      <c r="G28" s="79" t="s">
        <v>114</v>
      </c>
      <c r="H28" s="88" t="s">
        <v>114</v>
      </c>
      <c r="I28" s="89" t="s">
        <v>114</v>
      </c>
      <c r="J28" s="88" t="s">
        <v>114</v>
      </c>
      <c r="K28" s="137" t="s">
        <v>114</v>
      </c>
      <c r="L28" s="129"/>
      <c r="M28" s="144" t="s">
        <v>114</v>
      </c>
      <c r="N28" s="108"/>
      <c r="O28" s="129"/>
      <c r="P28" s="90" t="s">
        <v>114</v>
      </c>
      <c r="Q28" s="130" t="s">
        <v>114</v>
      </c>
      <c r="R28" s="129"/>
      <c r="S28" s="50" t="s">
        <v>114</v>
      </c>
      <c r="T28" s="50" t="s">
        <v>114</v>
      </c>
      <c r="U28" s="50"/>
      <c r="V28" s="51" t="s">
        <v>114</v>
      </c>
      <c r="W28" s="51" t="str">
        <f t="shared" si="0"/>
        <v/>
      </c>
      <c r="X28" s="52"/>
      <c r="Y28" s="52"/>
      <c r="Z28" s="63"/>
    </row>
    <row r="29" spans="1:26" ht="12" customHeight="1" x14ac:dyDescent="0.3">
      <c r="A29" s="91" t="s">
        <v>114</v>
      </c>
      <c r="B29" s="88" t="s">
        <v>114</v>
      </c>
      <c r="C29" s="89" t="s">
        <v>114</v>
      </c>
      <c r="D29" s="88" t="s">
        <v>114</v>
      </c>
      <c r="E29" s="89" t="s">
        <v>114</v>
      </c>
      <c r="F29" s="79" t="s">
        <v>114</v>
      </c>
      <c r="G29" s="79" t="s">
        <v>114</v>
      </c>
      <c r="H29" s="88" t="s">
        <v>114</v>
      </c>
      <c r="I29" s="89" t="s">
        <v>114</v>
      </c>
      <c r="J29" s="88" t="s">
        <v>114</v>
      </c>
      <c r="K29" s="137" t="s">
        <v>114</v>
      </c>
      <c r="L29" s="129"/>
      <c r="M29" s="144" t="s">
        <v>114</v>
      </c>
      <c r="N29" s="108"/>
      <c r="O29" s="129"/>
      <c r="P29" s="90" t="s">
        <v>114</v>
      </c>
      <c r="Q29" s="130" t="s">
        <v>114</v>
      </c>
      <c r="R29" s="129"/>
      <c r="S29" s="50" t="s">
        <v>114</v>
      </c>
      <c r="T29" s="50" t="s">
        <v>114</v>
      </c>
      <c r="U29" s="50"/>
      <c r="V29" s="51" t="s">
        <v>114</v>
      </c>
      <c r="W29" s="51" t="str">
        <f t="shared" si="0"/>
        <v/>
      </c>
      <c r="X29" s="52"/>
      <c r="Y29" s="52"/>
      <c r="Z29" s="63"/>
    </row>
    <row r="30" spans="1:26" ht="12" customHeight="1" x14ac:dyDescent="0.3">
      <c r="A30" s="91" t="s">
        <v>114</v>
      </c>
      <c r="B30" s="88" t="s">
        <v>114</v>
      </c>
      <c r="C30" s="89" t="s">
        <v>114</v>
      </c>
      <c r="D30" s="88" t="s">
        <v>114</v>
      </c>
      <c r="E30" s="89" t="s">
        <v>114</v>
      </c>
      <c r="F30" s="79" t="s">
        <v>114</v>
      </c>
      <c r="G30" s="79" t="s">
        <v>114</v>
      </c>
      <c r="H30" s="88" t="s">
        <v>114</v>
      </c>
      <c r="I30" s="89" t="s">
        <v>114</v>
      </c>
      <c r="J30" s="88" t="s">
        <v>114</v>
      </c>
      <c r="K30" s="137" t="s">
        <v>114</v>
      </c>
      <c r="L30" s="129"/>
      <c r="M30" s="144" t="s">
        <v>114</v>
      </c>
      <c r="N30" s="108"/>
      <c r="O30" s="129"/>
      <c r="P30" s="90" t="s">
        <v>114</v>
      </c>
      <c r="Q30" s="130" t="s">
        <v>114</v>
      </c>
      <c r="R30" s="129"/>
      <c r="S30" s="50" t="s">
        <v>114</v>
      </c>
      <c r="T30" s="50" t="s">
        <v>114</v>
      </c>
      <c r="U30" s="50"/>
      <c r="V30" s="51" t="s">
        <v>114</v>
      </c>
      <c r="W30" s="51" t="str">
        <f t="shared" si="0"/>
        <v/>
      </c>
      <c r="X30" s="52"/>
      <c r="Y30" s="52"/>
      <c r="Z30" s="63"/>
    </row>
    <row r="31" spans="1:26" ht="12" customHeight="1" x14ac:dyDescent="0.3">
      <c r="A31" s="91" t="s">
        <v>114</v>
      </c>
      <c r="B31" s="88" t="s">
        <v>114</v>
      </c>
      <c r="C31" s="89" t="s">
        <v>114</v>
      </c>
      <c r="D31" s="88" t="s">
        <v>114</v>
      </c>
      <c r="E31" s="89" t="s">
        <v>114</v>
      </c>
      <c r="F31" s="79" t="s">
        <v>114</v>
      </c>
      <c r="G31" s="79" t="s">
        <v>114</v>
      </c>
      <c r="H31" s="88" t="s">
        <v>114</v>
      </c>
      <c r="I31" s="89" t="s">
        <v>114</v>
      </c>
      <c r="J31" s="88" t="s">
        <v>114</v>
      </c>
      <c r="K31" s="137" t="s">
        <v>114</v>
      </c>
      <c r="L31" s="129"/>
      <c r="M31" s="144" t="s">
        <v>114</v>
      </c>
      <c r="N31" s="108"/>
      <c r="O31" s="129"/>
      <c r="P31" s="90" t="s">
        <v>114</v>
      </c>
      <c r="Q31" s="130" t="s">
        <v>114</v>
      </c>
      <c r="R31" s="129"/>
      <c r="S31" s="50" t="s">
        <v>114</v>
      </c>
      <c r="T31" s="50" t="s">
        <v>114</v>
      </c>
      <c r="U31" s="50"/>
      <c r="V31" s="51" t="s">
        <v>114</v>
      </c>
      <c r="W31" s="51" t="str">
        <f t="shared" si="0"/>
        <v/>
      </c>
      <c r="X31" s="52"/>
      <c r="Y31" s="52"/>
      <c r="Z31" s="63"/>
    </row>
    <row r="32" spans="1:26" ht="12" customHeight="1" x14ac:dyDescent="0.3">
      <c r="A32" s="91" t="s">
        <v>114</v>
      </c>
      <c r="B32" s="88" t="s">
        <v>114</v>
      </c>
      <c r="C32" s="89" t="s">
        <v>114</v>
      </c>
      <c r="D32" s="88" t="s">
        <v>114</v>
      </c>
      <c r="E32" s="89" t="s">
        <v>114</v>
      </c>
      <c r="F32" s="79" t="s">
        <v>114</v>
      </c>
      <c r="G32" s="79" t="s">
        <v>114</v>
      </c>
      <c r="H32" s="88" t="s">
        <v>114</v>
      </c>
      <c r="I32" s="89" t="s">
        <v>114</v>
      </c>
      <c r="J32" s="88" t="s">
        <v>114</v>
      </c>
      <c r="K32" s="137" t="s">
        <v>114</v>
      </c>
      <c r="L32" s="129"/>
      <c r="M32" s="144" t="s">
        <v>114</v>
      </c>
      <c r="N32" s="108"/>
      <c r="O32" s="129"/>
      <c r="P32" s="90" t="s">
        <v>114</v>
      </c>
      <c r="Q32" s="130" t="s">
        <v>114</v>
      </c>
      <c r="R32" s="129"/>
      <c r="S32" s="50" t="s">
        <v>114</v>
      </c>
      <c r="T32" s="50" t="s">
        <v>114</v>
      </c>
      <c r="U32" s="50"/>
      <c r="V32" s="51" t="s">
        <v>114</v>
      </c>
      <c r="W32" s="51" t="str">
        <f t="shared" si="0"/>
        <v/>
      </c>
      <c r="X32" s="52"/>
      <c r="Y32" s="52"/>
      <c r="Z32" s="63"/>
    </row>
    <row r="33" spans="1:26" ht="12" customHeight="1" x14ac:dyDescent="0.3">
      <c r="A33" s="121" t="s">
        <v>93</v>
      </c>
      <c r="B33" s="142" t="s">
        <v>410</v>
      </c>
      <c r="C33" s="142" t="s">
        <v>411</v>
      </c>
      <c r="D33" s="142" t="s">
        <v>41</v>
      </c>
      <c r="E33" s="143" t="s">
        <v>412</v>
      </c>
      <c r="F33" s="138"/>
      <c r="G33" s="138"/>
      <c r="H33" s="138"/>
      <c r="I33" s="138"/>
      <c r="J33" s="125"/>
      <c r="K33" s="143" t="s">
        <v>134</v>
      </c>
      <c r="L33" s="138"/>
      <c r="M33" s="138"/>
      <c r="N33" s="138"/>
      <c r="O33" s="125"/>
      <c r="P33" s="142" t="s">
        <v>413</v>
      </c>
      <c r="Q33" s="143" t="s">
        <v>414</v>
      </c>
      <c r="R33" s="125"/>
      <c r="S33" s="50"/>
      <c r="T33" s="50"/>
      <c r="U33" s="50"/>
      <c r="V33" s="51"/>
      <c r="W33" s="51"/>
      <c r="X33" s="52"/>
      <c r="Y33" s="52"/>
      <c r="Z33" s="63"/>
    </row>
    <row r="34" spans="1:26" ht="8.25" customHeight="1" x14ac:dyDescent="0.3">
      <c r="A34" s="122"/>
      <c r="B34" s="122"/>
      <c r="C34" s="122"/>
      <c r="D34" s="122"/>
      <c r="E34" s="135"/>
      <c r="F34" s="126"/>
      <c r="G34" s="126"/>
      <c r="H34" s="126"/>
      <c r="I34" s="126"/>
      <c r="J34" s="127"/>
      <c r="K34" s="135"/>
      <c r="L34" s="126"/>
      <c r="M34" s="126"/>
      <c r="N34" s="126"/>
      <c r="O34" s="127"/>
      <c r="P34" s="122"/>
      <c r="Q34" s="134"/>
      <c r="R34" s="129"/>
      <c r="S34" s="50"/>
      <c r="T34" s="50"/>
      <c r="U34" s="50"/>
      <c r="V34" s="51"/>
      <c r="W34" s="51"/>
      <c r="X34" s="52"/>
      <c r="Y34" s="52"/>
      <c r="Z34" s="63"/>
    </row>
    <row r="35" spans="1:26" ht="10.5" customHeight="1" x14ac:dyDescent="0.3">
      <c r="A35" s="122"/>
      <c r="B35" s="122"/>
      <c r="C35" s="122"/>
      <c r="D35" s="122"/>
      <c r="E35" s="142" t="s">
        <v>415</v>
      </c>
      <c r="F35" s="142" t="s">
        <v>416</v>
      </c>
      <c r="G35" s="142" t="s">
        <v>417</v>
      </c>
      <c r="H35" s="142" t="s">
        <v>418</v>
      </c>
      <c r="I35" s="142" t="s">
        <v>419</v>
      </c>
      <c r="J35" s="142" t="s">
        <v>142</v>
      </c>
      <c r="K35" s="142" t="s">
        <v>420</v>
      </c>
      <c r="L35" s="143" t="s">
        <v>421</v>
      </c>
      <c r="M35" s="125"/>
      <c r="N35" s="145" t="s">
        <v>422</v>
      </c>
      <c r="O35" s="125"/>
      <c r="P35" s="122"/>
      <c r="Q35" s="134"/>
      <c r="R35" s="129"/>
      <c r="S35" s="50"/>
      <c r="T35" s="50"/>
      <c r="U35" s="50"/>
      <c r="V35" s="51"/>
      <c r="W35" s="51"/>
      <c r="X35" s="52"/>
      <c r="Y35" s="52"/>
      <c r="Z35" s="52"/>
    </row>
    <row r="36" spans="1:26" ht="21" customHeight="1" x14ac:dyDescent="0.3">
      <c r="A36" s="123"/>
      <c r="B36" s="123"/>
      <c r="C36" s="123"/>
      <c r="D36" s="123"/>
      <c r="E36" s="123"/>
      <c r="F36" s="123"/>
      <c r="G36" s="123"/>
      <c r="H36" s="123"/>
      <c r="I36" s="123"/>
      <c r="J36" s="123"/>
      <c r="K36" s="123"/>
      <c r="L36" s="135"/>
      <c r="M36" s="127"/>
      <c r="N36" s="135"/>
      <c r="O36" s="127"/>
      <c r="P36" s="123"/>
      <c r="Q36" s="135"/>
      <c r="R36" s="127"/>
      <c r="S36" s="50"/>
      <c r="T36" s="50"/>
      <c r="U36" s="50"/>
      <c r="V36" s="51"/>
      <c r="W36" s="51"/>
      <c r="X36" s="52"/>
      <c r="Y36" s="52"/>
      <c r="Z36" s="52"/>
    </row>
    <row r="37" spans="1:26" ht="12" customHeight="1" x14ac:dyDescent="0.3">
      <c r="A37" s="87" t="s">
        <v>77</v>
      </c>
      <c r="B37" s="88">
        <v>11.2</v>
      </c>
      <c r="C37" s="88">
        <v>1.2</v>
      </c>
      <c r="D37" s="77">
        <v>9</v>
      </c>
      <c r="E37" s="66" t="s">
        <v>114</v>
      </c>
      <c r="F37" s="77" t="s">
        <v>114</v>
      </c>
      <c r="G37" s="66" t="s">
        <v>114</v>
      </c>
      <c r="H37" s="88" t="s">
        <v>114</v>
      </c>
      <c r="I37" s="89" t="s">
        <v>114</v>
      </c>
      <c r="J37" s="88" t="s">
        <v>114</v>
      </c>
      <c r="K37" s="78" t="s">
        <v>114</v>
      </c>
      <c r="L37" s="143" t="s">
        <v>114</v>
      </c>
      <c r="M37" s="125"/>
      <c r="N37" s="141" t="s">
        <v>114</v>
      </c>
      <c r="O37" s="129"/>
      <c r="P37" s="79" t="s">
        <v>114</v>
      </c>
      <c r="Q37" s="141" t="s">
        <v>114</v>
      </c>
      <c r="R37" s="129"/>
      <c r="S37" s="50"/>
      <c r="T37" s="50"/>
      <c r="U37" s="50"/>
      <c r="V37" s="51" t="s">
        <v>114</v>
      </c>
      <c r="W37" s="51"/>
      <c r="X37" s="52"/>
      <c r="Y37" s="52"/>
      <c r="Z37" s="52"/>
    </row>
    <row r="38" spans="1:26" ht="12" customHeight="1" x14ac:dyDescent="0.3">
      <c r="A38" s="87" t="s">
        <v>81</v>
      </c>
      <c r="B38" s="88">
        <v>7.3</v>
      </c>
      <c r="C38" s="88">
        <v>1.2</v>
      </c>
      <c r="D38" s="77">
        <v>6</v>
      </c>
      <c r="E38" s="66" t="s">
        <v>114</v>
      </c>
      <c r="F38" s="77" t="s">
        <v>114</v>
      </c>
      <c r="G38" s="66" t="s">
        <v>114</v>
      </c>
      <c r="H38" s="88" t="s">
        <v>114</v>
      </c>
      <c r="I38" s="89" t="s">
        <v>114</v>
      </c>
      <c r="J38" s="88" t="s">
        <v>114</v>
      </c>
      <c r="K38" s="78" t="s">
        <v>114</v>
      </c>
      <c r="L38" s="141" t="s">
        <v>114</v>
      </c>
      <c r="M38" s="129"/>
      <c r="N38" s="139" t="s">
        <v>114</v>
      </c>
      <c r="O38" s="129"/>
      <c r="P38" s="79" t="s">
        <v>114</v>
      </c>
      <c r="Q38" s="141" t="s">
        <v>114</v>
      </c>
      <c r="R38" s="129"/>
      <c r="S38" s="50"/>
      <c r="T38" s="50"/>
      <c r="U38" s="50"/>
      <c r="V38" s="51" t="s">
        <v>114</v>
      </c>
      <c r="W38" s="51"/>
      <c r="X38" s="52"/>
      <c r="Y38" s="52"/>
      <c r="Z38" s="52"/>
    </row>
    <row r="39" spans="1:26" ht="12" customHeight="1" x14ac:dyDescent="0.3">
      <c r="A39" s="91" t="s">
        <v>114</v>
      </c>
      <c r="B39" s="88" t="s">
        <v>114</v>
      </c>
      <c r="C39" s="88" t="s">
        <v>114</v>
      </c>
      <c r="D39" s="77" t="s">
        <v>114</v>
      </c>
      <c r="E39" s="66" t="s">
        <v>114</v>
      </c>
      <c r="F39" s="77" t="s">
        <v>114</v>
      </c>
      <c r="G39" s="66" t="s">
        <v>114</v>
      </c>
      <c r="H39" s="88" t="s">
        <v>114</v>
      </c>
      <c r="I39" s="89" t="s">
        <v>114</v>
      </c>
      <c r="J39" s="88" t="s">
        <v>114</v>
      </c>
      <c r="K39" s="78" t="s">
        <v>114</v>
      </c>
      <c r="L39" s="141" t="s">
        <v>114</v>
      </c>
      <c r="M39" s="129"/>
      <c r="N39" s="139" t="s">
        <v>114</v>
      </c>
      <c r="O39" s="129"/>
      <c r="P39" s="79" t="s">
        <v>114</v>
      </c>
      <c r="Q39" s="141" t="s">
        <v>114</v>
      </c>
      <c r="R39" s="129"/>
      <c r="S39" s="50"/>
      <c r="T39" s="50"/>
      <c r="U39" s="50"/>
      <c r="V39" s="51" t="s">
        <v>114</v>
      </c>
      <c r="W39" s="51"/>
      <c r="X39" s="52"/>
      <c r="Y39" s="52"/>
      <c r="Z39" s="52"/>
    </row>
    <row r="40" spans="1:26" ht="12" customHeight="1" x14ac:dyDescent="0.3">
      <c r="A40" s="91" t="s">
        <v>114</v>
      </c>
      <c r="B40" s="88" t="s">
        <v>114</v>
      </c>
      <c r="C40" s="88" t="s">
        <v>114</v>
      </c>
      <c r="D40" s="77" t="s">
        <v>114</v>
      </c>
      <c r="E40" s="66" t="s">
        <v>114</v>
      </c>
      <c r="F40" s="77" t="s">
        <v>114</v>
      </c>
      <c r="G40" s="66" t="s">
        <v>114</v>
      </c>
      <c r="H40" s="88" t="s">
        <v>114</v>
      </c>
      <c r="I40" s="89" t="s">
        <v>114</v>
      </c>
      <c r="J40" s="88" t="s">
        <v>114</v>
      </c>
      <c r="K40" s="78" t="s">
        <v>114</v>
      </c>
      <c r="L40" s="141" t="s">
        <v>114</v>
      </c>
      <c r="M40" s="129"/>
      <c r="N40" s="139" t="s">
        <v>114</v>
      </c>
      <c r="O40" s="129"/>
      <c r="P40" s="79" t="s">
        <v>114</v>
      </c>
      <c r="Q40" s="141" t="s">
        <v>114</v>
      </c>
      <c r="R40" s="129"/>
      <c r="S40" s="50"/>
      <c r="T40" s="50"/>
      <c r="U40" s="50"/>
      <c r="V40" s="51" t="s">
        <v>114</v>
      </c>
      <c r="W40" s="51"/>
      <c r="X40" s="52"/>
      <c r="Y40" s="52"/>
      <c r="Z40" s="52"/>
    </row>
    <row r="41" spans="1:26" ht="12" customHeight="1" x14ac:dyDescent="0.3">
      <c r="A41" s="91" t="s">
        <v>114</v>
      </c>
      <c r="B41" s="88" t="s">
        <v>114</v>
      </c>
      <c r="C41" s="88" t="s">
        <v>114</v>
      </c>
      <c r="D41" s="77" t="s">
        <v>114</v>
      </c>
      <c r="E41" s="66" t="s">
        <v>114</v>
      </c>
      <c r="F41" s="77" t="s">
        <v>114</v>
      </c>
      <c r="G41" s="66" t="s">
        <v>114</v>
      </c>
      <c r="H41" s="88" t="s">
        <v>114</v>
      </c>
      <c r="I41" s="89" t="s">
        <v>114</v>
      </c>
      <c r="J41" s="88" t="s">
        <v>114</v>
      </c>
      <c r="K41" s="78" t="s">
        <v>114</v>
      </c>
      <c r="L41" s="141" t="s">
        <v>114</v>
      </c>
      <c r="M41" s="129"/>
      <c r="N41" s="139" t="s">
        <v>114</v>
      </c>
      <c r="O41" s="129"/>
      <c r="P41" s="79" t="s">
        <v>114</v>
      </c>
      <c r="Q41" s="141" t="s">
        <v>114</v>
      </c>
      <c r="R41" s="129"/>
      <c r="S41" s="50"/>
      <c r="T41" s="50"/>
      <c r="U41" s="50"/>
      <c r="V41" s="51" t="s">
        <v>114</v>
      </c>
      <c r="W41" s="51"/>
      <c r="X41" s="52"/>
      <c r="Y41" s="52"/>
      <c r="Z41" s="52"/>
    </row>
    <row r="42" spans="1:26" ht="12" customHeight="1" x14ac:dyDescent="0.3">
      <c r="A42" s="91" t="s">
        <v>114</v>
      </c>
      <c r="B42" s="88" t="s">
        <v>114</v>
      </c>
      <c r="C42" s="88" t="s">
        <v>114</v>
      </c>
      <c r="D42" s="77" t="s">
        <v>114</v>
      </c>
      <c r="E42" s="66" t="s">
        <v>114</v>
      </c>
      <c r="F42" s="77" t="s">
        <v>114</v>
      </c>
      <c r="G42" s="66" t="s">
        <v>114</v>
      </c>
      <c r="H42" s="88" t="s">
        <v>114</v>
      </c>
      <c r="I42" s="89" t="s">
        <v>114</v>
      </c>
      <c r="J42" s="88" t="s">
        <v>114</v>
      </c>
      <c r="K42" s="78" t="s">
        <v>114</v>
      </c>
      <c r="L42" s="141" t="s">
        <v>114</v>
      </c>
      <c r="M42" s="129"/>
      <c r="N42" s="139" t="s">
        <v>114</v>
      </c>
      <c r="O42" s="129"/>
      <c r="P42" s="79" t="s">
        <v>114</v>
      </c>
      <c r="Q42" s="141" t="s">
        <v>114</v>
      </c>
      <c r="R42" s="129"/>
      <c r="S42" s="50"/>
      <c r="T42" s="50"/>
      <c r="U42" s="50"/>
      <c r="V42" s="51" t="s">
        <v>114</v>
      </c>
      <c r="W42" s="51"/>
      <c r="X42" s="52"/>
      <c r="Y42" s="52"/>
      <c r="Z42" s="52"/>
    </row>
    <row r="43" spans="1:26" ht="12" customHeight="1" x14ac:dyDescent="0.3">
      <c r="A43" s="91" t="s">
        <v>114</v>
      </c>
      <c r="B43" s="88" t="s">
        <v>114</v>
      </c>
      <c r="C43" s="88" t="s">
        <v>114</v>
      </c>
      <c r="D43" s="77" t="s">
        <v>114</v>
      </c>
      <c r="E43" s="66" t="s">
        <v>114</v>
      </c>
      <c r="F43" s="77" t="s">
        <v>114</v>
      </c>
      <c r="G43" s="66" t="s">
        <v>114</v>
      </c>
      <c r="H43" s="88" t="s">
        <v>114</v>
      </c>
      <c r="I43" s="89" t="s">
        <v>114</v>
      </c>
      <c r="J43" s="88" t="s">
        <v>114</v>
      </c>
      <c r="K43" s="78" t="s">
        <v>114</v>
      </c>
      <c r="L43" s="141" t="s">
        <v>114</v>
      </c>
      <c r="M43" s="129"/>
      <c r="N43" s="139" t="s">
        <v>114</v>
      </c>
      <c r="O43" s="129"/>
      <c r="P43" s="79" t="s">
        <v>114</v>
      </c>
      <c r="Q43" s="141" t="s">
        <v>114</v>
      </c>
      <c r="R43" s="129"/>
      <c r="S43" s="50"/>
      <c r="T43" s="50"/>
      <c r="U43" s="50"/>
      <c r="V43" s="51" t="s">
        <v>114</v>
      </c>
      <c r="W43" s="51"/>
      <c r="X43" s="52"/>
      <c r="Y43" s="52"/>
      <c r="Z43" s="52"/>
    </row>
    <row r="44" spans="1:26" ht="12" customHeight="1" x14ac:dyDescent="0.3">
      <c r="A44" s="91" t="s">
        <v>114</v>
      </c>
      <c r="B44" s="88" t="s">
        <v>114</v>
      </c>
      <c r="C44" s="88" t="s">
        <v>114</v>
      </c>
      <c r="D44" s="77" t="s">
        <v>114</v>
      </c>
      <c r="E44" s="66" t="s">
        <v>114</v>
      </c>
      <c r="F44" s="77" t="s">
        <v>114</v>
      </c>
      <c r="G44" s="66" t="s">
        <v>114</v>
      </c>
      <c r="H44" s="88" t="s">
        <v>114</v>
      </c>
      <c r="I44" s="89" t="s">
        <v>114</v>
      </c>
      <c r="J44" s="88" t="s">
        <v>114</v>
      </c>
      <c r="K44" s="78" t="s">
        <v>114</v>
      </c>
      <c r="L44" s="141" t="s">
        <v>114</v>
      </c>
      <c r="M44" s="129"/>
      <c r="N44" s="139" t="s">
        <v>114</v>
      </c>
      <c r="O44" s="129"/>
      <c r="P44" s="79" t="s">
        <v>114</v>
      </c>
      <c r="Q44" s="141" t="s">
        <v>114</v>
      </c>
      <c r="R44" s="129"/>
      <c r="S44" s="50"/>
      <c r="T44" s="50"/>
      <c r="U44" s="50"/>
      <c r="V44" s="51" t="s">
        <v>114</v>
      </c>
      <c r="W44" s="51"/>
      <c r="X44" s="52"/>
      <c r="Y44" s="52"/>
      <c r="Z44" s="52"/>
    </row>
    <row r="45" spans="1:26" ht="12" customHeight="1" x14ac:dyDescent="0.3">
      <c r="A45" s="91" t="s">
        <v>114</v>
      </c>
      <c r="B45" s="88" t="s">
        <v>114</v>
      </c>
      <c r="C45" s="88" t="s">
        <v>114</v>
      </c>
      <c r="D45" s="77" t="s">
        <v>114</v>
      </c>
      <c r="E45" s="66" t="s">
        <v>114</v>
      </c>
      <c r="F45" s="77" t="s">
        <v>114</v>
      </c>
      <c r="G45" s="66" t="s">
        <v>114</v>
      </c>
      <c r="H45" s="88" t="s">
        <v>114</v>
      </c>
      <c r="I45" s="89" t="s">
        <v>114</v>
      </c>
      <c r="J45" s="88" t="s">
        <v>114</v>
      </c>
      <c r="K45" s="78" t="s">
        <v>114</v>
      </c>
      <c r="L45" s="141" t="s">
        <v>114</v>
      </c>
      <c r="M45" s="129"/>
      <c r="N45" s="141" t="s">
        <v>114</v>
      </c>
      <c r="O45" s="129"/>
      <c r="P45" s="79" t="s">
        <v>114</v>
      </c>
      <c r="Q45" s="141" t="s">
        <v>114</v>
      </c>
      <c r="R45" s="129"/>
      <c r="S45" s="50"/>
      <c r="T45" s="50"/>
      <c r="U45" s="50"/>
      <c r="V45" s="51" t="s">
        <v>114</v>
      </c>
      <c r="W45" s="51"/>
      <c r="X45" s="52"/>
      <c r="Y45" s="52"/>
      <c r="Z45" s="52"/>
    </row>
    <row r="46" spans="1:26" ht="12" customHeight="1" x14ac:dyDescent="0.3">
      <c r="A46" s="121" t="s">
        <v>93</v>
      </c>
      <c r="B46" s="153" t="s">
        <v>423</v>
      </c>
      <c r="C46" s="146" t="s">
        <v>147</v>
      </c>
      <c r="D46" s="148"/>
      <c r="E46" s="143" t="s">
        <v>424</v>
      </c>
      <c r="F46" s="138"/>
      <c r="G46" s="138"/>
      <c r="H46" s="138"/>
      <c r="I46" s="138"/>
      <c r="J46" s="138"/>
      <c r="K46" s="138"/>
      <c r="L46" s="125"/>
      <c r="M46" s="143" t="s">
        <v>425</v>
      </c>
      <c r="N46" s="138"/>
      <c r="O46" s="138"/>
      <c r="P46" s="138"/>
      <c r="Q46" s="138"/>
      <c r="R46" s="125"/>
      <c r="S46" s="50"/>
      <c r="T46" s="50"/>
      <c r="U46" s="50"/>
      <c r="V46" s="51"/>
      <c r="W46" s="51"/>
      <c r="X46" s="52"/>
      <c r="Y46" s="52"/>
      <c r="Z46" s="52"/>
    </row>
    <row r="47" spans="1:26" ht="9" customHeight="1" x14ac:dyDescent="0.3">
      <c r="A47" s="122"/>
      <c r="B47" s="122"/>
      <c r="C47" s="142" t="s">
        <v>426</v>
      </c>
      <c r="D47" s="142" t="s">
        <v>427</v>
      </c>
      <c r="E47" s="135"/>
      <c r="F47" s="126"/>
      <c r="G47" s="126"/>
      <c r="H47" s="126"/>
      <c r="I47" s="126"/>
      <c r="J47" s="126"/>
      <c r="K47" s="126"/>
      <c r="L47" s="127"/>
      <c r="M47" s="135"/>
      <c r="N47" s="126"/>
      <c r="O47" s="126"/>
      <c r="P47" s="126"/>
      <c r="Q47" s="126"/>
      <c r="R47" s="127"/>
      <c r="S47" s="50"/>
      <c r="T47" s="50"/>
      <c r="U47" s="50"/>
      <c r="V47" s="51"/>
      <c r="W47" s="51"/>
      <c r="X47" s="52"/>
      <c r="Y47" s="52"/>
      <c r="Z47" s="52"/>
    </row>
    <row r="48" spans="1:26" ht="12" customHeight="1" x14ac:dyDescent="0.3">
      <c r="A48" s="122"/>
      <c r="B48" s="122"/>
      <c r="C48" s="122"/>
      <c r="D48" s="122"/>
      <c r="E48" s="142" t="s">
        <v>428</v>
      </c>
      <c r="F48" s="142" t="s">
        <v>429</v>
      </c>
      <c r="G48" s="142" t="s">
        <v>430</v>
      </c>
      <c r="H48" s="142" t="s">
        <v>431</v>
      </c>
      <c r="I48" s="142" t="s">
        <v>432</v>
      </c>
      <c r="J48" s="142" t="s">
        <v>433</v>
      </c>
      <c r="K48" s="143" t="s">
        <v>434</v>
      </c>
      <c r="L48" s="125"/>
      <c r="M48" s="146" t="s">
        <v>159</v>
      </c>
      <c r="N48" s="147"/>
      <c r="O48" s="147"/>
      <c r="P48" s="148"/>
      <c r="Q48" s="143" t="s">
        <v>160</v>
      </c>
      <c r="R48" s="125"/>
      <c r="S48" s="50"/>
      <c r="T48" s="50"/>
      <c r="U48" s="50"/>
      <c r="V48" s="51"/>
      <c r="W48" s="51"/>
      <c r="X48" s="52"/>
      <c r="Y48" s="52"/>
      <c r="Z48" s="52"/>
    </row>
    <row r="49" spans="1:26" ht="12" customHeight="1" x14ac:dyDescent="0.3">
      <c r="A49" s="122"/>
      <c r="B49" s="122"/>
      <c r="C49" s="122"/>
      <c r="D49" s="122"/>
      <c r="E49" s="122"/>
      <c r="F49" s="122"/>
      <c r="G49" s="122"/>
      <c r="H49" s="122"/>
      <c r="I49" s="122"/>
      <c r="J49" s="122"/>
      <c r="K49" s="134"/>
      <c r="L49" s="129"/>
      <c r="M49" s="143" t="s">
        <v>161</v>
      </c>
      <c r="N49" s="138"/>
      <c r="O49" s="125"/>
      <c r="P49" s="142" t="s">
        <v>162</v>
      </c>
      <c r="Q49" s="134"/>
      <c r="R49" s="129"/>
      <c r="S49" s="50"/>
      <c r="T49" s="50"/>
      <c r="U49" s="50"/>
      <c r="V49" s="51"/>
      <c r="W49" s="51"/>
      <c r="X49" s="52"/>
      <c r="Y49" s="52"/>
      <c r="Z49" s="52"/>
    </row>
    <row r="50" spans="1:26" ht="6" customHeight="1" x14ac:dyDescent="0.3">
      <c r="A50" s="123"/>
      <c r="B50" s="123"/>
      <c r="C50" s="123"/>
      <c r="D50" s="123"/>
      <c r="E50" s="123"/>
      <c r="F50" s="123"/>
      <c r="G50" s="123"/>
      <c r="H50" s="123"/>
      <c r="I50" s="123"/>
      <c r="J50" s="123"/>
      <c r="K50" s="135"/>
      <c r="L50" s="127"/>
      <c r="M50" s="135"/>
      <c r="N50" s="126"/>
      <c r="O50" s="127"/>
      <c r="P50" s="123"/>
      <c r="Q50" s="135"/>
      <c r="R50" s="127"/>
      <c r="S50" s="50"/>
      <c r="T50" s="50"/>
      <c r="U50" s="50"/>
      <c r="V50" s="51"/>
      <c r="W50" s="51"/>
      <c r="X50" s="52"/>
      <c r="Y50" s="52"/>
      <c r="Z50" s="52"/>
    </row>
    <row r="51" spans="1:26" ht="12" customHeight="1" x14ac:dyDescent="0.3">
      <c r="A51" s="87" t="s">
        <v>77</v>
      </c>
      <c r="B51" s="79" t="s">
        <v>163</v>
      </c>
      <c r="C51" s="78" t="s">
        <v>114</v>
      </c>
      <c r="D51" s="77" t="s">
        <v>114</v>
      </c>
      <c r="E51" s="78" t="s">
        <v>114</v>
      </c>
      <c r="F51" s="79" t="s">
        <v>114</v>
      </c>
      <c r="G51" s="78" t="s">
        <v>114</v>
      </c>
      <c r="H51" s="79" t="s">
        <v>114</v>
      </c>
      <c r="I51" s="78" t="s">
        <v>114</v>
      </c>
      <c r="J51" s="79" t="s">
        <v>114</v>
      </c>
      <c r="K51" s="141" t="s">
        <v>114</v>
      </c>
      <c r="L51" s="129"/>
      <c r="M51" s="143" t="s">
        <v>114</v>
      </c>
      <c r="N51" s="138"/>
      <c r="O51" s="125"/>
      <c r="P51" s="69" t="s">
        <v>114</v>
      </c>
      <c r="Q51" s="143" t="s">
        <v>114</v>
      </c>
      <c r="R51" s="125"/>
      <c r="S51" s="50"/>
      <c r="T51" s="50"/>
      <c r="U51" s="50"/>
      <c r="V51" s="51" t="s">
        <v>114</v>
      </c>
      <c r="W51" s="51" t="str">
        <f t="shared" ref="W51:W59" si="1">IF(C51="","",IF(C51&gt;=7,"sálico",IF(C51&gt;=4,"salino","")))</f>
        <v/>
      </c>
      <c r="X51" s="52"/>
      <c r="Y51" s="52"/>
      <c r="Z51" s="52"/>
    </row>
    <row r="52" spans="1:26" ht="12" customHeight="1" x14ac:dyDescent="0.3">
      <c r="A52" s="87" t="s">
        <v>81</v>
      </c>
      <c r="B52" s="79" t="s">
        <v>163</v>
      </c>
      <c r="C52" s="78" t="s">
        <v>114</v>
      </c>
      <c r="D52" s="77" t="s">
        <v>114</v>
      </c>
      <c r="E52" s="78" t="s">
        <v>114</v>
      </c>
      <c r="F52" s="79" t="s">
        <v>114</v>
      </c>
      <c r="G52" s="78" t="s">
        <v>114</v>
      </c>
      <c r="H52" s="79" t="s">
        <v>114</v>
      </c>
      <c r="I52" s="78" t="s">
        <v>114</v>
      </c>
      <c r="J52" s="79" t="s">
        <v>114</v>
      </c>
      <c r="K52" s="141" t="s">
        <v>114</v>
      </c>
      <c r="L52" s="108"/>
      <c r="M52" s="141" t="s">
        <v>114</v>
      </c>
      <c r="N52" s="108"/>
      <c r="O52" s="129"/>
      <c r="P52" s="78" t="s">
        <v>114</v>
      </c>
      <c r="Q52" s="141" t="s">
        <v>114</v>
      </c>
      <c r="R52" s="129"/>
      <c r="S52" s="50"/>
      <c r="T52" s="50"/>
      <c r="U52" s="50"/>
      <c r="V52" s="51" t="s">
        <v>114</v>
      </c>
      <c r="W52" s="51" t="str">
        <f t="shared" si="1"/>
        <v/>
      </c>
      <c r="X52" s="52"/>
      <c r="Y52" s="52"/>
      <c r="Z52" s="52"/>
    </row>
    <row r="53" spans="1:26" ht="12" customHeight="1" x14ac:dyDescent="0.3">
      <c r="A53" s="91" t="s">
        <v>114</v>
      </c>
      <c r="B53" s="79" t="s">
        <v>114</v>
      </c>
      <c r="C53" s="78" t="s">
        <v>114</v>
      </c>
      <c r="D53" s="77" t="s">
        <v>114</v>
      </c>
      <c r="E53" s="78" t="s">
        <v>114</v>
      </c>
      <c r="F53" s="79" t="s">
        <v>114</v>
      </c>
      <c r="G53" s="78" t="s">
        <v>114</v>
      </c>
      <c r="H53" s="79" t="s">
        <v>114</v>
      </c>
      <c r="I53" s="78" t="s">
        <v>114</v>
      </c>
      <c r="J53" s="79" t="s">
        <v>114</v>
      </c>
      <c r="K53" s="141" t="s">
        <v>114</v>
      </c>
      <c r="L53" s="108"/>
      <c r="M53" s="141" t="s">
        <v>114</v>
      </c>
      <c r="N53" s="108"/>
      <c r="O53" s="129"/>
      <c r="P53" s="78" t="s">
        <v>114</v>
      </c>
      <c r="Q53" s="141" t="s">
        <v>114</v>
      </c>
      <c r="R53" s="129"/>
      <c r="S53" s="50"/>
      <c r="T53" s="50"/>
      <c r="U53" s="50"/>
      <c r="V53" s="51" t="s">
        <v>114</v>
      </c>
      <c r="W53" s="51" t="str">
        <f t="shared" si="1"/>
        <v/>
      </c>
      <c r="X53" s="52"/>
      <c r="Y53" s="52"/>
      <c r="Z53" s="52"/>
    </row>
    <row r="54" spans="1:26" ht="12" customHeight="1" x14ac:dyDescent="0.3">
      <c r="A54" s="91" t="s">
        <v>114</v>
      </c>
      <c r="B54" s="79" t="s">
        <v>114</v>
      </c>
      <c r="C54" s="78" t="s">
        <v>114</v>
      </c>
      <c r="D54" s="77" t="s">
        <v>114</v>
      </c>
      <c r="E54" s="78" t="s">
        <v>114</v>
      </c>
      <c r="F54" s="79" t="s">
        <v>114</v>
      </c>
      <c r="G54" s="78" t="s">
        <v>114</v>
      </c>
      <c r="H54" s="79" t="s">
        <v>114</v>
      </c>
      <c r="I54" s="78" t="s">
        <v>114</v>
      </c>
      <c r="J54" s="79" t="s">
        <v>114</v>
      </c>
      <c r="K54" s="141" t="s">
        <v>114</v>
      </c>
      <c r="L54" s="108"/>
      <c r="M54" s="141" t="s">
        <v>114</v>
      </c>
      <c r="N54" s="108"/>
      <c r="O54" s="129"/>
      <c r="P54" s="78" t="s">
        <v>114</v>
      </c>
      <c r="Q54" s="141" t="s">
        <v>114</v>
      </c>
      <c r="R54" s="129"/>
      <c r="S54" s="50"/>
      <c r="T54" s="50"/>
      <c r="U54" s="50"/>
      <c r="V54" s="51" t="s">
        <v>114</v>
      </c>
      <c r="W54" s="51" t="str">
        <f t="shared" si="1"/>
        <v/>
      </c>
      <c r="X54" s="52"/>
      <c r="Y54" s="52"/>
      <c r="Z54" s="52"/>
    </row>
    <row r="55" spans="1:26" ht="12" customHeight="1" x14ac:dyDescent="0.3">
      <c r="A55" s="91" t="s">
        <v>114</v>
      </c>
      <c r="B55" s="79" t="s">
        <v>114</v>
      </c>
      <c r="C55" s="78" t="s">
        <v>114</v>
      </c>
      <c r="D55" s="77" t="s">
        <v>114</v>
      </c>
      <c r="E55" s="78" t="s">
        <v>114</v>
      </c>
      <c r="F55" s="79" t="s">
        <v>114</v>
      </c>
      <c r="G55" s="78" t="s">
        <v>114</v>
      </c>
      <c r="H55" s="79" t="s">
        <v>114</v>
      </c>
      <c r="I55" s="78" t="s">
        <v>114</v>
      </c>
      <c r="J55" s="79" t="s">
        <v>114</v>
      </c>
      <c r="K55" s="141" t="s">
        <v>114</v>
      </c>
      <c r="L55" s="108"/>
      <c r="M55" s="141" t="s">
        <v>114</v>
      </c>
      <c r="N55" s="108"/>
      <c r="O55" s="129"/>
      <c r="P55" s="78" t="s">
        <v>114</v>
      </c>
      <c r="Q55" s="141" t="s">
        <v>114</v>
      </c>
      <c r="R55" s="129"/>
      <c r="S55" s="50"/>
      <c r="T55" s="50"/>
      <c r="U55" s="50"/>
      <c r="V55" s="51" t="s">
        <v>114</v>
      </c>
      <c r="W55" s="51" t="str">
        <f t="shared" si="1"/>
        <v/>
      </c>
      <c r="X55" s="52"/>
      <c r="Y55" s="52"/>
      <c r="Z55" s="52"/>
    </row>
    <row r="56" spans="1:26" ht="12" customHeight="1" x14ac:dyDescent="0.3">
      <c r="A56" s="91" t="s">
        <v>114</v>
      </c>
      <c r="B56" s="79" t="s">
        <v>114</v>
      </c>
      <c r="C56" s="78" t="s">
        <v>114</v>
      </c>
      <c r="D56" s="77" t="s">
        <v>114</v>
      </c>
      <c r="E56" s="78" t="s">
        <v>114</v>
      </c>
      <c r="F56" s="79" t="s">
        <v>114</v>
      </c>
      <c r="G56" s="78" t="s">
        <v>114</v>
      </c>
      <c r="H56" s="79" t="s">
        <v>114</v>
      </c>
      <c r="I56" s="78" t="s">
        <v>114</v>
      </c>
      <c r="J56" s="79" t="s">
        <v>114</v>
      </c>
      <c r="K56" s="141" t="s">
        <v>114</v>
      </c>
      <c r="L56" s="108"/>
      <c r="M56" s="141" t="s">
        <v>114</v>
      </c>
      <c r="N56" s="108"/>
      <c r="O56" s="129"/>
      <c r="P56" s="78" t="s">
        <v>114</v>
      </c>
      <c r="Q56" s="141" t="s">
        <v>114</v>
      </c>
      <c r="R56" s="129"/>
      <c r="S56" s="50"/>
      <c r="T56" s="50"/>
      <c r="U56" s="50"/>
      <c r="V56" s="51" t="s">
        <v>114</v>
      </c>
      <c r="W56" s="51" t="str">
        <f t="shared" si="1"/>
        <v/>
      </c>
      <c r="X56" s="52"/>
      <c r="Y56" s="52"/>
      <c r="Z56" s="52"/>
    </row>
    <row r="57" spans="1:26" ht="12" customHeight="1" x14ac:dyDescent="0.3">
      <c r="A57" s="91" t="s">
        <v>114</v>
      </c>
      <c r="B57" s="79" t="s">
        <v>114</v>
      </c>
      <c r="C57" s="78" t="s">
        <v>114</v>
      </c>
      <c r="D57" s="77" t="s">
        <v>114</v>
      </c>
      <c r="E57" s="78" t="s">
        <v>114</v>
      </c>
      <c r="F57" s="79" t="s">
        <v>114</v>
      </c>
      <c r="G57" s="78" t="s">
        <v>114</v>
      </c>
      <c r="H57" s="79" t="s">
        <v>114</v>
      </c>
      <c r="I57" s="78" t="s">
        <v>114</v>
      </c>
      <c r="J57" s="79" t="s">
        <v>114</v>
      </c>
      <c r="K57" s="141" t="s">
        <v>114</v>
      </c>
      <c r="L57" s="108"/>
      <c r="M57" s="141" t="s">
        <v>114</v>
      </c>
      <c r="N57" s="108"/>
      <c r="O57" s="129"/>
      <c r="P57" s="78" t="s">
        <v>114</v>
      </c>
      <c r="Q57" s="141" t="s">
        <v>114</v>
      </c>
      <c r="R57" s="129"/>
      <c r="S57" s="50"/>
      <c r="T57" s="50"/>
      <c r="U57" s="50"/>
      <c r="V57" s="51" t="s">
        <v>114</v>
      </c>
      <c r="W57" s="51" t="str">
        <f t="shared" si="1"/>
        <v/>
      </c>
      <c r="X57" s="52"/>
      <c r="Y57" s="52"/>
      <c r="Z57" s="52"/>
    </row>
    <row r="58" spans="1:26" ht="12" customHeight="1" x14ac:dyDescent="0.3">
      <c r="A58" s="91" t="s">
        <v>114</v>
      </c>
      <c r="B58" s="79" t="s">
        <v>114</v>
      </c>
      <c r="C58" s="78" t="s">
        <v>114</v>
      </c>
      <c r="D58" s="77" t="s">
        <v>114</v>
      </c>
      <c r="E58" s="78" t="s">
        <v>114</v>
      </c>
      <c r="F58" s="79" t="s">
        <v>114</v>
      </c>
      <c r="G58" s="78" t="s">
        <v>114</v>
      </c>
      <c r="H58" s="79" t="s">
        <v>114</v>
      </c>
      <c r="I58" s="78" t="s">
        <v>114</v>
      </c>
      <c r="J58" s="79" t="s">
        <v>114</v>
      </c>
      <c r="K58" s="141" t="s">
        <v>114</v>
      </c>
      <c r="L58" s="108"/>
      <c r="M58" s="141" t="s">
        <v>114</v>
      </c>
      <c r="N58" s="108"/>
      <c r="O58" s="129"/>
      <c r="P58" s="78" t="s">
        <v>114</v>
      </c>
      <c r="Q58" s="141" t="s">
        <v>114</v>
      </c>
      <c r="R58" s="129"/>
      <c r="S58" s="50"/>
      <c r="T58" s="50"/>
      <c r="U58" s="50"/>
      <c r="V58" s="51" t="s">
        <v>114</v>
      </c>
      <c r="W58" s="51" t="str">
        <f t="shared" si="1"/>
        <v/>
      </c>
      <c r="X58" s="52"/>
      <c r="Y58" s="52"/>
      <c r="Z58" s="52"/>
    </row>
    <row r="59" spans="1:26" ht="12" customHeight="1" x14ac:dyDescent="0.3">
      <c r="A59" s="92" t="s">
        <v>114</v>
      </c>
      <c r="B59" s="84" t="s">
        <v>114</v>
      </c>
      <c r="C59" s="83" t="s">
        <v>114</v>
      </c>
      <c r="D59" s="93" t="s">
        <v>114</v>
      </c>
      <c r="E59" s="83" t="s">
        <v>114</v>
      </c>
      <c r="F59" s="84" t="s">
        <v>114</v>
      </c>
      <c r="G59" s="83" t="s">
        <v>114</v>
      </c>
      <c r="H59" s="84" t="s">
        <v>114</v>
      </c>
      <c r="I59" s="83" t="s">
        <v>114</v>
      </c>
      <c r="J59" s="84" t="s">
        <v>114</v>
      </c>
      <c r="K59" s="140" t="s">
        <v>114</v>
      </c>
      <c r="L59" s="127"/>
      <c r="M59" s="140" t="s">
        <v>114</v>
      </c>
      <c r="N59" s="126"/>
      <c r="O59" s="127"/>
      <c r="P59" s="85" t="s">
        <v>114</v>
      </c>
      <c r="Q59" s="140" t="s">
        <v>114</v>
      </c>
      <c r="R59" s="127"/>
      <c r="S59" s="50"/>
      <c r="T59" s="50"/>
      <c r="U59" s="50"/>
      <c r="V59" s="51" t="s">
        <v>114</v>
      </c>
      <c r="W59" s="51" t="str">
        <f t="shared" si="1"/>
        <v/>
      </c>
      <c r="X59" s="52"/>
      <c r="Y59" s="52"/>
      <c r="Z59" s="52"/>
    </row>
    <row r="60" spans="1:26" ht="12" customHeight="1" x14ac:dyDescent="0.3">
      <c r="A60" s="94" t="s">
        <v>164</v>
      </c>
      <c r="B60" s="95"/>
      <c r="C60" s="63"/>
      <c r="D60" s="63"/>
      <c r="E60" s="63"/>
      <c r="F60" s="63"/>
      <c r="G60" s="63"/>
      <c r="H60" s="63"/>
      <c r="I60" s="63"/>
      <c r="J60" s="63"/>
      <c r="K60" s="149"/>
      <c r="L60" s="108"/>
      <c r="M60" s="149"/>
      <c r="N60" s="108"/>
      <c r="O60" s="108"/>
      <c r="P60" s="63"/>
      <c r="Q60" s="149"/>
      <c r="R60" s="108"/>
      <c r="S60" s="50"/>
      <c r="T60" s="50"/>
      <c r="U60" s="50"/>
      <c r="V60" s="51"/>
      <c r="W60" s="51"/>
      <c r="X60" s="52"/>
      <c r="Y60" s="52"/>
      <c r="Z60" s="52"/>
    </row>
    <row r="61" spans="1:26" ht="12" customHeight="1" x14ac:dyDescent="0.3">
      <c r="A61" s="52"/>
      <c r="B61" s="52"/>
      <c r="C61" s="52"/>
      <c r="D61" s="52"/>
      <c r="E61" s="52"/>
      <c r="F61" s="52"/>
      <c r="G61" s="52"/>
      <c r="H61" s="52"/>
      <c r="I61" s="52"/>
      <c r="J61" s="52"/>
      <c r="K61" s="150"/>
      <c r="L61" s="108"/>
      <c r="M61" s="150"/>
      <c r="N61" s="108"/>
      <c r="O61" s="108"/>
      <c r="P61" s="52"/>
      <c r="Q61" s="150"/>
      <c r="R61" s="108"/>
      <c r="S61" s="50"/>
      <c r="T61" s="50"/>
      <c r="U61" s="50"/>
      <c r="V61" s="51"/>
      <c r="W61" s="51"/>
      <c r="X61" s="52"/>
      <c r="Y61" s="52"/>
      <c r="Z61" s="52"/>
    </row>
    <row r="62" spans="1:26" ht="12" customHeight="1" x14ac:dyDescent="0.3">
      <c r="A62" s="52"/>
      <c r="B62" s="52"/>
      <c r="C62" s="52"/>
      <c r="D62" s="52"/>
      <c r="E62" s="52"/>
      <c r="F62" s="52"/>
      <c r="G62" s="52"/>
      <c r="H62" s="52"/>
      <c r="I62" s="52"/>
      <c r="J62" s="52"/>
      <c r="K62" s="150"/>
      <c r="L62" s="108"/>
      <c r="M62" s="150"/>
      <c r="N62" s="108"/>
      <c r="O62" s="108"/>
      <c r="P62" s="52"/>
      <c r="Q62" s="150"/>
      <c r="R62" s="108"/>
      <c r="S62" s="50"/>
      <c r="T62" s="50"/>
      <c r="U62" s="50"/>
      <c r="V62" s="51"/>
      <c r="W62" s="51"/>
      <c r="X62" s="52"/>
      <c r="Y62" s="52"/>
      <c r="Z62" s="52"/>
    </row>
    <row r="63" spans="1:26" ht="12" customHeight="1" x14ac:dyDescent="0.3">
      <c r="A63" s="52"/>
      <c r="B63" s="52"/>
      <c r="C63" s="52"/>
      <c r="D63" s="52"/>
      <c r="E63" s="52"/>
      <c r="F63" s="52"/>
      <c r="G63" s="52"/>
      <c r="H63" s="52"/>
      <c r="I63" s="52"/>
      <c r="J63" s="52"/>
      <c r="K63" s="150"/>
      <c r="L63" s="108"/>
      <c r="M63" s="150"/>
      <c r="N63" s="108"/>
      <c r="O63" s="108"/>
      <c r="P63" s="52"/>
      <c r="Q63" s="150"/>
      <c r="R63" s="108"/>
      <c r="S63" s="50"/>
      <c r="T63" s="50"/>
      <c r="U63" s="50"/>
      <c r="V63" s="51"/>
      <c r="W63" s="51"/>
      <c r="X63" s="52"/>
      <c r="Y63" s="52"/>
      <c r="Z63" s="52"/>
    </row>
    <row r="64" spans="1:26" ht="12" customHeight="1" x14ac:dyDescent="0.3">
      <c r="A64" s="52"/>
      <c r="B64" s="52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0"/>
      <c r="T64" s="50"/>
      <c r="U64" s="50"/>
      <c r="V64" s="51"/>
      <c r="W64" s="51"/>
      <c r="X64" s="52"/>
      <c r="Y64" s="52"/>
      <c r="Z64" s="52"/>
    </row>
    <row r="65" spans="1:26" ht="12" customHeight="1" x14ac:dyDescent="0.3">
      <c r="A65" s="52"/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0"/>
      <c r="T65" s="50"/>
      <c r="U65" s="50"/>
      <c r="V65" s="51"/>
      <c r="W65" s="51"/>
      <c r="X65" s="52"/>
      <c r="Y65" s="52"/>
      <c r="Z65" s="52"/>
    </row>
    <row r="66" spans="1:26" ht="12" customHeight="1" x14ac:dyDescent="0.3">
      <c r="A66" s="52"/>
      <c r="B66" s="52"/>
      <c r="C66" s="52"/>
      <c r="D66" s="52"/>
      <c r="E66" s="52"/>
      <c r="F66" s="52"/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0"/>
      <c r="T66" s="50"/>
      <c r="U66" s="50"/>
      <c r="V66" s="51"/>
      <c r="W66" s="51"/>
      <c r="X66" s="52"/>
      <c r="Y66" s="52"/>
      <c r="Z66" s="52"/>
    </row>
    <row r="67" spans="1:26" ht="12" customHeight="1" x14ac:dyDescent="0.3">
      <c r="A67" s="52"/>
      <c r="B67" s="52"/>
      <c r="C67" s="52"/>
      <c r="D67" s="52"/>
      <c r="E67" s="52"/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0"/>
      <c r="T67" s="50"/>
      <c r="U67" s="50"/>
      <c r="V67" s="51"/>
      <c r="W67" s="51"/>
      <c r="X67" s="52"/>
      <c r="Y67" s="52"/>
      <c r="Z67" s="52"/>
    </row>
    <row r="68" spans="1:26" ht="12" customHeight="1" x14ac:dyDescent="0.3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0"/>
      <c r="T68" s="50"/>
      <c r="U68" s="50"/>
      <c r="V68" s="51"/>
      <c r="W68" s="51"/>
      <c r="X68" s="52"/>
      <c r="Y68" s="52"/>
      <c r="Z68" s="52"/>
    </row>
    <row r="69" spans="1:26" ht="12" customHeight="1" x14ac:dyDescent="0.3">
      <c r="A69" s="52"/>
      <c r="B69" s="52"/>
      <c r="C69" s="52"/>
      <c r="D69" s="52"/>
      <c r="E69" s="52"/>
      <c r="F69" s="52"/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0"/>
      <c r="T69" s="50"/>
      <c r="U69" s="50"/>
      <c r="V69" s="51"/>
      <c r="W69" s="51"/>
      <c r="X69" s="52"/>
      <c r="Y69" s="52"/>
      <c r="Z69" s="52"/>
    </row>
    <row r="70" spans="1:26" ht="12" customHeight="1" x14ac:dyDescent="0.3">
      <c r="A70" s="52"/>
      <c r="B70" s="52"/>
      <c r="C70" s="52"/>
      <c r="D70" s="52"/>
      <c r="E70" s="52"/>
      <c r="F70" s="52"/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0"/>
      <c r="T70" s="50"/>
      <c r="U70" s="50"/>
      <c r="V70" s="51"/>
      <c r="W70" s="51"/>
      <c r="X70" s="52"/>
      <c r="Y70" s="52"/>
      <c r="Z70" s="52"/>
    </row>
    <row r="71" spans="1:26" ht="12" customHeight="1" x14ac:dyDescent="0.3">
      <c r="A71" s="52"/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0"/>
      <c r="T71" s="50"/>
      <c r="U71" s="50"/>
      <c r="V71" s="51"/>
      <c r="W71" s="51"/>
      <c r="X71" s="52"/>
      <c r="Y71" s="52"/>
      <c r="Z71" s="52"/>
    </row>
    <row r="72" spans="1:26" ht="12" customHeight="1" x14ac:dyDescent="0.3">
      <c r="A72" s="52"/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0"/>
      <c r="T72" s="50"/>
      <c r="U72" s="50"/>
      <c r="V72" s="51"/>
      <c r="W72" s="51"/>
      <c r="X72" s="52"/>
      <c r="Y72" s="52"/>
      <c r="Z72" s="52"/>
    </row>
    <row r="73" spans="1:26" ht="12" customHeight="1" x14ac:dyDescent="0.3">
      <c r="A73" s="52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0"/>
      <c r="T73" s="50"/>
      <c r="U73" s="50"/>
      <c r="V73" s="51"/>
      <c r="W73" s="51"/>
      <c r="X73" s="52"/>
      <c r="Y73" s="52"/>
      <c r="Z73" s="52"/>
    </row>
    <row r="74" spans="1:26" ht="12" customHeight="1" x14ac:dyDescent="0.3">
      <c r="A74" s="52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0"/>
      <c r="T74" s="50"/>
      <c r="U74" s="50"/>
      <c r="V74" s="51"/>
      <c r="W74" s="51"/>
      <c r="X74" s="52"/>
      <c r="Y74" s="52"/>
      <c r="Z74" s="52"/>
    </row>
    <row r="75" spans="1:26" ht="12" customHeight="1" x14ac:dyDescent="0.3">
      <c r="A75" s="52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0"/>
      <c r="T75" s="50"/>
      <c r="U75" s="50"/>
      <c r="V75" s="51"/>
      <c r="W75" s="51"/>
      <c r="X75" s="52"/>
      <c r="Y75" s="52"/>
      <c r="Z75" s="52"/>
    </row>
    <row r="76" spans="1:26" ht="12" customHeight="1" x14ac:dyDescent="0.3">
      <c r="A76" s="52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0"/>
      <c r="T76" s="50"/>
      <c r="U76" s="50"/>
      <c r="V76" s="51"/>
      <c r="W76" s="51"/>
      <c r="X76" s="52"/>
      <c r="Y76" s="52"/>
      <c r="Z76" s="52"/>
    </row>
    <row r="77" spans="1:26" ht="12" customHeight="1" x14ac:dyDescent="0.3">
      <c r="A77" s="52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0"/>
      <c r="T77" s="50"/>
      <c r="U77" s="50"/>
      <c r="V77" s="51"/>
      <c r="W77" s="51"/>
      <c r="X77" s="52"/>
      <c r="Y77" s="52"/>
      <c r="Z77" s="52"/>
    </row>
    <row r="78" spans="1:26" ht="12" customHeight="1" x14ac:dyDescent="0.3">
      <c r="A78" s="52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0"/>
      <c r="T78" s="50"/>
      <c r="U78" s="50"/>
      <c r="V78" s="51"/>
      <c r="W78" s="51"/>
      <c r="X78" s="52"/>
      <c r="Y78" s="52"/>
      <c r="Z78" s="52"/>
    </row>
    <row r="79" spans="1:26" ht="12" customHeight="1" x14ac:dyDescent="0.3">
      <c r="A79" s="52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0"/>
      <c r="T79" s="50"/>
      <c r="U79" s="50"/>
      <c r="V79" s="51"/>
      <c r="W79" s="51"/>
      <c r="X79" s="52"/>
      <c r="Y79" s="52"/>
      <c r="Z79" s="52"/>
    </row>
    <row r="80" spans="1:26" ht="12" customHeight="1" x14ac:dyDescent="0.3">
      <c r="A80" s="52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0"/>
      <c r="T80" s="50"/>
      <c r="U80" s="50"/>
      <c r="V80" s="51"/>
      <c r="W80" s="51"/>
      <c r="X80" s="52"/>
      <c r="Y80" s="52"/>
      <c r="Z80" s="52"/>
    </row>
    <row r="81" spans="1:26" ht="12" customHeight="1" x14ac:dyDescent="0.3">
      <c r="A81" s="52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0"/>
      <c r="T81" s="50"/>
      <c r="U81" s="50"/>
      <c r="V81" s="51"/>
      <c r="W81" s="51"/>
      <c r="X81" s="52"/>
      <c r="Y81" s="52"/>
      <c r="Z81" s="52"/>
    </row>
    <row r="82" spans="1:26" ht="12" customHeight="1" x14ac:dyDescent="0.3">
      <c r="A82" s="52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0"/>
      <c r="T82" s="50"/>
      <c r="U82" s="50"/>
      <c r="V82" s="51"/>
      <c r="W82" s="51"/>
      <c r="X82" s="52"/>
      <c r="Y82" s="52"/>
      <c r="Z82" s="52"/>
    </row>
    <row r="83" spans="1:26" ht="12" customHeight="1" x14ac:dyDescent="0.3">
      <c r="A83" s="52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0"/>
      <c r="T83" s="50"/>
      <c r="U83" s="50"/>
      <c r="V83" s="51"/>
      <c r="W83" s="51"/>
      <c r="X83" s="52"/>
      <c r="Y83" s="52"/>
      <c r="Z83" s="52"/>
    </row>
    <row r="84" spans="1:26" ht="12" customHeight="1" x14ac:dyDescent="0.3">
      <c r="A84" s="52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0"/>
      <c r="T84" s="50"/>
      <c r="U84" s="50"/>
      <c r="V84" s="51"/>
      <c r="W84" s="51"/>
      <c r="X84" s="52"/>
      <c r="Y84" s="52"/>
      <c r="Z84" s="52"/>
    </row>
    <row r="85" spans="1:26" ht="12" customHeight="1" x14ac:dyDescent="0.3">
      <c r="A85" s="52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0"/>
      <c r="T85" s="50"/>
      <c r="U85" s="50"/>
      <c r="V85" s="51"/>
      <c r="W85" s="51"/>
      <c r="X85" s="52"/>
      <c r="Y85" s="52"/>
      <c r="Z85" s="52"/>
    </row>
    <row r="86" spans="1:26" ht="12" customHeight="1" x14ac:dyDescent="0.3">
      <c r="A86" s="52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0"/>
      <c r="T86" s="50"/>
      <c r="U86" s="50"/>
      <c r="V86" s="51"/>
      <c r="W86" s="51"/>
      <c r="X86" s="52"/>
      <c r="Y86" s="52"/>
      <c r="Z86" s="52"/>
    </row>
    <row r="87" spans="1:26" ht="12" customHeight="1" x14ac:dyDescent="0.3">
      <c r="A87" s="52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0"/>
      <c r="T87" s="50"/>
      <c r="U87" s="50"/>
      <c r="V87" s="51"/>
      <c r="W87" s="51"/>
      <c r="X87" s="52"/>
      <c r="Y87" s="52"/>
      <c r="Z87" s="52"/>
    </row>
    <row r="88" spans="1:26" ht="12" customHeight="1" x14ac:dyDescent="0.3">
      <c r="A88" s="52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0"/>
      <c r="T88" s="50"/>
      <c r="U88" s="50"/>
      <c r="V88" s="51"/>
      <c r="W88" s="51"/>
      <c r="X88" s="52"/>
      <c r="Y88" s="52"/>
      <c r="Z88" s="52"/>
    </row>
    <row r="89" spans="1:26" ht="12" customHeight="1" x14ac:dyDescent="0.3">
      <c r="A89" s="52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0"/>
      <c r="T89" s="50"/>
      <c r="U89" s="50"/>
      <c r="V89" s="51"/>
      <c r="W89" s="51"/>
      <c r="X89" s="52"/>
      <c r="Y89" s="52"/>
      <c r="Z89" s="52"/>
    </row>
    <row r="90" spans="1:26" ht="12" customHeight="1" x14ac:dyDescent="0.3">
      <c r="A90" s="52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0"/>
      <c r="T90" s="50"/>
      <c r="U90" s="50"/>
      <c r="V90" s="51"/>
      <c r="W90" s="51"/>
      <c r="X90" s="52"/>
      <c r="Y90" s="52"/>
      <c r="Z90" s="52"/>
    </row>
    <row r="91" spans="1:26" ht="12" customHeight="1" x14ac:dyDescent="0.3">
      <c r="A91" s="52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0"/>
      <c r="T91" s="50"/>
      <c r="U91" s="50"/>
      <c r="V91" s="51"/>
      <c r="W91" s="51"/>
      <c r="X91" s="52"/>
      <c r="Y91" s="52"/>
      <c r="Z91" s="52"/>
    </row>
    <row r="92" spans="1:26" ht="12" customHeight="1" x14ac:dyDescent="0.3">
      <c r="A92" s="52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0"/>
      <c r="T92" s="50"/>
      <c r="U92" s="50"/>
      <c r="V92" s="51"/>
      <c r="W92" s="51"/>
      <c r="X92" s="52"/>
      <c r="Y92" s="52"/>
      <c r="Z92" s="52"/>
    </row>
    <row r="93" spans="1:26" ht="12" customHeight="1" x14ac:dyDescent="0.3">
      <c r="A93" s="52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0"/>
      <c r="T93" s="50"/>
      <c r="U93" s="50"/>
      <c r="V93" s="51"/>
      <c r="W93" s="51"/>
      <c r="X93" s="52"/>
      <c r="Y93" s="52"/>
      <c r="Z93" s="52"/>
    </row>
    <row r="94" spans="1:26" ht="12" customHeight="1" x14ac:dyDescent="0.3">
      <c r="A94" s="52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0"/>
      <c r="T94" s="50"/>
      <c r="U94" s="50"/>
      <c r="V94" s="51"/>
      <c r="W94" s="51"/>
      <c r="X94" s="52"/>
      <c r="Y94" s="52"/>
      <c r="Z94" s="52"/>
    </row>
    <row r="95" spans="1:26" ht="12" customHeight="1" x14ac:dyDescent="0.3">
      <c r="A95" s="52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0"/>
      <c r="T95" s="50"/>
      <c r="U95" s="50"/>
      <c r="V95" s="51"/>
      <c r="W95" s="51"/>
      <c r="X95" s="52"/>
      <c r="Y95" s="52"/>
      <c r="Z95" s="52"/>
    </row>
    <row r="96" spans="1:26" ht="12" customHeight="1" x14ac:dyDescent="0.3">
      <c r="A96" s="52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0"/>
      <c r="T96" s="50"/>
      <c r="U96" s="50"/>
      <c r="V96" s="51"/>
      <c r="W96" s="51"/>
      <c r="X96" s="52"/>
      <c r="Y96" s="52"/>
      <c r="Z96" s="52"/>
    </row>
    <row r="97" spans="1:26" ht="12" customHeight="1" x14ac:dyDescent="0.3">
      <c r="A97" s="52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0"/>
      <c r="T97" s="50"/>
      <c r="U97" s="50"/>
      <c r="V97" s="51"/>
      <c r="W97" s="51"/>
      <c r="X97" s="52"/>
      <c r="Y97" s="52"/>
      <c r="Z97" s="52"/>
    </row>
    <row r="98" spans="1:26" ht="12" customHeight="1" x14ac:dyDescent="0.3">
      <c r="A98" s="52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0"/>
      <c r="T98" s="50"/>
      <c r="U98" s="50"/>
      <c r="V98" s="51"/>
      <c r="W98" s="51"/>
      <c r="X98" s="52"/>
      <c r="Y98" s="52"/>
      <c r="Z98" s="52"/>
    </row>
    <row r="99" spans="1:26" ht="12" customHeight="1" x14ac:dyDescent="0.3">
      <c r="A99" s="52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0"/>
      <c r="T99" s="50"/>
      <c r="U99" s="50"/>
      <c r="V99" s="51"/>
      <c r="W99" s="51"/>
      <c r="X99" s="52"/>
      <c r="Y99" s="52"/>
      <c r="Z99" s="52"/>
    </row>
    <row r="100" spans="1:26" ht="12" customHeight="1" x14ac:dyDescent="0.3">
      <c r="A100" s="52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0"/>
      <c r="T100" s="50"/>
      <c r="U100" s="50"/>
      <c r="V100" s="51"/>
      <c r="W100" s="51"/>
      <c r="X100" s="52"/>
      <c r="Y100" s="52"/>
      <c r="Z100" s="52"/>
    </row>
    <row r="101" spans="1:26" ht="12" customHeight="1" x14ac:dyDescent="0.3">
      <c r="A101" s="52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0"/>
      <c r="T101" s="50"/>
      <c r="U101" s="50"/>
      <c r="V101" s="51"/>
      <c r="W101" s="51"/>
      <c r="X101" s="52"/>
      <c r="Y101" s="52"/>
      <c r="Z101" s="52"/>
    </row>
    <row r="102" spans="1:26" ht="12" customHeight="1" x14ac:dyDescent="0.3">
      <c r="A102" s="52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0"/>
      <c r="T102" s="50"/>
      <c r="U102" s="50"/>
      <c r="V102" s="51"/>
      <c r="W102" s="51"/>
      <c r="X102" s="52"/>
      <c r="Y102" s="52"/>
      <c r="Z102" s="52"/>
    </row>
    <row r="103" spans="1:26" ht="12" customHeight="1" x14ac:dyDescent="0.3">
      <c r="A103" s="52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0"/>
      <c r="T103" s="50"/>
      <c r="U103" s="50"/>
      <c r="V103" s="51"/>
      <c r="W103" s="51"/>
      <c r="X103" s="52"/>
      <c r="Y103" s="52"/>
      <c r="Z103" s="52"/>
    </row>
    <row r="104" spans="1:26" ht="12" customHeight="1" x14ac:dyDescent="0.3">
      <c r="A104" s="52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0"/>
      <c r="T104" s="50"/>
      <c r="U104" s="50"/>
      <c r="V104" s="51"/>
      <c r="W104" s="51"/>
      <c r="X104" s="52"/>
      <c r="Y104" s="52"/>
      <c r="Z104" s="52"/>
    </row>
    <row r="105" spans="1:26" ht="12" customHeight="1" x14ac:dyDescent="0.3">
      <c r="A105" s="52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0"/>
      <c r="T105" s="50"/>
      <c r="U105" s="50"/>
      <c r="V105" s="51"/>
      <c r="W105" s="51"/>
      <c r="X105" s="52"/>
      <c r="Y105" s="52"/>
      <c r="Z105" s="52"/>
    </row>
    <row r="106" spans="1:26" ht="12" customHeight="1" x14ac:dyDescent="0.3">
      <c r="A106" s="52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0"/>
      <c r="T106" s="50"/>
      <c r="U106" s="50"/>
      <c r="V106" s="51"/>
      <c r="W106" s="51"/>
      <c r="X106" s="52"/>
      <c r="Y106" s="52"/>
      <c r="Z106" s="52"/>
    </row>
    <row r="107" spans="1:26" ht="12" customHeight="1" x14ac:dyDescent="0.3">
      <c r="A107" s="52"/>
      <c r="B107" s="52"/>
      <c r="C107" s="52"/>
      <c r="D107" s="52"/>
      <c r="E107" s="52"/>
      <c r="F107" s="52"/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0"/>
      <c r="T107" s="50"/>
      <c r="U107" s="50"/>
      <c r="V107" s="51"/>
      <c r="W107" s="51"/>
      <c r="X107" s="52"/>
      <c r="Y107" s="52"/>
      <c r="Z107" s="52"/>
    </row>
    <row r="108" spans="1:26" ht="12" customHeight="1" x14ac:dyDescent="0.3">
      <c r="A108" s="52"/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0"/>
      <c r="T108" s="50"/>
      <c r="U108" s="50"/>
      <c r="V108" s="51"/>
      <c r="W108" s="51"/>
      <c r="X108" s="52"/>
      <c r="Y108" s="52"/>
      <c r="Z108" s="52"/>
    </row>
    <row r="109" spans="1:26" ht="12" customHeight="1" x14ac:dyDescent="0.3">
      <c r="A109" s="52"/>
      <c r="B109" s="52"/>
      <c r="C109" s="52"/>
      <c r="D109" s="52"/>
      <c r="E109" s="52"/>
      <c r="F109" s="52"/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0"/>
      <c r="T109" s="50"/>
      <c r="U109" s="50"/>
      <c r="V109" s="51"/>
      <c r="W109" s="51"/>
      <c r="X109" s="52"/>
      <c r="Y109" s="52"/>
      <c r="Z109" s="52"/>
    </row>
    <row r="110" spans="1:26" ht="12" customHeight="1" x14ac:dyDescent="0.3">
      <c r="A110" s="52"/>
      <c r="B110" s="52"/>
      <c r="C110" s="52"/>
      <c r="D110" s="52"/>
      <c r="E110" s="52"/>
      <c r="F110" s="52"/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0"/>
      <c r="T110" s="50"/>
      <c r="U110" s="50"/>
      <c r="V110" s="51"/>
      <c r="W110" s="51"/>
      <c r="X110" s="52"/>
      <c r="Y110" s="52"/>
      <c r="Z110" s="52"/>
    </row>
    <row r="111" spans="1:26" ht="12" customHeight="1" x14ac:dyDescent="0.3">
      <c r="A111" s="52"/>
      <c r="B111" s="52"/>
      <c r="C111" s="52"/>
      <c r="D111" s="52"/>
      <c r="E111" s="52"/>
      <c r="F111" s="52"/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0"/>
      <c r="T111" s="50"/>
      <c r="U111" s="50"/>
      <c r="V111" s="51"/>
      <c r="W111" s="51"/>
      <c r="X111" s="52"/>
      <c r="Y111" s="52"/>
      <c r="Z111" s="52"/>
    </row>
    <row r="112" spans="1:26" ht="12" customHeight="1" x14ac:dyDescent="0.3">
      <c r="A112" s="52"/>
      <c r="B112" s="52"/>
      <c r="C112" s="52"/>
      <c r="D112" s="52"/>
      <c r="E112" s="52"/>
      <c r="F112" s="52"/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0"/>
      <c r="T112" s="50"/>
      <c r="U112" s="50"/>
      <c r="V112" s="51"/>
      <c r="W112" s="51"/>
      <c r="X112" s="52"/>
      <c r="Y112" s="52"/>
      <c r="Z112" s="52"/>
    </row>
    <row r="113" spans="1:26" ht="12" customHeight="1" x14ac:dyDescent="0.3">
      <c r="A113" s="52"/>
      <c r="B113" s="52"/>
      <c r="C113" s="52"/>
      <c r="D113" s="52"/>
      <c r="E113" s="52"/>
      <c r="F113" s="52"/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0"/>
      <c r="T113" s="50"/>
      <c r="U113" s="50"/>
      <c r="V113" s="51"/>
      <c r="W113" s="51"/>
      <c r="X113" s="52"/>
      <c r="Y113" s="52"/>
      <c r="Z113" s="52"/>
    </row>
    <row r="114" spans="1:26" ht="12" customHeight="1" x14ac:dyDescent="0.3">
      <c r="A114" s="52"/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0"/>
      <c r="T114" s="50"/>
      <c r="U114" s="50"/>
      <c r="V114" s="51"/>
      <c r="W114" s="51"/>
      <c r="X114" s="52"/>
      <c r="Y114" s="52"/>
      <c r="Z114" s="52"/>
    </row>
    <row r="115" spans="1:26" ht="12" customHeight="1" x14ac:dyDescent="0.3">
      <c r="A115" s="52"/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0"/>
      <c r="T115" s="50"/>
      <c r="U115" s="50"/>
      <c r="V115" s="51"/>
      <c r="W115" s="51"/>
      <c r="X115" s="52"/>
      <c r="Y115" s="52"/>
      <c r="Z115" s="52"/>
    </row>
    <row r="116" spans="1:26" ht="12" customHeight="1" x14ac:dyDescent="0.3">
      <c r="A116" s="52"/>
      <c r="B116" s="52"/>
      <c r="C116" s="52"/>
      <c r="D116" s="52"/>
      <c r="E116" s="52"/>
      <c r="F116" s="52"/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0"/>
      <c r="T116" s="50"/>
      <c r="U116" s="50"/>
      <c r="V116" s="51"/>
      <c r="W116" s="51"/>
      <c r="X116" s="52"/>
      <c r="Y116" s="52"/>
      <c r="Z116" s="52"/>
    </row>
    <row r="117" spans="1:26" ht="12" customHeight="1" x14ac:dyDescent="0.3">
      <c r="A117" s="52"/>
      <c r="B117" s="52"/>
      <c r="C117" s="52"/>
      <c r="D117" s="52"/>
      <c r="E117" s="52"/>
      <c r="F117" s="52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0"/>
      <c r="T117" s="50"/>
      <c r="U117" s="50"/>
      <c r="V117" s="51"/>
      <c r="W117" s="51"/>
      <c r="X117" s="52"/>
      <c r="Y117" s="52"/>
      <c r="Z117" s="52"/>
    </row>
    <row r="118" spans="1:26" ht="12" customHeight="1" x14ac:dyDescent="0.3">
      <c r="A118" s="52"/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0"/>
      <c r="T118" s="50"/>
      <c r="U118" s="50"/>
      <c r="V118" s="51"/>
      <c r="W118" s="51"/>
      <c r="X118" s="52"/>
      <c r="Y118" s="52"/>
      <c r="Z118" s="52"/>
    </row>
    <row r="119" spans="1:26" ht="12" customHeight="1" x14ac:dyDescent="0.3">
      <c r="A119" s="52"/>
      <c r="B119" s="52"/>
      <c r="C119" s="52"/>
      <c r="D119" s="52"/>
      <c r="E119" s="52"/>
      <c r="F119" s="52"/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0"/>
      <c r="T119" s="50"/>
      <c r="U119" s="50"/>
      <c r="V119" s="51"/>
      <c r="W119" s="51"/>
      <c r="X119" s="52"/>
      <c r="Y119" s="52"/>
      <c r="Z119" s="52"/>
    </row>
    <row r="120" spans="1:26" ht="12" customHeight="1" x14ac:dyDescent="0.3">
      <c r="A120" s="52"/>
      <c r="B120" s="52"/>
      <c r="C120" s="52"/>
      <c r="D120" s="52"/>
      <c r="E120" s="52"/>
      <c r="F120" s="52"/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0"/>
      <c r="T120" s="50"/>
      <c r="U120" s="50"/>
      <c r="V120" s="51"/>
      <c r="W120" s="51"/>
      <c r="X120" s="52"/>
      <c r="Y120" s="52"/>
      <c r="Z120" s="52"/>
    </row>
    <row r="121" spans="1:26" ht="12" customHeight="1" x14ac:dyDescent="0.3">
      <c r="A121" s="52"/>
      <c r="B121" s="52"/>
      <c r="C121" s="52"/>
      <c r="D121" s="52"/>
      <c r="E121" s="52"/>
      <c r="F121" s="52"/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0"/>
      <c r="T121" s="50"/>
      <c r="U121" s="50"/>
      <c r="V121" s="51"/>
      <c r="W121" s="51"/>
      <c r="X121" s="52"/>
      <c r="Y121" s="52"/>
      <c r="Z121" s="52"/>
    </row>
    <row r="122" spans="1:26" ht="12" customHeight="1" x14ac:dyDescent="0.3">
      <c r="A122" s="52"/>
      <c r="B122" s="52"/>
      <c r="C122" s="52"/>
      <c r="D122" s="52"/>
      <c r="E122" s="52"/>
      <c r="F122" s="52"/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0"/>
      <c r="T122" s="50"/>
      <c r="U122" s="50"/>
      <c r="V122" s="51"/>
      <c r="W122" s="51"/>
      <c r="X122" s="52"/>
      <c r="Y122" s="52"/>
      <c r="Z122" s="52"/>
    </row>
    <row r="123" spans="1:26" ht="12" customHeight="1" x14ac:dyDescent="0.3">
      <c r="A123" s="52"/>
      <c r="B123" s="52"/>
      <c r="C123" s="52"/>
      <c r="D123" s="52"/>
      <c r="E123" s="52"/>
      <c r="F123" s="52"/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0"/>
      <c r="T123" s="50"/>
      <c r="U123" s="50"/>
      <c r="V123" s="51"/>
      <c r="W123" s="51"/>
      <c r="X123" s="52"/>
      <c r="Y123" s="52"/>
      <c r="Z123" s="52"/>
    </row>
    <row r="124" spans="1:26" ht="12" customHeight="1" x14ac:dyDescent="0.3">
      <c r="A124" s="52"/>
      <c r="B124" s="52"/>
      <c r="C124" s="52"/>
      <c r="D124" s="52"/>
      <c r="E124" s="52"/>
      <c r="F124" s="52"/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0"/>
      <c r="T124" s="50"/>
      <c r="U124" s="50"/>
      <c r="V124" s="51"/>
      <c r="W124" s="51"/>
      <c r="X124" s="52"/>
      <c r="Y124" s="52"/>
      <c r="Z124" s="52"/>
    </row>
    <row r="125" spans="1:26" ht="12" customHeight="1" x14ac:dyDescent="0.3">
      <c r="A125" s="52"/>
      <c r="B125" s="52"/>
      <c r="C125" s="52"/>
      <c r="D125" s="52"/>
      <c r="E125" s="52"/>
      <c r="F125" s="52"/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0"/>
      <c r="T125" s="50"/>
      <c r="U125" s="50"/>
      <c r="V125" s="51"/>
      <c r="W125" s="51"/>
      <c r="X125" s="52"/>
      <c r="Y125" s="52"/>
      <c r="Z125" s="52"/>
    </row>
    <row r="126" spans="1:26" ht="12" customHeight="1" x14ac:dyDescent="0.3">
      <c r="A126" s="52"/>
      <c r="B126" s="52"/>
      <c r="C126" s="52"/>
      <c r="D126" s="52"/>
      <c r="E126" s="52"/>
      <c r="F126" s="52"/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0"/>
      <c r="T126" s="50"/>
      <c r="U126" s="50"/>
      <c r="V126" s="51"/>
      <c r="W126" s="51"/>
      <c r="X126" s="52"/>
      <c r="Y126" s="52"/>
      <c r="Z126" s="52"/>
    </row>
    <row r="127" spans="1:26" ht="12" customHeight="1" x14ac:dyDescent="0.3">
      <c r="A127" s="52"/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0"/>
      <c r="T127" s="50"/>
      <c r="U127" s="50"/>
      <c r="V127" s="51"/>
      <c r="W127" s="51"/>
      <c r="X127" s="52"/>
      <c r="Y127" s="52"/>
      <c r="Z127" s="52"/>
    </row>
    <row r="128" spans="1:26" ht="12" customHeight="1" x14ac:dyDescent="0.3">
      <c r="A128" s="52"/>
      <c r="B128" s="52"/>
      <c r="C128" s="52"/>
      <c r="D128" s="52"/>
      <c r="E128" s="52"/>
      <c r="F128" s="52"/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0"/>
      <c r="T128" s="50"/>
      <c r="U128" s="50"/>
      <c r="V128" s="51"/>
      <c r="W128" s="51"/>
      <c r="X128" s="52"/>
      <c r="Y128" s="52"/>
      <c r="Z128" s="52"/>
    </row>
    <row r="129" spans="1:26" ht="12" customHeight="1" x14ac:dyDescent="0.3">
      <c r="A129" s="52"/>
      <c r="B129" s="52"/>
      <c r="C129" s="52"/>
      <c r="D129" s="52"/>
      <c r="E129" s="52"/>
      <c r="F129" s="52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0"/>
      <c r="T129" s="50"/>
      <c r="U129" s="50"/>
      <c r="V129" s="51"/>
      <c r="W129" s="51"/>
      <c r="X129" s="52"/>
      <c r="Y129" s="52"/>
      <c r="Z129" s="52"/>
    </row>
    <row r="130" spans="1:26" ht="12" customHeight="1" x14ac:dyDescent="0.3">
      <c r="A130" s="52"/>
      <c r="B130" s="52"/>
      <c r="C130" s="52"/>
      <c r="D130" s="52"/>
      <c r="E130" s="52"/>
      <c r="F130" s="52"/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0"/>
      <c r="T130" s="50"/>
      <c r="U130" s="50"/>
      <c r="V130" s="51"/>
      <c r="W130" s="51"/>
      <c r="X130" s="52"/>
      <c r="Y130" s="52"/>
      <c r="Z130" s="52"/>
    </row>
    <row r="131" spans="1:26" ht="12" customHeight="1" x14ac:dyDescent="0.3">
      <c r="A131" s="52"/>
      <c r="B131" s="52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0"/>
      <c r="T131" s="50"/>
      <c r="U131" s="50"/>
      <c r="V131" s="51"/>
      <c r="W131" s="51"/>
      <c r="X131" s="52"/>
      <c r="Y131" s="52"/>
      <c r="Z131" s="52"/>
    </row>
    <row r="132" spans="1:26" ht="12" customHeight="1" x14ac:dyDescent="0.3">
      <c r="A132" s="52"/>
      <c r="B132" s="52"/>
      <c r="C132" s="52"/>
      <c r="D132" s="52"/>
      <c r="E132" s="52"/>
      <c r="F132" s="52"/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0"/>
      <c r="T132" s="50"/>
      <c r="U132" s="50"/>
      <c r="V132" s="51"/>
      <c r="W132" s="51"/>
      <c r="X132" s="52"/>
      <c r="Y132" s="52"/>
      <c r="Z132" s="52"/>
    </row>
    <row r="133" spans="1:26" ht="12" customHeight="1" x14ac:dyDescent="0.3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0"/>
      <c r="T133" s="50"/>
      <c r="U133" s="50"/>
      <c r="V133" s="51"/>
      <c r="W133" s="51"/>
      <c r="X133" s="52"/>
      <c r="Y133" s="52"/>
      <c r="Z133" s="52"/>
    </row>
    <row r="134" spans="1:26" ht="12" customHeight="1" x14ac:dyDescent="0.3">
      <c r="A134" s="52"/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0"/>
      <c r="T134" s="50"/>
      <c r="U134" s="50"/>
      <c r="V134" s="51"/>
      <c r="W134" s="51"/>
      <c r="X134" s="52"/>
      <c r="Y134" s="52"/>
      <c r="Z134" s="52"/>
    </row>
    <row r="135" spans="1:26" ht="12" customHeight="1" x14ac:dyDescent="0.3">
      <c r="A135" s="52"/>
      <c r="B135" s="52"/>
      <c r="C135" s="52"/>
      <c r="D135" s="52"/>
      <c r="E135" s="52"/>
      <c r="F135" s="52"/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0"/>
      <c r="T135" s="50"/>
      <c r="U135" s="50"/>
      <c r="V135" s="51"/>
      <c r="W135" s="51"/>
      <c r="X135" s="52"/>
      <c r="Y135" s="52"/>
      <c r="Z135" s="52"/>
    </row>
    <row r="136" spans="1:26" ht="12" customHeight="1" x14ac:dyDescent="0.3">
      <c r="A136" s="52"/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0"/>
      <c r="T136" s="50"/>
      <c r="U136" s="50"/>
      <c r="V136" s="51"/>
      <c r="W136" s="51"/>
      <c r="X136" s="52"/>
      <c r="Y136" s="52"/>
      <c r="Z136" s="52"/>
    </row>
    <row r="137" spans="1:26" ht="12" customHeight="1" x14ac:dyDescent="0.3">
      <c r="A137" s="52"/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0"/>
      <c r="T137" s="50"/>
      <c r="U137" s="50"/>
      <c r="V137" s="51"/>
      <c r="W137" s="51"/>
      <c r="X137" s="52"/>
      <c r="Y137" s="52"/>
      <c r="Z137" s="52"/>
    </row>
    <row r="138" spans="1:26" ht="12" customHeight="1" x14ac:dyDescent="0.3">
      <c r="A138" s="52"/>
      <c r="B138" s="52"/>
      <c r="C138" s="52"/>
      <c r="D138" s="52"/>
      <c r="E138" s="52"/>
      <c r="F138" s="52"/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0"/>
      <c r="T138" s="50"/>
      <c r="U138" s="50"/>
      <c r="V138" s="51"/>
      <c r="W138" s="51"/>
      <c r="X138" s="52"/>
      <c r="Y138" s="52"/>
      <c r="Z138" s="52"/>
    </row>
    <row r="139" spans="1:26" ht="12" customHeight="1" x14ac:dyDescent="0.3">
      <c r="A139" s="52"/>
      <c r="B139" s="52"/>
      <c r="C139" s="52"/>
      <c r="D139" s="52"/>
      <c r="E139" s="52"/>
      <c r="F139" s="52"/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0"/>
      <c r="T139" s="50"/>
      <c r="U139" s="50"/>
      <c r="V139" s="51"/>
      <c r="W139" s="51"/>
      <c r="X139" s="52"/>
      <c r="Y139" s="52"/>
      <c r="Z139" s="52"/>
    </row>
    <row r="140" spans="1:26" ht="12" customHeight="1" x14ac:dyDescent="0.3">
      <c r="A140" s="52"/>
      <c r="B140" s="52"/>
      <c r="C140" s="52"/>
      <c r="D140" s="52"/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0"/>
      <c r="T140" s="50"/>
      <c r="U140" s="50"/>
      <c r="V140" s="51"/>
      <c r="W140" s="51"/>
      <c r="X140" s="52"/>
      <c r="Y140" s="52"/>
      <c r="Z140" s="52"/>
    </row>
    <row r="141" spans="1:26" ht="12" customHeight="1" x14ac:dyDescent="0.3">
      <c r="A141" s="52"/>
      <c r="B141" s="52"/>
      <c r="C141" s="52"/>
      <c r="D141" s="52"/>
      <c r="E141" s="52"/>
      <c r="F141" s="52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0"/>
      <c r="T141" s="50"/>
      <c r="U141" s="50"/>
      <c r="V141" s="51"/>
      <c r="W141" s="51"/>
      <c r="X141" s="52"/>
      <c r="Y141" s="52"/>
      <c r="Z141" s="52"/>
    </row>
    <row r="142" spans="1:26" ht="12" customHeight="1" x14ac:dyDescent="0.3">
      <c r="A142" s="52"/>
      <c r="B142" s="52"/>
      <c r="C142" s="52"/>
      <c r="D142" s="52"/>
      <c r="E142" s="52"/>
      <c r="F142" s="52"/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0"/>
      <c r="T142" s="50"/>
      <c r="U142" s="50"/>
      <c r="V142" s="51"/>
      <c r="W142" s="51"/>
      <c r="X142" s="52"/>
      <c r="Y142" s="52"/>
      <c r="Z142" s="52"/>
    </row>
    <row r="143" spans="1:26" ht="12" customHeight="1" x14ac:dyDescent="0.3">
      <c r="A143" s="52"/>
      <c r="B143" s="52"/>
      <c r="C143" s="52"/>
      <c r="D143" s="52"/>
      <c r="E143" s="52"/>
      <c r="F143" s="52"/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0"/>
      <c r="T143" s="50"/>
      <c r="U143" s="50"/>
      <c r="V143" s="51"/>
      <c r="W143" s="51"/>
      <c r="X143" s="52"/>
      <c r="Y143" s="52"/>
      <c r="Z143" s="52"/>
    </row>
    <row r="144" spans="1:26" ht="12" customHeight="1" x14ac:dyDescent="0.3">
      <c r="A144" s="52"/>
      <c r="B144" s="52"/>
      <c r="C144" s="52"/>
      <c r="D144" s="52"/>
      <c r="E144" s="52"/>
      <c r="F144" s="52"/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0"/>
      <c r="T144" s="50"/>
      <c r="U144" s="50"/>
      <c r="V144" s="51"/>
      <c r="W144" s="51"/>
      <c r="X144" s="52"/>
      <c r="Y144" s="52"/>
      <c r="Z144" s="52"/>
    </row>
    <row r="145" spans="1:26" ht="12" customHeight="1" x14ac:dyDescent="0.3">
      <c r="A145" s="52"/>
      <c r="B145" s="52"/>
      <c r="C145" s="52"/>
      <c r="D145" s="52"/>
      <c r="E145" s="52"/>
      <c r="F145" s="52"/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0"/>
      <c r="T145" s="50"/>
      <c r="U145" s="50"/>
      <c r="V145" s="51"/>
      <c r="W145" s="51"/>
      <c r="X145" s="52"/>
      <c r="Y145" s="52"/>
      <c r="Z145" s="52"/>
    </row>
    <row r="146" spans="1:26" ht="12" customHeight="1" x14ac:dyDescent="0.3">
      <c r="A146" s="52"/>
      <c r="B146" s="52"/>
      <c r="C146" s="52"/>
      <c r="D146" s="52"/>
      <c r="E146" s="52"/>
      <c r="F146" s="52"/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0"/>
      <c r="T146" s="50"/>
      <c r="U146" s="50"/>
      <c r="V146" s="51"/>
      <c r="W146" s="51"/>
      <c r="X146" s="52"/>
      <c r="Y146" s="52"/>
      <c r="Z146" s="52"/>
    </row>
    <row r="147" spans="1:26" ht="12" customHeight="1" x14ac:dyDescent="0.3">
      <c r="A147" s="52"/>
      <c r="B147" s="52"/>
      <c r="C147" s="52"/>
      <c r="D147" s="52"/>
      <c r="E147" s="52"/>
      <c r="F147" s="52"/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0"/>
      <c r="T147" s="50"/>
      <c r="U147" s="50"/>
      <c r="V147" s="51"/>
      <c r="W147" s="51"/>
      <c r="X147" s="52"/>
      <c r="Y147" s="52"/>
      <c r="Z147" s="52"/>
    </row>
    <row r="148" spans="1:26" ht="12" customHeight="1" x14ac:dyDescent="0.3">
      <c r="A148" s="52"/>
      <c r="B148" s="52"/>
      <c r="C148" s="52"/>
      <c r="D148" s="52"/>
      <c r="E148" s="52"/>
      <c r="F148" s="52"/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0"/>
      <c r="T148" s="50"/>
      <c r="U148" s="50"/>
      <c r="V148" s="51"/>
      <c r="W148" s="51"/>
      <c r="X148" s="52"/>
      <c r="Y148" s="52"/>
      <c r="Z148" s="52"/>
    </row>
    <row r="149" spans="1:26" ht="12" customHeight="1" x14ac:dyDescent="0.3">
      <c r="A149" s="52"/>
      <c r="B149" s="52"/>
      <c r="C149" s="52"/>
      <c r="D149" s="52"/>
      <c r="E149" s="52"/>
      <c r="F149" s="52"/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0"/>
      <c r="T149" s="50"/>
      <c r="U149" s="50"/>
      <c r="V149" s="51"/>
      <c r="W149" s="51"/>
      <c r="X149" s="52"/>
      <c r="Y149" s="52"/>
      <c r="Z149" s="52"/>
    </row>
    <row r="150" spans="1:26" ht="12" customHeight="1" x14ac:dyDescent="0.3">
      <c r="A150" s="52"/>
      <c r="B150" s="52"/>
      <c r="C150" s="52"/>
      <c r="D150" s="52"/>
      <c r="E150" s="52"/>
      <c r="F150" s="52"/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0"/>
      <c r="T150" s="50"/>
      <c r="U150" s="50"/>
      <c r="V150" s="51"/>
      <c r="W150" s="51"/>
      <c r="X150" s="52"/>
      <c r="Y150" s="52"/>
      <c r="Z150" s="52"/>
    </row>
    <row r="151" spans="1:26" ht="12" customHeight="1" x14ac:dyDescent="0.3">
      <c r="A151" s="52"/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0"/>
      <c r="T151" s="50"/>
      <c r="U151" s="50"/>
      <c r="V151" s="51"/>
      <c r="W151" s="51"/>
      <c r="X151" s="52"/>
      <c r="Y151" s="52"/>
      <c r="Z151" s="52"/>
    </row>
    <row r="152" spans="1:26" ht="12" customHeight="1" x14ac:dyDescent="0.3">
      <c r="A152" s="52"/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0"/>
      <c r="T152" s="50"/>
      <c r="U152" s="50"/>
      <c r="V152" s="51"/>
      <c r="W152" s="51"/>
      <c r="X152" s="52"/>
      <c r="Y152" s="52"/>
      <c r="Z152" s="52"/>
    </row>
    <row r="153" spans="1:26" ht="12" customHeight="1" x14ac:dyDescent="0.3">
      <c r="A153" s="52"/>
      <c r="B153" s="52"/>
      <c r="C153" s="52"/>
      <c r="D153" s="52"/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0"/>
      <c r="T153" s="50"/>
      <c r="U153" s="50"/>
      <c r="V153" s="51"/>
      <c r="W153" s="51"/>
      <c r="X153" s="52"/>
      <c r="Y153" s="52"/>
      <c r="Z153" s="52"/>
    </row>
    <row r="154" spans="1:26" ht="12" customHeight="1" x14ac:dyDescent="0.3">
      <c r="A154" s="52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0"/>
      <c r="T154" s="50"/>
      <c r="U154" s="50"/>
      <c r="V154" s="51"/>
      <c r="W154" s="51"/>
      <c r="X154" s="52"/>
      <c r="Y154" s="52"/>
      <c r="Z154" s="52"/>
    </row>
    <row r="155" spans="1:26" ht="12" customHeight="1" x14ac:dyDescent="0.3">
      <c r="A155" s="52"/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0"/>
      <c r="T155" s="50"/>
      <c r="U155" s="50"/>
      <c r="V155" s="51"/>
      <c r="W155" s="51"/>
      <c r="X155" s="52"/>
      <c r="Y155" s="52"/>
      <c r="Z155" s="52"/>
    </row>
    <row r="156" spans="1:26" ht="12" customHeight="1" x14ac:dyDescent="0.3">
      <c r="A156" s="52"/>
      <c r="B156" s="52"/>
      <c r="C156" s="52"/>
      <c r="D156" s="52"/>
      <c r="E156" s="52"/>
      <c r="F156" s="52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0"/>
      <c r="T156" s="50"/>
      <c r="U156" s="50"/>
      <c r="V156" s="51"/>
      <c r="W156" s="51"/>
      <c r="X156" s="52"/>
      <c r="Y156" s="52"/>
      <c r="Z156" s="52"/>
    </row>
    <row r="157" spans="1:26" ht="12" customHeight="1" x14ac:dyDescent="0.3">
      <c r="A157" s="52"/>
      <c r="B157" s="52"/>
      <c r="C157" s="52"/>
      <c r="D157" s="52"/>
      <c r="E157" s="52"/>
      <c r="F157" s="52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0"/>
      <c r="T157" s="50"/>
      <c r="U157" s="50"/>
      <c r="V157" s="51"/>
      <c r="W157" s="51"/>
      <c r="X157" s="52"/>
      <c r="Y157" s="52"/>
      <c r="Z157" s="52"/>
    </row>
    <row r="158" spans="1:26" ht="12" customHeight="1" x14ac:dyDescent="0.3">
      <c r="A158" s="52"/>
      <c r="B158" s="52"/>
      <c r="C158" s="52"/>
      <c r="D158" s="52"/>
      <c r="E158" s="52"/>
      <c r="F158" s="52"/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0"/>
      <c r="T158" s="50"/>
      <c r="U158" s="50"/>
      <c r="V158" s="51"/>
      <c r="W158" s="51"/>
      <c r="X158" s="52"/>
      <c r="Y158" s="52"/>
      <c r="Z158" s="52"/>
    </row>
    <row r="159" spans="1:26" ht="12" customHeight="1" x14ac:dyDescent="0.3">
      <c r="A159" s="52"/>
      <c r="B159" s="52"/>
      <c r="C159" s="52"/>
      <c r="D159" s="52"/>
      <c r="E159" s="52"/>
      <c r="F159" s="52"/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0"/>
      <c r="T159" s="50"/>
      <c r="U159" s="50"/>
      <c r="V159" s="51"/>
      <c r="W159" s="51"/>
      <c r="X159" s="52"/>
      <c r="Y159" s="52"/>
      <c r="Z159" s="52"/>
    </row>
    <row r="160" spans="1:26" ht="12" customHeight="1" x14ac:dyDescent="0.3">
      <c r="A160" s="52"/>
      <c r="B160" s="52"/>
      <c r="C160" s="52"/>
      <c r="D160" s="52"/>
      <c r="E160" s="52"/>
      <c r="F160" s="52"/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0"/>
      <c r="T160" s="50"/>
      <c r="U160" s="50"/>
      <c r="V160" s="51"/>
      <c r="W160" s="51"/>
      <c r="X160" s="52"/>
      <c r="Y160" s="52"/>
      <c r="Z160" s="52"/>
    </row>
    <row r="161" spans="1:26" ht="12" customHeight="1" x14ac:dyDescent="0.3">
      <c r="A161" s="52"/>
      <c r="B161" s="52"/>
      <c r="C161" s="52"/>
      <c r="D161" s="52"/>
      <c r="E161" s="52"/>
      <c r="F161" s="52"/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0"/>
      <c r="T161" s="50"/>
      <c r="U161" s="50"/>
      <c r="V161" s="51"/>
      <c r="W161" s="51"/>
      <c r="X161" s="52"/>
      <c r="Y161" s="52"/>
      <c r="Z161" s="52"/>
    </row>
    <row r="162" spans="1:26" ht="12" customHeight="1" x14ac:dyDescent="0.3">
      <c r="A162" s="52"/>
      <c r="B162" s="52"/>
      <c r="C162" s="52"/>
      <c r="D162" s="52"/>
      <c r="E162" s="52"/>
      <c r="F162" s="52"/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0"/>
      <c r="T162" s="50"/>
      <c r="U162" s="50"/>
      <c r="V162" s="51"/>
      <c r="W162" s="51"/>
      <c r="X162" s="52"/>
      <c r="Y162" s="52"/>
      <c r="Z162" s="52"/>
    </row>
    <row r="163" spans="1:26" ht="12" customHeight="1" x14ac:dyDescent="0.3">
      <c r="A163" s="52"/>
      <c r="B163" s="52"/>
      <c r="C163" s="52"/>
      <c r="D163" s="52"/>
      <c r="E163" s="52"/>
      <c r="F163" s="52"/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0"/>
      <c r="T163" s="50"/>
      <c r="U163" s="50"/>
      <c r="V163" s="51"/>
      <c r="W163" s="51"/>
      <c r="X163" s="52"/>
      <c r="Y163" s="52"/>
      <c r="Z163" s="52"/>
    </row>
    <row r="164" spans="1:26" ht="12" customHeight="1" x14ac:dyDescent="0.3">
      <c r="A164" s="52"/>
      <c r="B164" s="52"/>
      <c r="C164" s="52"/>
      <c r="D164" s="52"/>
      <c r="E164" s="52"/>
      <c r="F164" s="52"/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0"/>
      <c r="T164" s="50"/>
      <c r="U164" s="50"/>
      <c r="V164" s="51"/>
      <c r="W164" s="51"/>
      <c r="X164" s="52"/>
      <c r="Y164" s="52"/>
      <c r="Z164" s="52"/>
    </row>
    <row r="165" spans="1:26" ht="12" customHeight="1" x14ac:dyDescent="0.3">
      <c r="A165" s="52"/>
      <c r="B165" s="52"/>
      <c r="C165" s="52"/>
      <c r="D165" s="52"/>
      <c r="E165" s="52"/>
      <c r="F165" s="52"/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0"/>
      <c r="T165" s="50"/>
      <c r="U165" s="50"/>
      <c r="V165" s="51"/>
      <c r="W165" s="51"/>
      <c r="X165" s="52"/>
      <c r="Y165" s="52"/>
      <c r="Z165" s="52"/>
    </row>
    <row r="166" spans="1:26" ht="12" customHeight="1" x14ac:dyDescent="0.3">
      <c r="A166" s="52"/>
      <c r="B166" s="52"/>
      <c r="C166" s="52"/>
      <c r="D166" s="52"/>
      <c r="E166" s="52"/>
      <c r="F166" s="52"/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0"/>
      <c r="T166" s="50"/>
      <c r="U166" s="50"/>
      <c r="V166" s="51"/>
      <c r="W166" s="51"/>
      <c r="X166" s="52"/>
      <c r="Y166" s="52"/>
      <c r="Z166" s="52"/>
    </row>
    <row r="167" spans="1:26" ht="12" customHeight="1" x14ac:dyDescent="0.3">
      <c r="A167" s="52"/>
      <c r="B167" s="52"/>
      <c r="C167" s="52"/>
      <c r="D167" s="52"/>
      <c r="E167" s="52"/>
      <c r="F167" s="52"/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0"/>
      <c r="T167" s="50"/>
      <c r="U167" s="50"/>
      <c r="V167" s="51"/>
      <c r="W167" s="51"/>
      <c r="X167" s="52"/>
      <c r="Y167" s="52"/>
      <c r="Z167" s="52"/>
    </row>
    <row r="168" spans="1:26" ht="12" customHeight="1" x14ac:dyDescent="0.3">
      <c r="A168" s="52"/>
      <c r="B168" s="52"/>
      <c r="C168" s="52"/>
      <c r="D168" s="52"/>
      <c r="E168" s="52"/>
      <c r="F168" s="52"/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0"/>
      <c r="T168" s="50"/>
      <c r="U168" s="50"/>
      <c r="V168" s="51"/>
      <c r="W168" s="51"/>
      <c r="X168" s="52"/>
      <c r="Y168" s="52"/>
      <c r="Z168" s="52"/>
    </row>
    <row r="169" spans="1:26" ht="12" customHeight="1" x14ac:dyDescent="0.3">
      <c r="A169" s="52"/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0"/>
      <c r="T169" s="50"/>
      <c r="U169" s="50"/>
      <c r="V169" s="51"/>
      <c r="W169" s="51"/>
      <c r="X169" s="52"/>
      <c r="Y169" s="52"/>
      <c r="Z169" s="52"/>
    </row>
    <row r="170" spans="1:26" ht="12" customHeight="1" x14ac:dyDescent="0.3">
      <c r="A170" s="52"/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0"/>
      <c r="T170" s="50"/>
      <c r="U170" s="50"/>
      <c r="V170" s="51"/>
      <c r="W170" s="51"/>
      <c r="X170" s="52"/>
      <c r="Y170" s="52"/>
      <c r="Z170" s="52"/>
    </row>
    <row r="171" spans="1:26" ht="12" customHeight="1" x14ac:dyDescent="0.3">
      <c r="A171" s="52"/>
      <c r="B171" s="52"/>
      <c r="C171" s="52"/>
      <c r="D171" s="52"/>
      <c r="E171" s="52"/>
      <c r="F171" s="52"/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0"/>
      <c r="T171" s="50"/>
      <c r="U171" s="50"/>
      <c r="V171" s="51"/>
      <c r="W171" s="51"/>
      <c r="X171" s="52"/>
      <c r="Y171" s="52"/>
      <c r="Z171" s="52"/>
    </row>
    <row r="172" spans="1:26" ht="12" customHeight="1" x14ac:dyDescent="0.3">
      <c r="A172" s="52"/>
      <c r="B172" s="52"/>
      <c r="C172" s="52"/>
      <c r="D172" s="52"/>
      <c r="E172" s="52"/>
      <c r="F172" s="52"/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0"/>
      <c r="T172" s="50"/>
      <c r="U172" s="50"/>
      <c r="V172" s="51"/>
      <c r="W172" s="51"/>
      <c r="X172" s="52"/>
      <c r="Y172" s="52"/>
      <c r="Z172" s="52"/>
    </row>
    <row r="173" spans="1:26" ht="12" customHeight="1" x14ac:dyDescent="0.3">
      <c r="A173" s="52"/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0"/>
      <c r="T173" s="50"/>
      <c r="U173" s="50"/>
      <c r="V173" s="51"/>
      <c r="W173" s="51"/>
      <c r="X173" s="52"/>
      <c r="Y173" s="52"/>
      <c r="Z173" s="52"/>
    </row>
    <row r="174" spans="1:26" ht="12" customHeight="1" x14ac:dyDescent="0.3">
      <c r="A174" s="52"/>
      <c r="B174" s="52"/>
      <c r="C174" s="52"/>
      <c r="D174" s="52"/>
      <c r="E174" s="52"/>
      <c r="F174" s="52"/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0"/>
      <c r="T174" s="50"/>
      <c r="U174" s="50"/>
      <c r="V174" s="51"/>
      <c r="W174" s="51"/>
      <c r="X174" s="52"/>
      <c r="Y174" s="52"/>
      <c r="Z174" s="52"/>
    </row>
    <row r="175" spans="1:26" ht="12" customHeight="1" x14ac:dyDescent="0.3">
      <c r="A175" s="52"/>
      <c r="B175" s="52"/>
      <c r="C175" s="52"/>
      <c r="D175" s="52"/>
      <c r="E175" s="52"/>
      <c r="F175" s="52"/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0"/>
      <c r="T175" s="50"/>
      <c r="U175" s="50"/>
      <c r="V175" s="51"/>
      <c r="W175" s="51"/>
      <c r="X175" s="52"/>
      <c r="Y175" s="52"/>
      <c r="Z175" s="52"/>
    </row>
    <row r="176" spans="1:26" ht="12" customHeight="1" x14ac:dyDescent="0.3">
      <c r="A176" s="52"/>
      <c r="B176" s="52"/>
      <c r="C176" s="52"/>
      <c r="D176" s="52"/>
      <c r="E176" s="52"/>
      <c r="F176" s="52"/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0"/>
      <c r="T176" s="50"/>
      <c r="U176" s="50"/>
      <c r="V176" s="51"/>
      <c r="W176" s="51"/>
      <c r="X176" s="52"/>
      <c r="Y176" s="52"/>
      <c r="Z176" s="52"/>
    </row>
    <row r="177" spans="1:26" ht="12" customHeight="1" x14ac:dyDescent="0.3">
      <c r="A177" s="52"/>
      <c r="B177" s="52"/>
      <c r="C177" s="52"/>
      <c r="D177" s="52"/>
      <c r="E177" s="52"/>
      <c r="F177" s="52"/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0"/>
      <c r="T177" s="50"/>
      <c r="U177" s="50"/>
      <c r="V177" s="51"/>
      <c r="W177" s="51"/>
      <c r="X177" s="52"/>
      <c r="Y177" s="52"/>
      <c r="Z177" s="52"/>
    </row>
    <row r="178" spans="1:26" ht="12" customHeight="1" x14ac:dyDescent="0.3">
      <c r="A178" s="52"/>
      <c r="B178" s="52"/>
      <c r="C178" s="52"/>
      <c r="D178" s="52"/>
      <c r="E178" s="52"/>
      <c r="F178" s="52"/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0"/>
      <c r="T178" s="50"/>
      <c r="U178" s="50"/>
      <c r="V178" s="51"/>
      <c r="W178" s="51"/>
      <c r="X178" s="52"/>
      <c r="Y178" s="52"/>
      <c r="Z178" s="52"/>
    </row>
    <row r="179" spans="1:26" ht="12" customHeight="1" x14ac:dyDescent="0.3">
      <c r="A179" s="52"/>
      <c r="B179" s="52"/>
      <c r="C179" s="52"/>
      <c r="D179" s="52"/>
      <c r="E179" s="52"/>
      <c r="F179" s="52"/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0"/>
      <c r="T179" s="50"/>
      <c r="U179" s="50"/>
      <c r="V179" s="51"/>
      <c r="W179" s="51"/>
      <c r="X179" s="52"/>
      <c r="Y179" s="52"/>
      <c r="Z179" s="52"/>
    </row>
    <row r="180" spans="1:26" ht="12" customHeight="1" x14ac:dyDescent="0.3">
      <c r="A180" s="52"/>
      <c r="B180" s="52"/>
      <c r="C180" s="52"/>
      <c r="D180" s="52"/>
      <c r="E180" s="52"/>
      <c r="F180" s="52"/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0"/>
      <c r="T180" s="50"/>
      <c r="U180" s="50"/>
      <c r="V180" s="51"/>
      <c r="W180" s="51"/>
      <c r="X180" s="52"/>
      <c r="Y180" s="52"/>
      <c r="Z180" s="52"/>
    </row>
    <row r="181" spans="1:26" ht="12" customHeight="1" x14ac:dyDescent="0.3">
      <c r="A181" s="52"/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0"/>
      <c r="T181" s="50"/>
      <c r="U181" s="50"/>
      <c r="V181" s="51"/>
      <c r="W181" s="51"/>
      <c r="X181" s="52"/>
      <c r="Y181" s="52"/>
      <c r="Z181" s="52"/>
    </row>
    <row r="182" spans="1:26" ht="12" customHeight="1" x14ac:dyDescent="0.3">
      <c r="A182" s="52"/>
      <c r="B182" s="52"/>
      <c r="C182" s="52"/>
      <c r="D182" s="52"/>
      <c r="E182" s="52"/>
      <c r="F182" s="52"/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0"/>
      <c r="T182" s="50"/>
      <c r="U182" s="50"/>
      <c r="V182" s="51"/>
      <c r="W182" s="51"/>
      <c r="X182" s="52"/>
      <c r="Y182" s="52"/>
      <c r="Z182" s="52"/>
    </row>
    <row r="183" spans="1:26" ht="12" customHeight="1" x14ac:dyDescent="0.3">
      <c r="A183" s="52"/>
      <c r="B183" s="52"/>
      <c r="C183" s="52"/>
      <c r="D183" s="52"/>
      <c r="E183" s="52"/>
      <c r="F183" s="52"/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0"/>
      <c r="T183" s="50"/>
      <c r="U183" s="50"/>
      <c r="V183" s="51"/>
      <c r="W183" s="51"/>
      <c r="X183" s="52"/>
      <c r="Y183" s="52"/>
      <c r="Z183" s="52"/>
    </row>
    <row r="184" spans="1:26" ht="12" customHeight="1" x14ac:dyDescent="0.3">
      <c r="A184" s="52"/>
      <c r="B184" s="52"/>
      <c r="C184" s="52"/>
      <c r="D184" s="52"/>
      <c r="E184" s="52"/>
      <c r="F184" s="52"/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0"/>
      <c r="T184" s="50"/>
      <c r="U184" s="50"/>
      <c r="V184" s="51"/>
      <c r="W184" s="51"/>
      <c r="X184" s="52"/>
      <c r="Y184" s="52"/>
      <c r="Z184" s="52"/>
    </row>
    <row r="185" spans="1:26" ht="12" customHeight="1" x14ac:dyDescent="0.3">
      <c r="A185" s="52"/>
      <c r="B185" s="52"/>
      <c r="C185" s="52"/>
      <c r="D185" s="52"/>
      <c r="E185" s="52"/>
      <c r="F185" s="52"/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0"/>
      <c r="T185" s="50"/>
      <c r="U185" s="50"/>
      <c r="V185" s="51"/>
      <c r="W185" s="51"/>
      <c r="X185" s="52"/>
      <c r="Y185" s="52"/>
      <c r="Z185" s="52"/>
    </row>
    <row r="186" spans="1:26" ht="12" customHeight="1" x14ac:dyDescent="0.3">
      <c r="A186" s="52"/>
      <c r="B186" s="52"/>
      <c r="C186" s="52"/>
      <c r="D186" s="52"/>
      <c r="E186" s="52"/>
      <c r="F186" s="52"/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0"/>
      <c r="T186" s="50"/>
      <c r="U186" s="50"/>
      <c r="V186" s="51"/>
      <c r="W186" s="51"/>
      <c r="X186" s="52"/>
      <c r="Y186" s="52"/>
      <c r="Z186" s="52"/>
    </row>
    <row r="187" spans="1:26" ht="12" customHeight="1" x14ac:dyDescent="0.3">
      <c r="A187" s="52"/>
      <c r="B187" s="52"/>
      <c r="C187" s="52"/>
      <c r="D187" s="52"/>
      <c r="E187" s="52"/>
      <c r="F187" s="52"/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0"/>
      <c r="T187" s="50"/>
      <c r="U187" s="50"/>
      <c r="V187" s="51"/>
      <c r="W187" s="51"/>
      <c r="X187" s="52"/>
      <c r="Y187" s="52"/>
      <c r="Z187" s="52"/>
    </row>
    <row r="188" spans="1:26" ht="12" customHeight="1" x14ac:dyDescent="0.3">
      <c r="A188" s="52"/>
      <c r="B188" s="52"/>
      <c r="C188" s="52"/>
      <c r="D188" s="52"/>
      <c r="E188" s="52"/>
      <c r="F188" s="52"/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0"/>
      <c r="T188" s="50"/>
      <c r="U188" s="50"/>
      <c r="V188" s="51"/>
      <c r="W188" s="51"/>
      <c r="X188" s="52"/>
      <c r="Y188" s="52"/>
      <c r="Z188" s="52"/>
    </row>
    <row r="189" spans="1:26" ht="12" customHeight="1" x14ac:dyDescent="0.3">
      <c r="A189" s="52"/>
      <c r="B189" s="52"/>
      <c r="C189" s="52"/>
      <c r="D189" s="52"/>
      <c r="E189" s="52"/>
      <c r="F189" s="52"/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0"/>
      <c r="T189" s="50"/>
      <c r="U189" s="50"/>
      <c r="V189" s="51"/>
      <c r="W189" s="51"/>
      <c r="X189" s="52"/>
      <c r="Y189" s="52"/>
      <c r="Z189" s="52"/>
    </row>
    <row r="190" spans="1:26" ht="12" customHeight="1" x14ac:dyDescent="0.3">
      <c r="A190" s="52"/>
      <c r="B190" s="52"/>
      <c r="C190" s="52"/>
      <c r="D190" s="52"/>
      <c r="E190" s="52"/>
      <c r="F190" s="52"/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0"/>
      <c r="T190" s="50"/>
      <c r="U190" s="50"/>
      <c r="V190" s="51"/>
      <c r="W190" s="51"/>
      <c r="X190" s="52"/>
      <c r="Y190" s="52"/>
      <c r="Z190" s="52"/>
    </row>
    <row r="191" spans="1:26" ht="12" customHeight="1" x14ac:dyDescent="0.3">
      <c r="A191" s="52"/>
      <c r="B191" s="52"/>
      <c r="C191" s="52"/>
      <c r="D191" s="52"/>
      <c r="E191" s="52"/>
      <c r="F191" s="52"/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0"/>
      <c r="T191" s="50"/>
      <c r="U191" s="50"/>
      <c r="V191" s="51"/>
      <c r="W191" s="51"/>
      <c r="X191" s="52"/>
      <c r="Y191" s="52"/>
      <c r="Z191" s="52"/>
    </row>
    <row r="192" spans="1:26" ht="12" customHeight="1" x14ac:dyDescent="0.3">
      <c r="A192" s="52"/>
      <c r="B192" s="52"/>
      <c r="C192" s="52"/>
      <c r="D192" s="52"/>
      <c r="E192" s="52"/>
      <c r="F192" s="52"/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0"/>
      <c r="T192" s="50"/>
      <c r="U192" s="50"/>
      <c r="V192" s="51"/>
      <c r="W192" s="51"/>
      <c r="X192" s="52"/>
      <c r="Y192" s="52"/>
      <c r="Z192" s="52"/>
    </row>
    <row r="193" spans="1:26" ht="12" customHeight="1" x14ac:dyDescent="0.3">
      <c r="A193" s="52"/>
      <c r="B193" s="52"/>
      <c r="C193" s="52"/>
      <c r="D193" s="52"/>
      <c r="E193" s="52"/>
      <c r="F193" s="52"/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0"/>
      <c r="T193" s="50"/>
      <c r="U193" s="50"/>
      <c r="V193" s="51"/>
      <c r="W193" s="51"/>
      <c r="X193" s="52"/>
      <c r="Y193" s="52"/>
      <c r="Z193" s="52"/>
    </row>
    <row r="194" spans="1:26" ht="12" customHeight="1" x14ac:dyDescent="0.3">
      <c r="A194" s="52"/>
      <c r="B194" s="52"/>
      <c r="C194" s="52"/>
      <c r="D194" s="52"/>
      <c r="E194" s="52"/>
      <c r="F194" s="52"/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0"/>
      <c r="T194" s="50"/>
      <c r="U194" s="50"/>
      <c r="V194" s="51"/>
      <c r="W194" s="51"/>
      <c r="X194" s="52"/>
      <c r="Y194" s="52"/>
      <c r="Z194" s="52"/>
    </row>
    <row r="195" spans="1:26" ht="12" customHeight="1" x14ac:dyDescent="0.3">
      <c r="A195" s="52"/>
      <c r="B195" s="52"/>
      <c r="C195" s="52"/>
      <c r="D195" s="52"/>
      <c r="E195" s="52"/>
      <c r="F195" s="52"/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0"/>
      <c r="T195" s="50"/>
      <c r="U195" s="50"/>
      <c r="V195" s="51"/>
      <c r="W195" s="51"/>
      <c r="X195" s="52"/>
      <c r="Y195" s="52"/>
      <c r="Z195" s="52"/>
    </row>
    <row r="196" spans="1:26" ht="12" customHeight="1" x14ac:dyDescent="0.3">
      <c r="A196" s="52"/>
      <c r="B196" s="52"/>
      <c r="C196" s="52"/>
      <c r="D196" s="52"/>
      <c r="E196" s="52"/>
      <c r="F196" s="52"/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0"/>
      <c r="T196" s="50"/>
      <c r="U196" s="50"/>
      <c r="V196" s="51"/>
      <c r="W196" s="51"/>
      <c r="X196" s="52"/>
      <c r="Y196" s="52"/>
      <c r="Z196" s="52"/>
    </row>
    <row r="197" spans="1:26" ht="12" customHeight="1" x14ac:dyDescent="0.3">
      <c r="A197" s="52"/>
      <c r="B197" s="52"/>
      <c r="C197" s="52"/>
      <c r="D197" s="52"/>
      <c r="E197" s="52"/>
      <c r="F197" s="52"/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0"/>
      <c r="T197" s="50"/>
      <c r="U197" s="50"/>
      <c r="V197" s="51"/>
      <c r="W197" s="51"/>
      <c r="X197" s="52"/>
      <c r="Y197" s="52"/>
      <c r="Z197" s="52"/>
    </row>
    <row r="198" spans="1:26" ht="12" customHeight="1" x14ac:dyDescent="0.3">
      <c r="A198" s="52"/>
      <c r="B198" s="52"/>
      <c r="C198" s="52"/>
      <c r="D198" s="52"/>
      <c r="E198" s="52"/>
      <c r="F198" s="52"/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0"/>
      <c r="T198" s="50"/>
      <c r="U198" s="50"/>
      <c r="V198" s="51"/>
      <c r="W198" s="51"/>
      <c r="X198" s="52"/>
      <c r="Y198" s="52"/>
      <c r="Z198" s="52"/>
    </row>
    <row r="199" spans="1:26" ht="12" customHeight="1" x14ac:dyDescent="0.3">
      <c r="A199" s="52"/>
      <c r="B199" s="52"/>
      <c r="C199" s="52"/>
      <c r="D199" s="52"/>
      <c r="E199" s="52"/>
      <c r="F199" s="52"/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0"/>
      <c r="T199" s="50"/>
      <c r="U199" s="50"/>
      <c r="V199" s="51"/>
      <c r="W199" s="51"/>
      <c r="X199" s="52"/>
      <c r="Y199" s="52"/>
      <c r="Z199" s="52"/>
    </row>
    <row r="200" spans="1:26" ht="12" customHeight="1" x14ac:dyDescent="0.3">
      <c r="A200" s="52"/>
      <c r="B200" s="52"/>
      <c r="C200" s="52"/>
      <c r="D200" s="52"/>
      <c r="E200" s="52"/>
      <c r="F200" s="52"/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0"/>
      <c r="T200" s="50"/>
      <c r="U200" s="50"/>
      <c r="V200" s="51"/>
      <c r="W200" s="51"/>
      <c r="X200" s="52"/>
      <c r="Y200" s="52"/>
      <c r="Z200" s="52"/>
    </row>
    <row r="201" spans="1:26" ht="12" customHeight="1" x14ac:dyDescent="0.3">
      <c r="A201" s="52"/>
      <c r="B201" s="52"/>
      <c r="C201" s="52"/>
      <c r="D201" s="52"/>
      <c r="E201" s="52"/>
      <c r="F201" s="52"/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0"/>
      <c r="T201" s="50"/>
      <c r="U201" s="50"/>
      <c r="V201" s="51"/>
      <c r="W201" s="51"/>
      <c r="X201" s="52"/>
      <c r="Y201" s="52"/>
      <c r="Z201" s="52"/>
    </row>
    <row r="202" spans="1:26" ht="12" customHeight="1" x14ac:dyDescent="0.3">
      <c r="A202" s="52"/>
      <c r="B202" s="52"/>
      <c r="C202" s="52"/>
      <c r="D202" s="52"/>
      <c r="E202" s="52"/>
      <c r="F202" s="52"/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0"/>
      <c r="T202" s="50"/>
      <c r="U202" s="50"/>
      <c r="V202" s="51"/>
      <c r="W202" s="51"/>
      <c r="X202" s="52"/>
      <c r="Y202" s="52"/>
      <c r="Z202" s="52"/>
    </row>
    <row r="203" spans="1:26" ht="12" customHeight="1" x14ac:dyDescent="0.3">
      <c r="A203" s="52"/>
      <c r="B203" s="52"/>
      <c r="C203" s="52"/>
      <c r="D203" s="52"/>
      <c r="E203" s="52"/>
      <c r="F203" s="52"/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0"/>
      <c r="T203" s="50"/>
      <c r="U203" s="50"/>
      <c r="V203" s="51"/>
      <c r="W203" s="51"/>
      <c r="X203" s="52"/>
      <c r="Y203" s="52"/>
      <c r="Z203" s="52"/>
    </row>
    <row r="204" spans="1:26" ht="12" customHeight="1" x14ac:dyDescent="0.3">
      <c r="A204" s="52"/>
      <c r="B204" s="52"/>
      <c r="C204" s="52"/>
      <c r="D204" s="52"/>
      <c r="E204" s="52"/>
      <c r="F204" s="52"/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0"/>
      <c r="T204" s="50"/>
      <c r="U204" s="50"/>
      <c r="V204" s="51"/>
      <c r="W204" s="51"/>
      <c r="X204" s="52"/>
      <c r="Y204" s="52"/>
      <c r="Z204" s="52"/>
    </row>
    <row r="205" spans="1:26" ht="12" customHeight="1" x14ac:dyDescent="0.3">
      <c r="A205" s="52"/>
      <c r="B205" s="52"/>
      <c r="C205" s="52"/>
      <c r="D205" s="52"/>
      <c r="E205" s="52"/>
      <c r="F205" s="52"/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0"/>
      <c r="T205" s="50"/>
      <c r="U205" s="50"/>
      <c r="V205" s="51"/>
      <c r="W205" s="51"/>
      <c r="X205" s="52"/>
      <c r="Y205" s="52"/>
      <c r="Z205" s="52"/>
    </row>
    <row r="206" spans="1:26" ht="12" customHeight="1" x14ac:dyDescent="0.3">
      <c r="A206" s="52"/>
      <c r="B206" s="52"/>
      <c r="C206" s="52"/>
      <c r="D206" s="52"/>
      <c r="E206" s="52"/>
      <c r="F206" s="52"/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0"/>
      <c r="T206" s="50"/>
      <c r="U206" s="50"/>
      <c r="V206" s="51"/>
      <c r="W206" s="51"/>
      <c r="X206" s="52"/>
      <c r="Y206" s="52"/>
      <c r="Z206" s="52"/>
    </row>
    <row r="207" spans="1:26" ht="12" customHeight="1" x14ac:dyDescent="0.3">
      <c r="A207" s="52"/>
      <c r="B207" s="52"/>
      <c r="C207" s="52"/>
      <c r="D207" s="52"/>
      <c r="E207" s="52"/>
      <c r="F207" s="52"/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0"/>
      <c r="T207" s="50"/>
      <c r="U207" s="50"/>
      <c r="V207" s="51"/>
      <c r="W207" s="51"/>
      <c r="X207" s="52"/>
      <c r="Y207" s="52"/>
      <c r="Z207" s="52"/>
    </row>
    <row r="208" spans="1:26" ht="12" customHeight="1" x14ac:dyDescent="0.3">
      <c r="A208" s="52"/>
      <c r="B208" s="52"/>
      <c r="C208" s="52"/>
      <c r="D208" s="52"/>
      <c r="E208" s="52"/>
      <c r="F208" s="52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0"/>
      <c r="T208" s="50"/>
      <c r="U208" s="50"/>
      <c r="V208" s="51"/>
      <c r="W208" s="51"/>
      <c r="X208" s="52"/>
      <c r="Y208" s="52"/>
      <c r="Z208" s="52"/>
    </row>
    <row r="209" spans="1:26" ht="12" customHeight="1" x14ac:dyDescent="0.3">
      <c r="A209" s="52"/>
      <c r="B209" s="52"/>
      <c r="C209" s="52"/>
      <c r="D209" s="52"/>
      <c r="E209" s="52"/>
      <c r="F209" s="52"/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0"/>
      <c r="T209" s="50"/>
      <c r="U209" s="50"/>
      <c r="V209" s="51"/>
      <c r="W209" s="51"/>
      <c r="X209" s="52"/>
      <c r="Y209" s="52"/>
      <c r="Z209" s="52"/>
    </row>
    <row r="210" spans="1:26" ht="12" customHeight="1" x14ac:dyDescent="0.3">
      <c r="A210" s="52"/>
      <c r="B210" s="52"/>
      <c r="C210" s="52"/>
      <c r="D210" s="52"/>
      <c r="E210" s="52"/>
      <c r="F210" s="52"/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0"/>
      <c r="T210" s="50"/>
      <c r="U210" s="50"/>
      <c r="V210" s="51"/>
      <c r="W210" s="51"/>
      <c r="X210" s="52"/>
      <c r="Y210" s="52"/>
      <c r="Z210" s="52"/>
    </row>
    <row r="211" spans="1:26" ht="12" customHeight="1" x14ac:dyDescent="0.3">
      <c r="A211" s="52"/>
      <c r="B211" s="52"/>
      <c r="C211" s="52"/>
      <c r="D211" s="52"/>
      <c r="E211" s="52"/>
      <c r="F211" s="52"/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0"/>
      <c r="T211" s="50"/>
      <c r="U211" s="50"/>
      <c r="V211" s="51"/>
      <c r="W211" s="51"/>
      <c r="X211" s="52"/>
      <c r="Y211" s="52"/>
      <c r="Z211" s="52"/>
    </row>
    <row r="212" spans="1:26" ht="12" customHeight="1" x14ac:dyDescent="0.3">
      <c r="A212" s="52"/>
      <c r="B212" s="52"/>
      <c r="C212" s="52"/>
      <c r="D212" s="52"/>
      <c r="E212" s="52"/>
      <c r="F212" s="52"/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0"/>
      <c r="T212" s="50"/>
      <c r="U212" s="50"/>
      <c r="V212" s="51"/>
      <c r="W212" s="51"/>
      <c r="X212" s="52"/>
      <c r="Y212" s="52"/>
      <c r="Z212" s="52"/>
    </row>
    <row r="213" spans="1:26" ht="12" customHeight="1" x14ac:dyDescent="0.3">
      <c r="A213" s="52"/>
      <c r="B213" s="52"/>
      <c r="C213" s="52"/>
      <c r="D213" s="52"/>
      <c r="E213" s="52"/>
      <c r="F213" s="52"/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0"/>
      <c r="T213" s="50"/>
      <c r="U213" s="50"/>
      <c r="V213" s="51"/>
      <c r="W213" s="51"/>
      <c r="X213" s="52"/>
      <c r="Y213" s="52"/>
      <c r="Z213" s="52"/>
    </row>
    <row r="214" spans="1:26" ht="12" customHeight="1" x14ac:dyDescent="0.3">
      <c r="A214" s="52"/>
      <c r="B214" s="52"/>
      <c r="C214" s="52"/>
      <c r="D214" s="52"/>
      <c r="E214" s="52"/>
      <c r="F214" s="52"/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0"/>
      <c r="T214" s="50"/>
      <c r="U214" s="50"/>
      <c r="V214" s="51"/>
      <c r="W214" s="51"/>
      <c r="X214" s="52"/>
      <c r="Y214" s="52"/>
      <c r="Z214" s="52"/>
    </row>
    <row r="215" spans="1:26" ht="12" customHeight="1" x14ac:dyDescent="0.3">
      <c r="A215" s="52"/>
      <c r="B215" s="52"/>
      <c r="C215" s="52"/>
      <c r="D215" s="52"/>
      <c r="E215" s="52"/>
      <c r="F215" s="52"/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0"/>
      <c r="T215" s="50"/>
      <c r="U215" s="50"/>
      <c r="V215" s="51"/>
      <c r="W215" s="51"/>
      <c r="X215" s="52"/>
      <c r="Y215" s="52"/>
      <c r="Z215" s="52"/>
    </row>
    <row r="216" spans="1:26" ht="12" customHeight="1" x14ac:dyDescent="0.3">
      <c r="A216" s="52"/>
      <c r="B216" s="52"/>
      <c r="C216" s="52"/>
      <c r="D216" s="52"/>
      <c r="E216" s="52"/>
      <c r="F216" s="52"/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0"/>
      <c r="T216" s="50"/>
      <c r="U216" s="50"/>
      <c r="V216" s="51"/>
      <c r="W216" s="51"/>
      <c r="X216" s="52"/>
      <c r="Y216" s="52"/>
      <c r="Z216" s="52"/>
    </row>
    <row r="217" spans="1:26" ht="12" customHeight="1" x14ac:dyDescent="0.3">
      <c r="A217" s="52"/>
      <c r="B217" s="52"/>
      <c r="C217" s="52"/>
      <c r="D217" s="52"/>
      <c r="E217" s="52"/>
      <c r="F217" s="52"/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0"/>
      <c r="T217" s="50"/>
      <c r="U217" s="50"/>
      <c r="V217" s="51"/>
      <c r="W217" s="51"/>
      <c r="X217" s="52"/>
      <c r="Y217" s="52"/>
      <c r="Z217" s="52"/>
    </row>
    <row r="218" spans="1:26" ht="12" customHeight="1" x14ac:dyDescent="0.3">
      <c r="A218" s="52"/>
      <c r="B218" s="52"/>
      <c r="C218" s="52"/>
      <c r="D218" s="52"/>
      <c r="E218" s="52"/>
      <c r="F218" s="52"/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0"/>
      <c r="T218" s="50"/>
      <c r="U218" s="50"/>
      <c r="V218" s="51"/>
      <c r="W218" s="51"/>
      <c r="X218" s="52"/>
      <c r="Y218" s="52"/>
      <c r="Z218" s="52"/>
    </row>
    <row r="219" spans="1:26" ht="12" customHeight="1" x14ac:dyDescent="0.3">
      <c r="A219" s="52"/>
      <c r="B219" s="52"/>
      <c r="C219" s="52"/>
      <c r="D219" s="52"/>
      <c r="E219" s="52"/>
      <c r="F219" s="52"/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0"/>
      <c r="T219" s="50"/>
      <c r="U219" s="50"/>
      <c r="V219" s="51"/>
      <c r="W219" s="51"/>
      <c r="X219" s="52"/>
      <c r="Y219" s="52"/>
      <c r="Z219" s="52"/>
    </row>
    <row r="220" spans="1:26" ht="12" customHeight="1" x14ac:dyDescent="0.3">
      <c r="A220" s="52"/>
      <c r="B220" s="52"/>
      <c r="C220" s="52"/>
      <c r="D220" s="52"/>
      <c r="E220" s="52"/>
      <c r="F220" s="52"/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0"/>
      <c r="T220" s="50"/>
      <c r="U220" s="50"/>
      <c r="V220" s="51"/>
      <c r="W220" s="51"/>
      <c r="X220" s="52"/>
      <c r="Y220" s="52"/>
      <c r="Z220" s="52"/>
    </row>
    <row r="221" spans="1:26" ht="12" customHeight="1" x14ac:dyDescent="0.3">
      <c r="A221" s="52"/>
      <c r="B221" s="52"/>
      <c r="C221" s="52"/>
      <c r="D221" s="52"/>
      <c r="E221" s="52"/>
      <c r="F221" s="52"/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0"/>
      <c r="T221" s="50"/>
      <c r="U221" s="50"/>
      <c r="V221" s="51"/>
      <c r="W221" s="51"/>
      <c r="X221" s="52"/>
      <c r="Y221" s="52"/>
      <c r="Z221" s="52"/>
    </row>
    <row r="222" spans="1:26" ht="12" customHeight="1" x14ac:dyDescent="0.3">
      <c r="A222" s="52"/>
      <c r="B222" s="52"/>
      <c r="C222" s="52"/>
      <c r="D222" s="52"/>
      <c r="E222" s="52"/>
      <c r="F222" s="52"/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0"/>
      <c r="T222" s="50"/>
      <c r="U222" s="50"/>
      <c r="V222" s="51"/>
      <c r="W222" s="51"/>
      <c r="X222" s="52"/>
      <c r="Y222" s="52"/>
      <c r="Z222" s="52"/>
    </row>
    <row r="223" spans="1:26" ht="12" customHeight="1" x14ac:dyDescent="0.3">
      <c r="A223" s="52"/>
      <c r="B223" s="52"/>
      <c r="C223" s="52"/>
      <c r="D223" s="52"/>
      <c r="E223" s="52"/>
      <c r="F223" s="52"/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0"/>
      <c r="T223" s="50"/>
      <c r="U223" s="50"/>
      <c r="V223" s="51"/>
      <c r="W223" s="51"/>
      <c r="X223" s="52"/>
      <c r="Y223" s="52"/>
      <c r="Z223" s="52"/>
    </row>
    <row r="224" spans="1:26" ht="12" customHeight="1" x14ac:dyDescent="0.3">
      <c r="A224" s="52"/>
      <c r="B224" s="52"/>
      <c r="C224" s="52"/>
      <c r="D224" s="52"/>
      <c r="E224" s="52"/>
      <c r="F224" s="52"/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0"/>
      <c r="T224" s="50"/>
      <c r="U224" s="50"/>
      <c r="V224" s="51"/>
      <c r="W224" s="51"/>
      <c r="X224" s="52"/>
      <c r="Y224" s="52"/>
      <c r="Z224" s="52"/>
    </row>
    <row r="225" spans="1:26" ht="12" customHeight="1" x14ac:dyDescent="0.3">
      <c r="A225" s="52"/>
      <c r="B225" s="52"/>
      <c r="C225" s="52"/>
      <c r="D225" s="52"/>
      <c r="E225" s="52"/>
      <c r="F225" s="52"/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0"/>
      <c r="T225" s="50"/>
      <c r="U225" s="50"/>
      <c r="V225" s="51"/>
      <c r="W225" s="51"/>
      <c r="X225" s="52"/>
      <c r="Y225" s="52"/>
      <c r="Z225" s="52"/>
    </row>
    <row r="226" spans="1:26" ht="12" customHeight="1" x14ac:dyDescent="0.3">
      <c r="A226" s="52"/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0"/>
      <c r="T226" s="50"/>
      <c r="U226" s="50"/>
      <c r="V226" s="51"/>
      <c r="W226" s="51"/>
      <c r="X226" s="52"/>
      <c r="Y226" s="52"/>
      <c r="Z226" s="52"/>
    </row>
    <row r="227" spans="1:26" ht="12" customHeight="1" x14ac:dyDescent="0.3">
      <c r="A227" s="52"/>
      <c r="B227" s="52"/>
      <c r="C227" s="52"/>
      <c r="D227" s="52"/>
      <c r="E227" s="52"/>
      <c r="F227" s="52"/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0"/>
      <c r="T227" s="50"/>
      <c r="U227" s="50"/>
      <c r="V227" s="51"/>
      <c r="W227" s="51"/>
      <c r="X227" s="52"/>
      <c r="Y227" s="52"/>
      <c r="Z227" s="52"/>
    </row>
    <row r="228" spans="1:26" ht="12" customHeight="1" x14ac:dyDescent="0.3">
      <c r="A228" s="52"/>
      <c r="B228" s="52"/>
      <c r="C228" s="52"/>
      <c r="D228" s="52"/>
      <c r="E228" s="52"/>
      <c r="F228" s="52"/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0"/>
      <c r="T228" s="50"/>
      <c r="U228" s="50"/>
      <c r="V228" s="51"/>
      <c r="W228" s="51"/>
      <c r="X228" s="52"/>
      <c r="Y228" s="52"/>
      <c r="Z228" s="52"/>
    </row>
    <row r="229" spans="1:26" ht="12" customHeight="1" x14ac:dyDescent="0.3">
      <c r="A229" s="52"/>
      <c r="B229" s="52"/>
      <c r="C229" s="52"/>
      <c r="D229" s="52"/>
      <c r="E229" s="52"/>
      <c r="F229" s="52"/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0"/>
      <c r="T229" s="50"/>
      <c r="U229" s="50"/>
      <c r="V229" s="51"/>
      <c r="W229" s="51"/>
      <c r="X229" s="52"/>
      <c r="Y229" s="52"/>
      <c r="Z229" s="52"/>
    </row>
    <row r="230" spans="1:26" ht="12" customHeight="1" x14ac:dyDescent="0.3">
      <c r="A230" s="52"/>
      <c r="B230" s="52"/>
      <c r="C230" s="52"/>
      <c r="D230" s="52"/>
      <c r="E230" s="52"/>
      <c r="F230" s="52"/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0"/>
      <c r="T230" s="50"/>
      <c r="U230" s="50"/>
      <c r="V230" s="51"/>
      <c r="W230" s="51"/>
      <c r="X230" s="52"/>
      <c r="Y230" s="52"/>
      <c r="Z230" s="52"/>
    </row>
    <row r="231" spans="1:26" ht="12" customHeight="1" x14ac:dyDescent="0.3">
      <c r="A231" s="52"/>
      <c r="B231" s="52"/>
      <c r="C231" s="52"/>
      <c r="D231" s="52"/>
      <c r="E231" s="52"/>
      <c r="F231" s="52"/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0"/>
      <c r="T231" s="50"/>
      <c r="U231" s="50"/>
      <c r="V231" s="51"/>
      <c r="W231" s="51"/>
      <c r="X231" s="52"/>
      <c r="Y231" s="52"/>
      <c r="Z231" s="52"/>
    </row>
    <row r="232" spans="1:26" ht="12" customHeight="1" x14ac:dyDescent="0.3">
      <c r="A232" s="52"/>
      <c r="B232" s="52"/>
      <c r="C232" s="52"/>
      <c r="D232" s="52"/>
      <c r="E232" s="52"/>
      <c r="F232" s="52"/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0"/>
      <c r="T232" s="50"/>
      <c r="U232" s="50"/>
      <c r="V232" s="51"/>
      <c r="W232" s="51"/>
      <c r="X232" s="52"/>
      <c r="Y232" s="52"/>
      <c r="Z232" s="52"/>
    </row>
    <row r="233" spans="1:26" ht="12" customHeight="1" x14ac:dyDescent="0.3">
      <c r="A233" s="52"/>
      <c r="B233" s="52"/>
      <c r="C233" s="52"/>
      <c r="D233" s="52"/>
      <c r="E233" s="52"/>
      <c r="F233" s="52"/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0"/>
      <c r="T233" s="50"/>
      <c r="U233" s="50"/>
      <c r="V233" s="51"/>
      <c r="W233" s="51"/>
      <c r="X233" s="52"/>
      <c r="Y233" s="52"/>
      <c r="Z233" s="52"/>
    </row>
    <row r="234" spans="1:26" ht="12" customHeight="1" x14ac:dyDescent="0.3">
      <c r="A234" s="52"/>
      <c r="B234" s="52"/>
      <c r="C234" s="52"/>
      <c r="D234" s="52"/>
      <c r="E234" s="52"/>
      <c r="F234" s="52"/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0"/>
      <c r="T234" s="50"/>
      <c r="U234" s="50"/>
      <c r="V234" s="51"/>
      <c r="W234" s="51"/>
      <c r="X234" s="52"/>
      <c r="Y234" s="52"/>
      <c r="Z234" s="52"/>
    </row>
    <row r="235" spans="1:26" ht="12" customHeight="1" x14ac:dyDescent="0.3">
      <c r="A235" s="52"/>
      <c r="B235" s="52"/>
      <c r="C235" s="52"/>
      <c r="D235" s="52"/>
      <c r="E235" s="52"/>
      <c r="F235" s="52"/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0"/>
      <c r="T235" s="50"/>
      <c r="U235" s="50"/>
      <c r="V235" s="51"/>
      <c r="W235" s="51"/>
      <c r="X235" s="52"/>
      <c r="Y235" s="52"/>
      <c r="Z235" s="52"/>
    </row>
    <row r="236" spans="1:26" ht="12" customHeight="1" x14ac:dyDescent="0.3">
      <c r="A236" s="52"/>
      <c r="B236" s="52"/>
      <c r="C236" s="52"/>
      <c r="D236" s="52"/>
      <c r="E236" s="52"/>
      <c r="F236" s="52"/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0"/>
      <c r="T236" s="50"/>
      <c r="U236" s="50"/>
      <c r="V236" s="51"/>
      <c r="W236" s="51"/>
      <c r="X236" s="52"/>
      <c r="Y236" s="52"/>
      <c r="Z236" s="52"/>
    </row>
    <row r="237" spans="1:26" ht="12" customHeight="1" x14ac:dyDescent="0.3">
      <c r="A237" s="52"/>
      <c r="B237" s="52"/>
      <c r="C237" s="52"/>
      <c r="D237" s="52"/>
      <c r="E237" s="52"/>
      <c r="F237" s="52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0"/>
      <c r="T237" s="50"/>
      <c r="U237" s="50"/>
      <c r="V237" s="51"/>
      <c r="W237" s="51"/>
      <c r="X237" s="52"/>
      <c r="Y237" s="52"/>
      <c r="Z237" s="52"/>
    </row>
    <row r="238" spans="1:26" ht="12" customHeight="1" x14ac:dyDescent="0.3">
      <c r="A238" s="52"/>
      <c r="B238" s="52"/>
      <c r="C238" s="52"/>
      <c r="D238" s="52"/>
      <c r="E238" s="52"/>
      <c r="F238" s="52"/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0"/>
      <c r="T238" s="50"/>
      <c r="U238" s="50"/>
      <c r="V238" s="51"/>
      <c r="W238" s="51"/>
      <c r="X238" s="52"/>
      <c r="Y238" s="52"/>
      <c r="Z238" s="52"/>
    </row>
    <row r="239" spans="1:26" ht="12" customHeight="1" x14ac:dyDescent="0.3">
      <c r="A239" s="52"/>
      <c r="B239" s="52"/>
      <c r="C239" s="52"/>
      <c r="D239" s="52"/>
      <c r="E239" s="52"/>
      <c r="F239" s="52"/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0"/>
      <c r="T239" s="50"/>
      <c r="U239" s="50"/>
      <c r="V239" s="51"/>
      <c r="W239" s="51"/>
      <c r="X239" s="52"/>
      <c r="Y239" s="52"/>
      <c r="Z239" s="52"/>
    </row>
    <row r="240" spans="1:26" ht="12" customHeight="1" x14ac:dyDescent="0.3">
      <c r="A240" s="52"/>
      <c r="B240" s="52"/>
      <c r="C240" s="52"/>
      <c r="D240" s="52"/>
      <c r="E240" s="52"/>
      <c r="F240" s="52"/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0"/>
      <c r="T240" s="50"/>
      <c r="U240" s="50"/>
      <c r="V240" s="51"/>
      <c r="W240" s="51"/>
      <c r="X240" s="52"/>
      <c r="Y240" s="52"/>
      <c r="Z240" s="52"/>
    </row>
    <row r="241" spans="1:26" ht="12" customHeight="1" x14ac:dyDescent="0.3">
      <c r="A241" s="52"/>
      <c r="B241" s="52"/>
      <c r="C241" s="52"/>
      <c r="D241" s="52"/>
      <c r="E241" s="52"/>
      <c r="F241" s="52"/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0"/>
      <c r="T241" s="50"/>
      <c r="U241" s="50"/>
      <c r="V241" s="51"/>
      <c r="W241" s="51"/>
      <c r="X241" s="52"/>
      <c r="Y241" s="52"/>
      <c r="Z241" s="52"/>
    </row>
    <row r="242" spans="1:26" ht="12" customHeight="1" x14ac:dyDescent="0.3">
      <c r="A242" s="52"/>
      <c r="B242" s="52"/>
      <c r="C242" s="52"/>
      <c r="D242" s="52"/>
      <c r="E242" s="52"/>
      <c r="F242" s="52"/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0"/>
      <c r="T242" s="50"/>
      <c r="U242" s="50"/>
      <c r="V242" s="51"/>
      <c r="W242" s="51"/>
      <c r="X242" s="52"/>
      <c r="Y242" s="52"/>
      <c r="Z242" s="52"/>
    </row>
    <row r="243" spans="1:26" ht="12" customHeight="1" x14ac:dyDescent="0.3">
      <c r="A243" s="52"/>
      <c r="B243" s="52"/>
      <c r="C243" s="52"/>
      <c r="D243" s="52"/>
      <c r="E243" s="52"/>
      <c r="F243" s="52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0"/>
      <c r="T243" s="50"/>
      <c r="U243" s="50"/>
      <c r="V243" s="51"/>
      <c r="W243" s="51"/>
      <c r="X243" s="52"/>
      <c r="Y243" s="52"/>
      <c r="Z243" s="52"/>
    </row>
    <row r="244" spans="1:26" ht="12" customHeight="1" x14ac:dyDescent="0.3">
      <c r="A244" s="52"/>
      <c r="B244" s="52"/>
      <c r="C244" s="52"/>
      <c r="D244" s="52"/>
      <c r="E244" s="52"/>
      <c r="F244" s="52"/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0"/>
      <c r="T244" s="50"/>
      <c r="U244" s="50"/>
      <c r="V244" s="51"/>
      <c r="W244" s="51"/>
      <c r="X244" s="52"/>
      <c r="Y244" s="52"/>
      <c r="Z244" s="52"/>
    </row>
    <row r="245" spans="1:26" ht="12" customHeight="1" x14ac:dyDescent="0.3">
      <c r="A245" s="52"/>
      <c r="B245" s="52"/>
      <c r="C245" s="52"/>
      <c r="D245" s="52"/>
      <c r="E245" s="52"/>
      <c r="F245" s="52"/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0"/>
      <c r="T245" s="50"/>
      <c r="U245" s="50"/>
      <c r="V245" s="51"/>
      <c r="W245" s="51"/>
      <c r="X245" s="52"/>
      <c r="Y245" s="52"/>
      <c r="Z245" s="52"/>
    </row>
    <row r="246" spans="1:26" ht="12" customHeight="1" x14ac:dyDescent="0.3">
      <c r="A246" s="52"/>
      <c r="B246" s="52"/>
      <c r="C246" s="52"/>
      <c r="D246" s="52"/>
      <c r="E246" s="52"/>
      <c r="F246" s="52"/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0"/>
      <c r="T246" s="50"/>
      <c r="U246" s="50"/>
      <c r="V246" s="51"/>
      <c r="W246" s="51"/>
      <c r="X246" s="52"/>
      <c r="Y246" s="52"/>
      <c r="Z246" s="52"/>
    </row>
    <row r="247" spans="1:26" ht="12" customHeight="1" x14ac:dyDescent="0.3">
      <c r="A247" s="52"/>
      <c r="B247" s="52"/>
      <c r="C247" s="52"/>
      <c r="D247" s="52"/>
      <c r="E247" s="52"/>
      <c r="F247" s="52"/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0"/>
      <c r="T247" s="50"/>
      <c r="U247" s="50"/>
      <c r="V247" s="51"/>
      <c r="W247" s="51"/>
      <c r="X247" s="52"/>
      <c r="Y247" s="52"/>
      <c r="Z247" s="52"/>
    </row>
    <row r="248" spans="1:26" ht="12" customHeight="1" x14ac:dyDescent="0.3">
      <c r="A248" s="52"/>
      <c r="B248" s="52"/>
      <c r="C248" s="52"/>
      <c r="D248" s="52"/>
      <c r="E248" s="52"/>
      <c r="F248" s="52"/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0"/>
      <c r="T248" s="50"/>
      <c r="U248" s="50"/>
      <c r="V248" s="51"/>
      <c r="W248" s="51"/>
      <c r="X248" s="52"/>
      <c r="Y248" s="52"/>
      <c r="Z248" s="52"/>
    </row>
    <row r="249" spans="1:26" ht="12" customHeight="1" x14ac:dyDescent="0.3">
      <c r="A249" s="52"/>
      <c r="B249" s="52"/>
      <c r="C249" s="52"/>
      <c r="D249" s="52"/>
      <c r="E249" s="52"/>
      <c r="F249" s="52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0"/>
      <c r="T249" s="50"/>
      <c r="U249" s="50"/>
      <c r="V249" s="51"/>
      <c r="W249" s="51"/>
      <c r="X249" s="52"/>
      <c r="Y249" s="52"/>
      <c r="Z249" s="52"/>
    </row>
    <row r="250" spans="1:26" ht="12" customHeight="1" x14ac:dyDescent="0.3">
      <c r="A250" s="52"/>
      <c r="B250" s="52"/>
      <c r="C250" s="52"/>
      <c r="D250" s="52"/>
      <c r="E250" s="52"/>
      <c r="F250" s="52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0"/>
      <c r="T250" s="50"/>
      <c r="U250" s="50"/>
      <c r="V250" s="51"/>
      <c r="W250" s="51"/>
      <c r="X250" s="52"/>
      <c r="Y250" s="52"/>
      <c r="Z250" s="52"/>
    </row>
    <row r="251" spans="1:26" ht="12" customHeight="1" x14ac:dyDescent="0.3">
      <c r="A251" s="52"/>
      <c r="B251" s="52"/>
      <c r="C251" s="52"/>
      <c r="D251" s="52"/>
      <c r="E251" s="52"/>
      <c r="F251" s="52"/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0"/>
      <c r="T251" s="50"/>
      <c r="U251" s="50"/>
      <c r="V251" s="51"/>
      <c r="W251" s="51"/>
      <c r="X251" s="52"/>
      <c r="Y251" s="52"/>
      <c r="Z251" s="52"/>
    </row>
    <row r="252" spans="1:26" ht="12" customHeight="1" x14ac:dyDescent="0.3">
      <c r="A252" s="52"/>
      <c r="B252" s="52"/>
      <c r="C252" s="52"/>
      <c r="D252" s="52"/>
      <c r="E252" s="52"/>
      <c r="F252" s="52"/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0"/>
      <c r="T252" s="50"/>
      <c r="U252" s="50"/>
      <c r="V252" s="51"/>
      <c r="W252" s="51"/>
      <c r="X252" s="52"/>
      <c r="Y252" s="52"/>
      <c r="Z252" s="52"/>
    </row>
    <row r="253" spans="1:26" ht="12" customHeight="1" x14ac:dyDescent="0.3">
      <c r="A253" s="52"/>
      <c r="B253" s="52"/>
      <c r="C253" s="52"/>
      <c r="D253" s="52"/>
      <c r="E253" s="52"/>
      <c r="F253" s="52"/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0"/>
      <c r="T253" s="50"/>
      <c r="U253" s="50"/>
      <c r="V253" s="51"/>
      <c r="W253" s="51"/>
      <c r="X253" s="52"/>
      <c r="Y253" s="52"/>
      <c r="Z253" s="52"/>
    </row>
    <row r="254" spans="1:26" ht="12" customHeight="1" x14ac:dyDescent="0.3">
      <c r="A254" s="52"/>
      <c r="B254" s="52"/>
      <c r="C254" s="52"/>
      <c r="D254" s="52"/>
      <c r="E254" s="52"/>
      <c r="F254" s="52"/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0"/>
      <c r="T254" s="50"/>
      <c r="U254" s="50"/>
      <c r="V254" s="51"/>
      <c r="W254" s="51"/>
      <c r="X254" s="52"/>
      <c r="Y254" s="52"/>
      <c r="Z254" s="52"/>
    </row>
    <row r="255" spans="1:26" ht="12" customHeight="1" x14ac:dyDescent="0.3">
      <c r="A255" s="52"/>
      <c r="B255" s="52"/>
      <c r="C255" s="52"/>
      <c r="D255" s="52"/>
      <c r="E255" s="52"/>
      <c r="F255" s="52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0"/>
      <c r="T255" s="50"/>
      <c r="U255" s="50"/>
      <c r="V255" s="51"/>
      <c r="W255" s="51"/>
      <c r="X255" s="52"/>
      <c r="Y255" s="52"/>
      <c r="Z255" s="52"/>
    </row>
    <row r="256" spans="1:26" ht="12" customHeight="1" x14ac:dyDescent="0.3">
      <c r="A256" s="52"/>
      <c r="B256" s="52"/>
      <c r="C256" s="52"/>
      <c r="D256" s="52"/>
      <c r="E256" s="52"/>
      <c r="F256" s="52"/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0"/>
      <c r="T256" s="50"/>
      <c r="U256" s="50"/>
      <c r="V256" s="51"/>
      <c r="W256" s="51"/>
      <c r="X256" s="52"/>
      <c r="Y256" s="52"/>
      <c r="Z256" s="52"/>
    </row>
    <row r="257" spans="1:26" ht="12" customHeight="1" x14ac:dyDescent="0.3">
      <c r="A257" s="52"/>
      <c r="B257" s="52"/>
      <c r="C257" s="52"/>
      <c r="D257" s="52"/>
      <c r="E257" s="52"/>
      <c r="F257" s="52"/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0"/>
      <c r="T257" s="50"/>
      <c r="U257" s="50"/>
      <c r="V257" s="51"/>
      <c r="W257" s="51"/>
      <c r="X257" s="52"/>
      <c r="Y257" s="52"/>
      <c r="Z257" s="52"/>
    </row>
    <row r="258" spans="1:26" ht="12" customHeight="1" x14ac:dyDescent="0.3">
      <c r="A258" s="52"/>
      <c r="B258" s="52"/>
      <c r="C258" s="52"/>
      <c r="D258" s="52"/>
      <c r="E258" s="52"/>
      <c r="F258" s="52"/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0"/>
      <c r="T258" s="50"/>
      <c r="U258" s="50"/>
      <c r="V258" s="51"/>
      <c r="W258" s="51"/>
      <c r="X258" s="52"/>
      <c r="Y258" s="52"/>
      <c r="Z258" s="52"/>
    </row>
    <row r="259" spans="1:26" ht="12" customHeight="1" x14ac:dyDescent="0.3">
      <c r="A259" s="52"/>
      <c r="B259" s="52"/>
      <c r="C259" s="52"/>
      <c r="D259" s="52"/>
      <c r="E259" s="52"/>
      <c r="F259" s="52"/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0"/>
      <c r="T259" s="50"/>
      <c r="U259" s="50"/>
      <c r="V259" s="51"/>
      <c r="W259" s="51"/>
      <c r="X259" s="52"/>
      <c r="Y259" s="52"/>
      <c r="Z259" s="52"/>
    </row>
    <row r="260" spans="1:26" ht="12" customHeight="1" x14ac:dyDescent="0.3">
      <c r="A260" s="52"/>
      <c r="B260" s="52"/>
      <c r="C260" s="52"/>
      <c r="D260" s="52"/>
      <c r="E260" s="52"/>
      <c r="F260" s="52"/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0"/>
      <c r="T260" s="50"/>
      <c r="U260" s="50"/>
      <c r="V260" s="51"/>
      <c r="W260" s="51"/>
      <c r="X260" s="52"/>
      <c r="Y260" s="52"/>
      <c r="Z260" s="5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00">
    <mergeCell ref="A46:A50"/>
    <mergeCell ref="B46:B50"/>
    <mergeCell ref="C46:D46"/>
    <mergeCell ref="C47:C50"/>
    <mergeCell ref="D47:D50"/>
    <mergeCell ref="E48:E50"/>
    <mergeCell ref="Q41:R41"/>
    <mergeCell ref="Q42:R42"/>
    <mergeCell ref="Q43:R43"/>
    <mergeCell ref="Q44:R44"/>
    <mergeCell ref="Q45:R45"/>
    <mergeCell ref="E46:L47"/>
    <mergeCell ref="M46:R47"/>
    <mergeCell ref="Q32:R32"/>
    <mergeCell ref="P33:P36"/>
    <mergeCell ref="Q33:R36"/>
    <mergeCell ref="Q37:R37"/>
    <mergeCell ref="Q38:R38"/>
    <mergeCell ref="Q39:R39"/>
    <mergeCell ref="Q40:R40"/>
    <mergeCell ref="M24:O24"/>
    <mergeCell ref="Q24:R24"/>
    <mergeCell ref="M25:O25"/>
    <mergeCell ref="Q25:R25"/>
    <mergeCell ref="Q26:R26"/>
    <mergeCell ref="Q29:R29"/>
    <mergeCell ref="Q30:R30"/>
    <mergeCell ref="M26:O26"/>
    <mergeCell ref="M27:O27"/>
    <mergeCell ref="Q27:R27"/>
    <mergeCell ref="M28:O28"/>
    <mergeCell ref="Q28:R28"/>
    <mergeCell ref="M29:O29"/>
    <mergeCell ref="M30:O30"/>
    <mergeCell ref="A20:A23"/>
    <mergeCell ref="B20:C21"/>
    <mergeCell ref="D20:L21"/>
    <mergeCell ref="M20:O23"/>
    <mergeCell ref="P20:P23"/>
    <mergeCell ref="Q20:R23"/>
    <mergeCell ref="B22:B23"/>
    <mergeCell ref="K22:L23"/>
    <mergeCell ref="I22:I23"/>
    <mergeCell ref="J22:J23"/>
    <mergeCell ref="Q58:R58"/>
    <mergeCell ref="Q59:R59"/>
    <mergeCell ref="Q60:R60"/>
    <mergeCell ref="Q61:R61"/>
    <mergeCell ref="Q62:R62"/>
    <mergeCell ref="Q63:R63"/>
    <mergeCell ref="Q51:R51"/>
    <mergeCell ref="Q52:R52"/>
    <mergeCell ref="Q53:R53"/>
    <mergeCell ref="Q54:R54"/>
    <mergeCell ref="Q55:R55"/>
    <mergeCell ref="Q56:R56"/>
    <mergeCell ref="Q57:R57"/>
    <mergeCell ref="K61:L61"/>
    <mergeCell ref="K62:L62"/>
    <mergeCell ref="K63:L63"/>
    <mergeCell ref="M57:O57"/>
    <mergeCell ref="M58:O58"/>
    <mergeCell ref="M59:O59"/>
    <mergeCell ref="M60:O60"/>
    <mergeCell ref="M61:O61"/>
    <mergeCell ref="M62:O62"/>
    <mergeCell ref="M63:O63"/>
    <mergeCell ref="K51:L51"/>
    <mergeCell ref="M51:O51"/>
    <mergeCell ref="K52:L52"/>
    <mergeCell ref="M52:O52"/>
    <mergeCell ref="K56:L56"/>
    <mergeCell ref="K57:L57"/>
    <mergeCell ref="K58:L58"/>
    <mergeCell ref="K59:L59"/>
    <mergeCell ref="K60:L60"/>
    <mergeCell ref="K53:L53"/>
    <mergeCell ref="M53:O53"/>
    <mergeCell ref="K54:L54"/>
    <mergeCell ref="M54:O54"/>
    <mergeCell ref="K55:L55"/>
    <mergeCell ref="M55:O55"/>
    <mergeCell ref="M56:O56"/>
    <mergeCell ref="F48:F50"/>
    <mergeCell ref="G48:G50"/>
    <mergeCell ref="H48:H50"/>
    <mergeCell ref="I48:I50"/>
    <mergeCell ref="J48:J50"/>
    <mergeCell ref="K48:L50"/>
    <mergeCell ref="Q48:R50"/>
    <mergeCell ref="M48:P48"/>
    <mergeCell ref="M49:O50"/>
    <mergeCell ref="P49:P50"/>
    <mergeCell ref="M31:O31"/>
    <mergeCell ref="Q31:R31"/>
    <mergeCell ref="M32:O32"/>
    <mergeCell ref="A33:A36"/>
    <mergeCell ref="B33:B36"/>
    <mergeCell ref="C33:C36"/>
    <mergeCell ref="K33:O34"/>
    <mergeCell ref="N35:O36"/>
    <mergeCell ref="E33:J34"/>
    <mergeCell ref="E35:E36"/>
    <mergeCell ref="F35:F36"/>
    <mergeCell ref="G35:G36"/>
    <mergeCell ref="H35:H36"/>
    <mergeCell ref="I35:I36"/>
    <mergeCell ref="J35:J36"/>
    <mergeCell ref="D33:D36"/>
    <mergeCell ref="L44:M44"/>
    <mergeCell ref="N44:O44"/>
    <mergeCell ref="L45:M45"/>
    <mergeCell ref="N45:O45"/>
    <mergeCell ref="L39:M39"/>
    <mergeCell ref="L40:M40"/>
    <mergeCell ref="N40:O40"/>
    <mergeCell ref="L41:M41"/>
    <mergeCell ref="N41:O41"/>
    <mergeCell ref="L42:M42"/>
    <mergeCell ref="N42:O42"/>
    <mergeCell ref="K35:K36"/>
    <mergeCell ref="L35:M36"/>
    <mergeCell ref="L37:M37"/>
    <mergeCell ref="N37:O37"/>
    <mergeCell ref="L38:M38"/>
    <mergeCell ref="N38:O38"/>
    <mergeCell ref="N39:O39"/>
    <mergeCell ref="L43:M43"/>
    <mergeCell ref="N43:O43"/>
    <mergeCell ref="C22:C23"/>
    <mergeCell ref="D22:D23"/>
    <mergeCell ref="E22:E23"/>
    <mergeCell ref="F22:F23"/>
    <mergeCell ref="G22:G23"/>
    <mergeCell ref="H22:H23"/>
    <mergeCell ref="K13:L13"/>
    <mergeCell ref="K14:L14"/>
    <mergeCell ref="K15:L15"/>
    <mergeCell ref="K16:L16"/>
    <mergeCell ref="K17:L17"/>
    <mergeCell ref="K18:L18"/>
    <mergeCell ref="K19:L19"/>
    <mergeCell ref="I8:I10"/>
    <mergeCell ref="M14:N14"/>
    <mergeCell ref="M15:N15"/>
    <mergeCell ref="M16:N16"/>
    <mergeCell ref="M17:N17"/>
    <mergeCell ref="M18:N18"/>
    <mergeCell ref="M19:N19"/>
    <mergeCell ref="K6:L10"/>
    <mergeCell ref="M6:N10"/>
    <mergeCell ref="K11:L11"/>
    <mergeCell ref="M11:N11"/>
    <mergeCell ref="K12:L12"/>
    <mergeCell ref="M12:N12"/>
    <mergeCell ref="M13:N13"/>
    <mergeCell ref="K31:L31"/>
    <mergeCell ref="K32:L32"/>
    <mergeCell ref="K24:L24"/>
    <mergeCell ref="K25:L25"/>
    <mergeCell ref="K26:L26"/>
    <mergeCell ref="K27:L27"/>
    <mergeCell ref="K28:L28"/>
    <mergeCell ref="K29:L29"/>
    <mergeCell ref="K30:L30"/>
    <mergeCell ref="Q16:R16"/>
    <mergeCell ref="Q17:R17"/>
    <mergeCell ref="Q18:R18"/>
    <mergeCell ref="Q19:R19"/>
    <mergeCell ref="Q5:R5"/>
    <mergeCell ref="Q6:R10"/>
    <mergeCell ref="Q11:R11"/>
    <mergeCell ref="Q12:R12"/>
    <mergeCell ref="Q13:R13"/>
    <mergeCell ref="Q14:R14"/>
    <mergeCell ref="Q15:R15"/>
    <mergeCell ref="A1:R1"/>
    <mergeCell ref="K3:L3"/>
    <mergeCell ref="M3:N3"/>
    <mergeCell ref="Q3:R3"/>
    <mergeCell ref="K4:L4"/>
    <mergeCell ref="M4:N4"/>
    <mergeCell ref="Q4:R4"/>
    <mergeCell ref="A8:A10"/>
    <mergeCell ref="B8:B10"/>
    <mergeCell ref="C8:C10"/>
    <mergeCell ref="D8:D10"/>
    <mergeCell ref="E8:E10"/>
    <mergeCell ref="F8:F10"/>
    <mergeCell ref="G8:G10"/>
    <mergeCell ref="H8:H10"/>
    <mergeCell ref="O6:P7"/>
    <mergeCell ref="O8:O10"/>
    <mergeCell ref="P8:P10"/>
    <mergeCell ref="K5:L5"/>
    <mergeCell ref="M5:N5"/>
    <mergeCell ref="A6:B7"/>
    <mergeCell ref="C6:E7"/>
    <mergeCell ref="F6:I7"/>
    <mergeCell ref="J6:J10"/>
  </mergeCells>
  <conditionalFormatting sqref="B24:G32 B37:C45 C51:P59 E37:J45 F11:J19 I24:J32 O11:R19 P37:R45 Q24:R32">
    <cfRule type="cellIs" dxfId="3" priority="1" stopIfTrue="1" operator="lessThan">
      <formula>0</formula>
    </cfRule>
  </conditionalFormatting>
  <conditionalFormatting sqref="C11:D19">
    <cfRule type="cellIs" dxfId="2" priority="2" stopIfTrue="1" operator="lessThan">
      <formula>0</formula>
    </cfRule>
  </conditionalFormatting>
  <conditionalFormatting sqref="Q11:R19">
    <cfRule type="cellIs" dxfId="1" priority="3" stopIfTrue="1" operator="lessThan">
      <formula>0</formula>
    </cfRule>
  </conditionalFormatting>
  <conditionalFormatting sqref="A4">
    <cfRule type="cellIs" dxfId="0" priority="4" stopIfTrue="1" operator="equal">
      <formula>"erro"</formula>
    </cfRule>
  </conditionalFormatting>
  <pageMargins left="0.78740157480314965" right="0.51181102362204722" top="0.94488188976377963" bottom="0.55118110236220474" header="0" footer="0"/>
  <pageSetup orientation="portrait"/>
  <rowBreaks count="1" manualBreakCount="1">
    <brk id="6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Resultados</vt:lpstr>
      <vt:lpstr>Sta. Helena - TM</vt:lpstr>
      <vt:lpstr>Sta. Hel. - Baixada</vt:lpstr>
      <vt:lpstr>St. São Jorge - TM</vt:lpstr>
      <vt:lpstr>Guardian</vt:lpstr>
      <vt:lpstr>MAR P</vt:lpstr>
      <vt:lpstr>MAR 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m295009</dc:creator>
  <cp:lastModifiedBy>Laíla Arnauth</cp:lastModifiedBy>
  <dcterms:created xsi:type="dcterms:W3CDTF">2022-05-09T17:33:57Z</dcterms:created>
  <dcterms:modified xsi:type="dcterms:W3CDTF">2025-03-17T00:12:41Z</dcterms:modified>
</cp:coreProperties>
</file>