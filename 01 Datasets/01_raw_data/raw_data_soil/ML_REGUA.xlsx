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  <sheet state="visible" name="ML BX" sheetId="2" r:id="rId5"/>
    <sheet state="visible" name="ML MR" sheetId="3" r:id="rId6"/>
    <sheet state="visible" name="RG PV" sheetId="4" r:id="rId7"/>
    <sheet state="visible" name="RG BP" sheetId="5" r:id="rId8"/>
    <sheet state="visible" name="ML MP" sheetId="6" r:id="rId9"/>
    <sheet state="visible" name="Resultados - CHN" sheetId="7" r:id="rId10"/>
  </sheets>
  <externalReferences>
    <externalReference r:id="rId11"/>
  </externalReferences>
  <definedNames/>
  <calcPr/>
  <extLst>
    <ext uri="GoogleSheetsCustomDataVersion2">
      <go:sheetsCustomData xmlns:go="http://customooxmlschemas.google.com/" r:id="rId12" roundtripDataChecksum="rG6lGsr3m6/CWzHN1IK9XH7RIFuiwUYkbykPOmvxe6g="/>
    </ext>
  </extLst>
</workbook>
</file>

<file path=xl/sharedStrings.xml><?xml version="1.0" encoding="utf-8"?>
<sst xmlns="http://schemas.openxmlformats.org/spreadsheetml/2006/main" count="3350" uniqueCount="383">
  <si>
    <t xml:space="preserve">Nome do Cliente: </t>
  </si>
  <si>
    <t>Guiherme Donagemma - Proj. Filtros</t>
  </si>
  <si>
    <t>Nº Atividade:</t>
  </si>
  <si>
    <t>26.16.05.003.00.04.002</t>
  </si>
  <si>
    <t xml:space="preserve">Local: </t>
  </si>
  <si>
    <t xml:space="preserve"> </t>
  </si>
  <si>
    <t>Pedido:</t>
  </si>
  <si>
    <t>33/2022</t>
  </si>
  <si>
    <t xml:space="preserve">Data de entrada: </t>
  </si>
  <si>
    <t xml:space="preserve">Data de saída: </t>
  </si>
  <si>
    <t>Resultados das Análises Físico-Químicas do Solo</t>
  </si>
  <si>
    <t>Granulometria - Terra Fina (g/Kg)</t>
  </si>
  <si>
    <t>Relação</t>
  </si>
  <si>
    <t>pH (1:2,5)</t>
  </si>
  <si>
    <t>Complexo Sortivo</t>
  </si>
  <si>
    <r>
      <rPr>
        <rFont val="Calibri"/>
        <b/>
        <color theme="1"/>
        <sz val="10.0"/>
      </rPr>
      <t>100.Al</t>
    </r>
    <r>
      <rPr>
        <rFont val="Calibri"/>
        <b/>
        <color theme="1"/>
        <sz val="10.0"/>
        <u/>
        <vertAlign val="superscript"/>
      </rPr>
      <t>3+</t>
    </r>
  </si>
  <si>
    <t>Classe de</t>
  </si>
  <si>
    <t>Classificação</t>
  </si>
  <si>
    <t>Nº no Laboratório</t>
  </si>
  <si>
    <t>Perfil</t>
  </si>
  <si>
    <t>Profun.</t>
  </si>
  <si>
    <t>Areia G.</t>
  </si>
  <si>
    <t>Areia F.</t>
  </si>
  <si>
    <t>Silte</t>
  </si>
  <si>
    <t>Argila</t>
  </si>
  <si>
    <t>Silte/Arg.</t>
  </si>
  <si>
    <r>
      <rPr>
        <rFont val="Calibri"/>
        <b/>
        <color theme="1"/>
        <sz val="10.0"/>
      </rPr>
      <t>pH H</t>
    </r>
    <r>
      <rPr>
        <rFont val="Calibri"/>
        <b/>
        <color theme="1"/>
        <sz val="10.0"/>
        <vertAlign val="subscript"/>
      </rPr>
      <t>2</t>
    </r>
    <r>
      <rPr>
        <rFont val="Arial"/>
        <b/>
        <color theme="1"/>
        <sz val="10.0"/>
      </rPr>
      <t>O</t>
    </r>
  </si>
  <si>
    <r>
      <rPr>
        <rFont val="Calibri"/>
        <b/>
        <color theme="1"/>
        <sz val="10.0"/>
      </rPr>
      <t>Ca</t>
    </r>
    <r>
      <rPr>
        <rFont val="Calibri"/>
        <b/>
        <color theme="1"/>
        <sz val="10.0"/>
        <vertAlign val="superscript"/>
      </rPr>
      <t>2+</t>
    </r>
  </si>
  <si>
    <r>
      <rPr>
        <rFont val="Calibri"/>
        <b/>
        <color theme="1"/>
        <sz val="10.0"/>
      </rPr>
      <t>Mg</t>
    </r>
    <r>
      <rPr>
        <rFont val="Calibri"/>
        <b/>
        <color theme="1"/>
        <sz val="10.0"/>
        <vertAlign val="superscript"/>
      </rPr>
      <t>2+</t>
    </r>
  </si>
  <si>
    <r>
      <rPr>
        <rFont val="Calibri"/>
        <b/>
        <color theme="1"/>
        <sz val="10.0"/>
      </rPr>
      <t>K</t>
    </r>
    <r>
      <rPr>
        <rFont val="Calibri"/>
        <b/>
        <color theme="1"/>
        <sz val="10.0"/>
        <vertAlign val="superscript"/>
      </rPr>
      <t>+</t>
    </r>
  </si>
  <si>
    <r>
      <rPr>
        <rFont val="Calibri"/>
        <b/>
        <color theme="1"/>
        <sz val="10.0"/>
      </rPr>
      <t>Na</t>
    </r>
    <r>
      <rPr>
        <rFont val="Calibri"/>
        <b/>
        <color theme="1"/>
        <sz val="10.0"/>
        <vertAlign val="superscript"/>
      </rPr>
      <t>+</t>
    </r>
  </si>
  <si>
    <t>Valor S</t>
  </si>
  <si>
    <r>
      <rPr>
        <rFont val="Calibri"/>
        <b/>
        <color theme="1"/>
        <sz val="10.0"/>
      </rPr>
      <t>Al</t>
    </r>
    <r>
      <rPr>
        <rFont val="Calibri"/>
        <b/>
        <color theme="1"/>
        <sz val="10.0"/>
        <vertAlign val="superscript"/>
      </rPr>
      <t>3+</t>
    </r>
  </si>
  <si>
    <r>
      <rPr>
        <rFont val="Calibri"/>
        <b/>
        <color theme="1"/>
        <sz val="10.0"/>
      </rPr>
      <t>H</t>
    </r>
    <r>
      <rPr>
        <rFont val="Calibri"/>
        <b/>
        <color theme="1"/>
        <sz val="10.0"/>
        <vertAlign val="superscript"/>
      </rPr>
      <t>+</t>
    </r>
  </si>
  <si>
    <t>Valor T</t>
  </si>
  <si>
    <t>Valor V</t>
  </si>
  <si>
    <r>
      <rPr>
        <rFont val="Calibri"/>
        <b/>
        <color theme="1"/>
        <sz val="10.0"/>
      </rPr>
      <t>S + Al</t>
    </r>
    <r>
      <rPr>
        <rFont val="Calibri"/>
        <b/>
        <color theme="1"/>
        <sz val="10.0"/>
        <vertAlign val="superscript"/>
      </rPr>
      <t>3+</t>
    </r>
  </si>
  <si>
    <t>P Assim.</t>
  </si>
  <si>
    <t>C. Org.</t>
  </si>
  <si>
    <t>N</t>
  </si>
  <si>
    <t>C/N</t>
  </si>
  <si>
    <t>Textura</t>
  </si>
  <si>
    <t>2-0,2 mm</t>
  </si>
  <si>
    <t>0,2-0,05 mm</t>
  </si>
  <si>
    <t>0,05-0,002 mm</t>
  </si>
  <si>
    <t>&lt; 0,002 mm</t>
  </si>
  <si>
    <t>cmolc/Kg</t>
  </si>
  <si>
    <t>(%)</t>
  </si>
  <si>
    <t>%</t>
  </si>
  <si>
    <t>mg/Kg</t>
  </si>
  <si>
    <t>g/Kg</t>
  </si>
  <si>
    <t>1130</t>
  </si>
  <si>
    <t>318749</t>
  </si>
  <si>
    <t>1- ML BX</t>
  </si>
  <si>
    <t>0 - 20</t>
  </si>
  <si>
    <t>franco-argilo-arenosa</t>
  </si>
  <si>
    <t>distrófico</t>
  </si>
  <si>
    <t>1131</t>
  </si>
  <si>
    <t>2-       "</t>
  </si>
  <si>
    <t>20 - 40</t>
  </si>
  <si>
    <t>argilo-arenosa</t>
  </si>
  <si>
    <t>álico</t>
  </si>
  <si>
    <t>1132</t>
  </si>
  <si>
    <t>1- ML MR</t>
  </si>
  <si>
    <t>argila</t>
  </si>
  <si>
    <t>1133</t>
  </si>
  <si>
    <t>1134</t>
  </si>
  <si>
    <t>1- RG PV</t>
  </si>
  <si>
    <t>1135</t>
  </si>
  <si>
    <t>1136</t>
  </si>
  <si>
    <t>1- RG BP</t>
  </si>
  <si>
    <t>1137</t>
  </si>
  <si>
    <t>1138</t>
  </si>
  <si>
    <t>1- ML MP</t>
  </si>
  <si>
    <t>1139</t>
  </si>
  <si>
    <t>Análises Físicas e Químicas</t>
  </si>
  <si>
    <t>Perfil: ML BX</t>
  </si>
  <si>
    <t>Amostras de Laboratório: 22.1130-1131</t>
  </si>
  <si>
    <t xml:space="preserve">Solo: </t>
  </si>
  <si>
    <t>Horizonte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</si>
  <si>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</si>
  <si>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</si>
  <si>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</si>
  <si>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</si>
  <si>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t>Relação Silte/  Argila</t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</si>
  <si>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</si>
  <si>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</si>
  <si>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t>Símbolo</t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</si>
  <si>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</si>
  <si>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</si>
  <si>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</si>
  <si>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</si>
  <si>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</si>
  <si>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</si>
  <si>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</si>
  <si>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</si>
  <si>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t>Solo</t>
  </si>
  <si>
    <t>Partículas</t>
  </si>
  <si>
    <t>ocultar</t>
  </si>
  <si>
    <t/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</si>
  <si>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</si>
  <si>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</si>
  <si>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</si>
  <si>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</si>
  <si>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</si>
  <si>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t>Água</t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</si>
  <si>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</si>
  <si>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</si>
  <si>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</si>
  <si>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</si>
  <si>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</si>
  <si>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</si>
  <si>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</si>
  <si>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</si>
  <si>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t>Valor      T</t>
  </si>
  <si>
    <t>xxx</t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</si>
  <si>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</si>
  <si>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</si>
  <si>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</si>
  <si>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t>Relações Moleculares</t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</si>
  <si>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</si>
  <si>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</si>
  <si>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</si>
  <si>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</si>
  <si>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</si>
  <si>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</si>
  <si>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</si>
  <si>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t>MnO</t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</si>
  <si>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</si>
  <si>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</si>
  <si>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</si>
  <si>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</si>
  <si>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t>Pasta saturada</t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</si>
  <si>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</si>
  <si>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</si>
  <si>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</si>
  <si>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</si>
  <si>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</si>
  <si>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</si>
  <si>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</si>
  <si>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</si>
  <si>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</si>
  <si>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</si>
  <si>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</si>
  <si>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Umidade</t>
  </si>
  <si>
    <t>Água disponível máxima</t>
  </si>
  <si>
    <t>0,033 MPa</t>
  </si>
  <si>
    <t>1,5 MPa</t>
  </si>
  <si>
    <t>&lt;1</t>
  </si>
  <si>
    <t xml:space="preserve">Relação textural: </t>
  </si>
  <si>
    <t>Perfil: ML MR</t>
  </si>
  <si>
    <t>Amostras de Laboratório: 22.1132-1133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</si>
  <si>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</si>
  <si>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</si>
  <si>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</si>
  <si>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</si>
  <si>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</si>
  <si>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</si>
  <si>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</si>
  <si>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</si>
  <si>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</si>
  <si>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</si>
  <si>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</si>
  <si>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</si>
  <si>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</si>
  <si>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</si>
  <si>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</si>
  <si>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</si>
  <si>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</si>
  <si>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</si>
  <si>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</si>
  <si>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</si>
  <si>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</si>
  <si>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</si>
  <si>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</si>
  <si>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</si>
  <si>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</si>
  <si>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</si>
  <si>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</si>
  <si>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</si>
  <si>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</si>
  <si>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</si>
  <si>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</si>
  <si>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</si>
  <si>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</si>
  <si>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</si>
  <si>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</si>
  <si>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</si>
  <si>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</si>
  <si>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</si>
  <si>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</si>
  <si>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</si>
  <si>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</si>
  <si>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</si>
  <si>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</si>
  <si>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</si>
  <si>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</si>
  <si>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</si>
  <si>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</si>
  <si>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</si>
  <si>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</si>
  <si>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</si>
  <si>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</si>
  <si>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</si>
  <si>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Perfil: RG PV</t>
  </si>
  <si>
    <t>Amostras de Laboratório: 22.1134-1135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</si>
  <si>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</si>
  <si>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</si>
  <si>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</si>
  <si>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</si>
  <si>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</si>
  <si>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</si>
  <si>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</si>
  <si>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</si>
  <si>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</si>
  <si>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</si>
  <si>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</si>
  <si>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</si>
  <si>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</si>
  <si>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</si>
  <si>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</si>
  <si>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</si>
  <si>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</si>
  <si>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</si>
  <si>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</si>
  <si>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</si>
  <si>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</si>
  <si>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</si>
  <si>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</si>
  <si>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</si>
  <si>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</si>
  <si>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</si>
  <si>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</si>
  <si>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</si>
  <si>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</si>
  <si>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</si>
  <si>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</si>
  <si>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</si>
  <si>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</si>
  <si>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</si>
  <si>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</si>
  <si>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</si>
  <si>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</si>
  <si>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</si>
  <si>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</si>
  <si>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</si>
  <si>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</si>
  <si>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</si>
  <si>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</si>
  <si>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</si>
  <si>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</si>
  <si>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</si>
  <si>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</si>
  <si>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</si>
  <si>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</si>
  <si>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</si>
  <si>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</si>
  <si>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</si>
  <si>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Perfil: RG BP</t>
  </si>
  <si>
    <t>Amostra de Laboratório:</t>
  </si>
  <si>
    <t>22.1136-1137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</si>
  <si>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</si>
  <si>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</si>
  <si>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</si>
  <si>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</si>
  <si>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</si>
  <si>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</si>
  <si>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</si>
  <si>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</si>
  <si>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</si>
  <si>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</si>
  <si>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</si>
  <si>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</si>
  <si>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</si>
  <si>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</si>
  <si>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</si>
  <si>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</si>
  <si>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</si>
  <si>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</si>
  <si>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</si>
  <si>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</si>
  <si>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</si>
  <si>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</si>
  <si>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</si>
  <si>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</si>
  <si>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</si>
  <si>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</si>
  <si>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</si>
  <si>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</si>
  <si>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</si>
  <si>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</si>
  <si>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</si>
  <si>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</si>
  <si>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</si>
  <si>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</si>
  <si>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</si>
  <si>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</si>
  <si>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</si>
  <si>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</si>
  <si>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</si>
  <si>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</si>
  <si>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</si>
  <si>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</si>
  <si>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</si>
  <si>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</si>
  <si>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</si>
  <si>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</si>
  <si>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</si>
  <si>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</si>
  <si>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</si>
  <si>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</si>
  <si>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</si>
  <si>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</si>
  <si>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Perfil: ML MP</t>
  </si>
  <si>
    <t>22.1138-1139</t>
  </si>
  <si>
    <r>
      <rPr>
        <rFont val="Arial"/>
        <color theme="1"/>
        <sz val="8.0"/>
      </rPr>
      <t xml:space="preserve">Frações da amostra total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</si>
  <si>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Composição granulométrica da      terra fina                      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</si>
  <si>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Argila dispersa em água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</si>
  <si>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Grau  de   flocu-lação   </t>
    </r>
    <r>
      <rPr>
        <rFont val="Arial"/>
        <color theme="1"/>
        <sz val="7.0"/>
      </rPr>
      <t>%</t>
    </r>
  </si>
  <si>
    <r>
      <rPr>
        <rFont val="Arial"/>
        <color theme="1"/>
        <sz val="8.0"/>
      </rPr>
      <t xml:space="preserve">Densidade             </t>
    </r>
    <r>
      <rPr>
        <rFont val="Arial"/>
        <color theme="1"/>
        <sz val="7.0"/>
      </rPr>
      <t>g/cm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</si>
  <si>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>Porosidade</t>
    </r>
    <r>
      <rPr>
        <rFont val="Arial"/>
        <color theme="1"/>
        <sz val="7.0"/>
      </rPr>
      <t xml:space="preserve"> cm</t>
    </r>
    <r>
      <rPr>
        <rFont val="Arial"/>
        <color theme="1"/>
        <sz val="7.0"/>
        <vertAlign val="superscript"/>
      </rPr>
      <t>3</t>
    </r>
    <r>
      <rPr>
        <rFont val="Arial"/>
        <color theme="1"/>
        <sz val="7.0"/>
      </rPr>
      <t>/100cm</t>
    </r>
    <r>
      <rPr>
        <rFont val="Arial"/>
        <color theme="1"/>
        <sz val="7.0"/>
        <vertAlign val="superscript"/>
      </rPr>
      <t>3</t>
    </r>
  </si>
  <si>
    <r>
      <rPr>
        <rFont val="Arial"/>
        <color theme="1"/>
        <sz val="8.0"/>
      </rPr>
      <t xml:space="preserve">Profun-didade     </t>
    </r>
    <r>
      <rPr>
        <rFont val="Arial"/>
        <color theme="1"/>
        <sz val="7.0"/>
      </rPr>
      <t>cm</t>
    </r>
  </si>
  <si>
    <r>
      <rPr>
        <rFont val="Arial"/>
        <color theme="1"/>
        <sz val="8.0"/>
      </rPr>
      <t xml:space="preserve">Calhaus </t>
    </r>
    <r>
      <rPr>
        <rFont val="Arial"/>
        <color theme="1"/>
        <sz val="7.0"/>
      </rPr>
      <t>&gt; 20     mm</t>
    </r>
  </si>
  <si>
    <r>
      <rPr>
        <rFont val="Arial"/>
        <color theme="1"/>
        <sz val="8.0"/>
      </rPr>
      <t xml:space="preserve">Cas-calho </t>
    </r>
    <r>
      <rPr>
        <rFont val="Arial"/>
        <color theme="1"/>
        <sz val="7.0"/>
      </rPr>
      <t>20-2 mm</t>
    </r>
  </si>
  <si>
    <r>
      <rPr>
        <rFont val="Arial"/>
        <color theme="1"/>
        <sz val="8.0"/>
      </rPr>
      <t xml:space="preserve">Terra fina     </t>
    </r>
    <r>
      <rPr>
        <rFont val="Arial"/>
        <color theme="1"/>
        <sz val="7.0"/>
      </rPr>
      <t>&lt; 2    mm</t>
    </r>
  </si>
  <si>
    <r>
      <rPr>
        <rFont val="Arial"/>
        <color theme="1"/>
        <sz val="8.0"/>
      </rPr>
      <t xml:space="preserve">Areia grossa </t>
    </r>
    <r>
      <rPr>
        <rFont val="Arial"/>
        <color theme="1"/>
        <sz val="7.0"/>
      </rPr>
      <t>2-0,20 mm</t>
    </r>
  </si>
  <si>
    <r>
      <rPr>
        <rFont val="Arial"/>
        <color theme="1"/>
        <sz val="8.0"/>
      </rPr>
      <t xml:space="preserve">Areia fina      </t>
    </r>
    <r>
      <rPr>
        <rFont val="Arial"/>
        <color theme="1"/>
        <sz val="7.0"/>
      </rPr>
      <t>0,20-0,05 mm</t>
    </r>
  </si>
  <si>
    <r>
      <rPr>
        <rFont val="Arial"/>
        <color theme="1"/>
        <sz val="8.0"/>
      </rPr>
      <t xml:space="preserve">Silte  </t>
    </r>
    <r>
      <rPr>
        <rFont val="Arial"/>
        <color theme="1"/>
        <sz val="7.0"/>
      </rPr>
      <t>0,05-0,002    mm</t>
    </r>
  </si>
  <si>
    <r>
      <rPr>
        <rFont val="Arial"/>
        <color theme="1"/>
        <sz val="8.0"/>
      </rPr>
      <t xml:space="preserve">Argila   </t>
    </r>
    <r>
      <rPr>
        <rFont val="Arial"/>
        <color theme="1"/>
        <sz val="7.0"/>
      </rPr>
      <t>&lt; 0,002 mm</t>
    </r>
  </si>
  <si>
    <r>
      <rPr>
        <rFont val="Arial"/>
        <color theme="1"/>
        <sz val="8.0"/>
      </rPr>
      <t xml:space="preserve">pH </t>
    </r>
    <r>
      <rPr>
        <rFont val="Arial"/>
        <color theme="1"/>
        <sz val="7.0"/>
      </rPr>
      <t>(1:2,5)</t>
    </r>
  </si>
  <si>
    <r>
      <rPr>
        <rFont val="Arial"/>
        <color theme="1"/>
        <sz val="8.0"/>
      </rPr>
      <t xml:space="preserve">Complexo Sortivo  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</si>
  <si>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Valor V              </t>
    </r>
    <r>
      <rPr>
        <rFont val="Arial"/>
        <color theme="1"/>
        <sz val="7.0"/>
      </rPr>
      <t>(sat. por bases)     %</t>
    </r>
  </si>
  <si>
    <r>
      <rPr>
        <rFont val="Arial"/>
        <color theme="1"/>
        <sz val="8.0"/>
        <u/>
      </rPr>
      <t>100.Al</t>
    </r>
    <r>
      <rPr>
        <rFont val="Arial"/>
        <color theme="1"/>
        <sz val="9.0"/>
        <u/>
        <vertAlign val="superscript"/>
      </rPr>
      <t>3</t>
    </r>
    <r>
      <rPr>
        <rFont val="Arial"/>
        <color theme="1"/>
        <sz val="9.0"/>
        <u/>
        <vertAlign val="superscript"/>
      </rPr>
      <t>+</t>
    </r>
    <r>
      <rPr>
        <rFont val="Arial"/>
        <color theme="1"/>
        <sz val="8.0"/>
        <u/>
      </rPr>
      <t xml:space="preserve">                   S + Al</t>
    </r>
    <r>
      <rPr>
        <rFont val="Arial"/>
        <color theme="1"/>
        <sz val="9.0"/>
        <u/>
        <vertAlign val="superscript"/>
      </rPr>
      <t>3+</t>
    </r>
    <r>
      <rPr>
        <rFont val="Arial"/>
        <color theme="1"/>
        <sz val="8.0"/>
        <u/>
      </rPr>
      <t xml:space="preserve">    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</si>
  <si>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P   assimilável </t>
    </r>
    <r>
      <rPr>
        <rFont val="Arial"/>
        <color theme="1"/>
        <sz val="7.0"/>
      </rPr>
      <t>mg/kg</t>
    </r>
  </si>
  <si>
    <r>
      <rPr>
        <rFont val="Arial"/>
        <color theme="1"/>
        <sz val="8.0"/>
      </rPr>
      <t xml:space="preserve">KCl </t>
    </r>
    <r>
      <rPr>
        <rFont val="Arial"/>
        <color theme="1"/>
        <sz val="7.0"/>
      </rPr>
      <t>1N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</si>
  <si>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</si>
  <si>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</si>
  <si>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</si>
  <si>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</si>
  <si>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Valor S</t>
    </r>
    <r>
      <rPr>
        <rFont val="Arial"/>
        <color theme="1"/>
        <sz val="7.0"/>
      </rPr>
      <t xml:space="preserve"> (soma)</t>
    </r>
  </si>
  <si>
    <r>
      <rPr>
        <rFont val="Arial"/>
        <color theme="1"/>
        <sz val="8.0"/>
      </rPr>
      <t>Al</t>
    </r>
    <r>
      <rPr>
        <rFont val="Arial"/>
        <color theme="1"/>
        <sz val="9.0"/>
        <vertAlign val="superscript"/>
      </rPr>
      <t>3+</t>
    </r>
  </si>
  <si>
    <r>
      <rPr>
        <rFont val="Arial"/>
        <color theme="1"/>
        <sz val="8.0"/>
      </rPr>
      <t>H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</si>
  <si>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 xml:space="preserve">C </t>
    </r>
    <r>
      <rPr>
        <rFont val="Arial"/>
        <color theme="1"/>
        <sz val="7.0"/>
      </rPr>
      <t>(orgânico) g/kg</t>
    </r>
  </si>
  <si>
    <r>
      <rPr>
        <rFont val="Arial"/>
        <color theme="1"/>
        <sz val="8.0"/>
      </rPr>
      <t xml:space="preserve">N                  </t>
    </r>
    <r>
      <rPr>
        <rFont val="Arial"/>
        <color theme="1"/>
        <sz val="7.0"/>
      </rPr>
      <t>g/kg</t>
    </r>
  </si>
  <si>
    <r>
      <rPr>
        <rFont val="Arial"/>
        <color theme="1"/>
        <sz val="8.0"/>
      </rPr>
      <t xml:space="preserve">Ataque sulfúrico                                                                </t>
    </r>
    <r>
      <rPr>
        <rFont val="Arial"/>
        <color theme="1"/>
        <sz val="7.0"/>
      </rPr>
      <t xml:space="preserve"> g/kg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</si>
  <si>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livre </t>
    </r>
    <r>
      <rPr>
        <rFont val="Arial"/>
        <color theme="1"/>
        <sz val="8.0"/>
        <vertAlign val="subscript"/>
      </rPr>
      <t xml:space="preserve">                                                                       </t>
    </r>
    <r>
      <rPr>
        <rFont val="Arial"/>
        <color theme="1"/>
        <sz val="7.0"/>
      </rPr>
      <t xml:space="preserve">                 g/kg</t>
    </r>
  </si>
  <si>
    <r>
      <rPr>
        <rFont val="Arial"/>
        <color theme="1"/>
        <sz val="8.0"/>
      </rPr>
      <t>Equivalente          de       CaCO</t>
    </r>
    <r>
      <rPr>
        <rFont val="Arial"/>
        <color theme="1"/>
        <sz val="8.0"/>
        <vertAlign val="subscript"/>
      </rPr>
      <t xml:space="preserve">3   </t>
    </r>
    <r>
      <rPr>
        <rFont val="Arial"/>
        <color theme="1"/>
        <sz val="7.0"/>
      </rPr>
      <t xml:space="preserve">     g/kg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</si>
  <si>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</si>
  <si>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</si>
  <si>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</si>
  <si>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</rPr>
      <t>TiO</t>
    </r>
    <r>
      <rPr>
        <rFont val="Arial"/>
        <color theme="1"/>
        <sz val="8.0"/>
        <vertAlign val="subscript"/>
      </rPr>
      <t>2</t>
    </r>
  </si>
  <si>
    <r>
      <rPr>
        <rFont val="Arial"/>
        <color theme="1"/>
        <sz val="8.0"/>
      </rPr>
      <t>P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5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</si>
  <si>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  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7.0"/>
        <vertAlign val="subscript"/>
      </rPr>
      <t xml:space="preserve"> </t>
    </r>
    <r>
      <rPr>
        <rFont val="Arial"/>
        <color theme="1"/>
        <sz val="7.0"/>
      </rPr>
      <t>(Ki)</t>
    </r>
  </si>
  <si>
    <r>
      <rPr>
        <rFont val="Arial"/>
        <color theme="1"/>
        <sz val="8.0"/>
      </rPr>
      <t>SiO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/  R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 xml:space="preserve">   </t>
    </r>
    <r>
      <rPr>
        <rFont val="Arial"/>
        <color theme="1"/>
        <sz val="7.0"/>
      </rPr>
      <t>(Kr)</t>
    </r>
  </si>
  <si>
    <r>
      <rPr>
        <rFont val="Arial"/>
        <color theme="1"/>
        <sz val="8.0"/>
      </rPr>
      <t>Al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  <r>
      <rPr>
        <rFont val="Arial"/>
        <color theme="1"/>
        <sz val="8.0"/>
      </rPr>
      <t>/ Fe</t>
    </r>
    <r>
      <rPr>
        <rFont val="Arial"/>
        <color theme="1"/>
        <sz val="8.0"/>
        <vertAlign val="subscript"/>
      </rPr>
      <t>2</t>
    </r>
    <r>
      <rPr>
        <rFont val="Arial"/>
        <color theme="1"/>
        <sz val="8.0"/>
      </rPr>
      <t>O</t>
    </r>
    <r>
      <rPr>
        <rFont val="Arial"/>
        <color theme="1"/>
        <sz val="8.0"/>
        <vertAlign val="subscript"/>
      </rPr>
      <t>3</t>
    </r>
  </si>
  <si>
    <r>
      <rPr>
        <rFont val="Arial"/>
        <color theme="1"/>
        <sz val="8.0"/>
        <u/>
      </rPr>
      <t>100.Na</t>
    </r>
    <r>
      <rPr>
        <rFont val="Arial"/>
        <color theme="1"/>
        <sz val="8.0"/>
        <u/>
        <vertAlign val="superscript"/>
      </rPr>
      <t>+</t>
    </r>
    <r>
      <rPr>
        <rFont val="Arial"/>
        <color theme="1"/>
        <sz val="8.0"/>
        <u/>
      </rPr>
      <t xml:space="preserve">      T                </t>
    </r>
    <r>
      <rPr>
        <rFont val="Arial"/>
        <color theme="1"/>
        <sz val="7.0"/>
        <u/>
      </rPr>
      <t>%</t>
    </r>
  </si>
  <si>
    <r>
      <rPr>
        <rFont val="Arial"/>
        <color theme="1"/>
        <sz val="8.0"/>
      </rPr>
      <t xml:space="preserve">Sais solúveis                                                                                   </t>
    </r>
    <r>
      <rPr>
        <rFont val="Arial"/>
        <color theme="1"/>
        <sz val="7.0"/>
      </rPr>
      <t>cmol</t>
    </r>
    <r>
      <rPr>
        <rFont val="Arial"/>
        <color theme="1"/>
        <sz val="8.0"/>
        <vertAlign val="subscript"/>
      </rPr>
      <t>c</t>
    </r>
    <r>
      <rPr>
        <rFont val="Arial"/>
        <color theme="1"/>
        <sz val="7.0"/>
      </rPr>
      <t>/kg</t>
    </r>
  </si>
  <si>
    <r>
      <rPr>
        <rFont val="Arial"/>
        <color theme="1"/>
        <sz val="8.0"/>
      </rPr>
      <t xml:space="preserve">Constantes hídricas                                </t>
    </r>
    <r>
      <rPr>
        <rFont val="Arial"/>
        <color theme="1"/>
        <sz val="7.0"/>
      </rPr>
      <t>g/100g</t>
    </r>
  </si>
  <si>
    <r>
      <rPr>
        <rFont val="Arial"/>
        <color theme="1"/>
        <sz val="8.0"/>
      </rPr>
      <t xml:space="preserve">C.E. do extrato </t>
    </r>
    <r>
      <rPr>
        <rFont val="Arial"/>
        <color theme="1"/>
        <sz val="7.0"/>
      </rPr>
      <t>mS/cm 25</t>
    </r>
    <r>
      <rPr>
        <rFont val="Arial"/>
        <color theme="1"/>
        <sz val="7.0"/>
        <vertAlign val="superscript"/>
      </rPr>
      <t>o</t>
    </r>
    <r>
      <rPr>
        <rFont val="Arial"/>
        <color theme="1"/>
        <sz val="7.0"/>
      </rPr>
      <t>C</t>
    </r>
  </si>
  <si>
    <r>
      <rPr>
        <rFont val="Arial"/>
        <color theme="1"/>
        <sz val="8.0"/>
      </rPr>
      <t xml:space="preserve">Água </t>
    </r>
    <r>
      <rPr>
        <rFont val="Arial"/>
        <color theme="1"/>
        <sz val="7.0"/>
      </rPr>
      <t xml:space="preserve"> %</t>
    </r>
  </si>
  <si>
    <r>
      <rPr>
        <rFont val="Arial"/>
        <color theme="1"/>
        <sz val="8.0"/>
      </rPr>
      <t>Ca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</si>
  <si>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Mg</t>
    </r>
    <r>
      <rPr>
        <rFont val="Arial"/>
        <color theme="1"/>
        <sz val="9.0"/>
        <vertAlign val="superscript"/>
      </rPr>
      <t>2+</t>
    </r>
  </si>
  <si>
    <r>
      <rPr>
        <rFont val="Arial"/>
        <color theme="1"/>
        <sz val="8.0"/>
      </rPr>
      <t>K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</si>
  <si>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Na</t>
    </r>
    <r>
      <rPr>
        <rFont val="Arial"/>
        <color theme="1"/>
        <sz val="9.0"/>
        <vertAlign val="superscript"/>
      </rPr>
      <t>+</t>
    </r>
  </si>
  <si>
    <r>
      <rPr>
        <rFont val="Arial"/>
        <color theme="1"/>
        <sz val="8.0"/>
      </rPr>
      <t>HCO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10.0"/>
        <vertAlign val="superscript"/>
      </rPr>
      <t>-</t>
    </r>
    <r>
      <rPr>
        <rFont val="Arial"/>
        <color theme="1"/>
        <sz val="10.0"/>
      </rPr>
      <t xml:space="preserve"> </t>
    </r>
    <r>
      <rPr>
        <rFont val="Arial"/>
        <color theme="1"/>
        <sz val="8.0"/>
      </rPr>
      <t>CO</t>
    </r>
    <r>
      <rPr>
        <rFont val="Arial"/>
        <color theme="1"/>
        <sz val="9.0"/>
        <vertAlign val="subscript"/>
      </rPr>
      <t>3</t>
    </r>
    <r>
      <rPr>
        <rFont val="Arial"/>
        <color theme="1"/>
        <sz val="9.0"/>
        <vertAlign val="superscript"/>
      </rPr>
      <t>2</t>
    </r>
    <r>
      <rPr>
        <rFont val="Arial"/>
        <color theme="1"/>
        <sz val="10.0"/>
        <vertAlign val="superscript"/>
      </rPr>
      <t>-</t>
    </r>
  </si>
  <si>
    <r>
      <rPr>
        <rFont val="Arial"/>
        <color theme="1"/>
        <sz val="8.0"/>
      </rPr>
      <t>Cl</t>
    </r>
    <r>
      <rPr>
        <rFont val="Arial"/>
        <color theme="1"/>
        <sz val="9.0"/>
        <vertAlign val="superscript"/>
      </rPr>
      <t>-</t>
    </r>
  </si>
  <si>
    <r>
      <rPr>
        <rFont val="Arial"/>
        <color theme="1"/>
        <sz val="8.0"/>
      </rPr>
      <t>SO</t>
    </r>
    <r>
      <rPr>
        <rFont val="Arial"/>
        <color theme="1"/>
        <sz val="8.0"/>
        <vertAlign val="subscript"/>
      </rPr>
      <t>4</t>
    </r>
    <r>
      <rPr>
        <rFont val="Arial"/>
        <color theme="1"/>
        <sz val="9.0"/>
        <vertAlign val="superscript"/>
      </rPr>
      <t>2-</t>
    </r>
  </si>
  <si>
    <t>Resultados de CHN</t>
  </si>
  <si>
    <t>1- Fertilidade</t>
  </si>
  <si>
    <t>Solicitante:</t>
  </si>
  <si>
    <t>Entrada:</t>
  </si>
  <si>
    <t>Projeto:</t>
  </si>
  <si>
    <t>Saída:</t>
  </si>
  <si>
    <t>Analista:</t>
  </si>
  <si>
    <t>Marcelo Andrade (Matr.: 321016)</t>
  </si>
  <si>
    <t>Nº Am.:</t>
  </si>
  <si>
    <t>Nº DE LABORATÓRIO</t>
  </si>
  <si>
    <t>Amostra</t>
  </si>
  <si>
    <t>Prof.</t>
  </si>
  <si>
    <t>Nº</t>
  </si>
  <si>
    <t>CHN (%)</t>
  </si>
  <si>
    <t>C</t>
  </si>
  <si>
    <t>OBS: O Pesquisador solicitou a devolução das amostras ao término das análises.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</si>
</sst>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####"/>
    <numFmt numFmtId="166" formatCode="#,##0.0"/>
  </numFmts>
  <fonts count="30">
    <font>
      <sz val="10.0"/>
      <color rgb="FF000000"/>
      <name val="Calibri"/>
      <scheme val="minor"/>
    </font>
    <font>
      <sz val="11.0"/>
      <color theme="1"/>
      <name val="Calibri"/>
    </font>
    <font>
      <sz val="10.0"/>
      <color rgb="FF000000"/>
      <name val="Calibri"/>
    </font>
    <font>
      <b/>
      <u/>
      <sz val="16.0"/>
      <color theme="1"/>
      <name val="Calibri"/>
    </font>
    <font>
      <b/>
      <sz val="11.0"/>
      <color theme="1"/>
      <name val="Calibri"/>
    </font>
    <font>
      <b/>
      <u/>
      <sz val="12.0"/>
      <color theme="1"/>
      <name val="Calibri"/>
    </font>
    <font>
      <b/>
      <sz val="10.0"/>
      <color theme="1"/>
      <name val="Calibri"/>
    </font>
    <font/>
    <font>
      <b/>
      <sz val="8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sz val="8.0"/>
      <color rgb="FF0000FF"/>
      <name val="Arial"/>
    </font>
    <font>
      <sz val="8.0"/>
      <color rgb="FFFF0000"/>
      <name val="Arial"/>
    </font>
    <font>
      <sz val="8.0"/>
      <color theme="1"/>
      <name val="Arial"/>
    </font>
    <font>
      <sz val="9.0"/>
      <color theme="1"/>
      <name val="Arial"/>
    </font>
    <font>
      <sz val="9.0"/>
      <color rgb="FF0000FF"/>
      <name val="Arial"/>
    </font>
    <font>
      <sz val="9.0"/>
      <color rgb="FFFF0000"/>
      <name val="Arial"/>
    </font>
    <font>
      <u/>
      <sz val="8.0"/>
      <color theme="1"/>
      <name val="Arial"/>
    </font>
    <font>
      <u/>
      <sz val="8.0"/>
      <color theme="1"/>
      <name val="Arial"/>
    </font>
    <font>
      <b/>
      <sz val="12.0"/>
      <color theme="1"/>
      <name val="Times New Roman"/>
    </font>
    <font>
      <b/>
      <sz val="12.0"/>
      <color rgb="FF548DD4"/>
      <name val="Times New Roman"/>
    </font>
    <font>
      <sz val="12.0"/>
      <color theme="1"/>
      <name val="Times New Roman"/>
    </font>
    <font>
      <b/>
      <sz val="10.0"/>
      <color theme="1"/>
      <name val="Times New Roman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sz val="10.0"/>
      <color rgb="FF0070C0"/>
      <name val="Times New Roman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75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right style="medium">
        <color rgb="FF000000"/>
      </right>
    </border>
    <border>
      <left/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top/>
      <bottom/>
    </border>
    <border>
      <left/>
      <right/>
      <top/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49" xfId="0" applyFont="1" applyNumberFormat="1"/>
    <xf borderId="0" fillId="0" fontId="4" numFmtId="49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4" numFmtId="14" xfId="0" applyAlignment="1" applyFont="1" applyNumberFormat="1">
      <alignment horizontal="left"/>
    </xf>
    <xf borderId="0" fillId="0" fontId="1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1" fillId="0" fontId="4" numFmtId="0" xfId="0" applyBorder="1" applyFont="1"/>
    <xf borderId="2" fillId="2" fontId="6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5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/>
    </xf>
    <xf borderId="7" fillId="2" fontId="6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13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/>
    </xf>
    <xf borderId="18" fillId="2" fontId="6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center"/>
    </xf>
    <xf borderId="7" fillId="2" fontId="6" numFmtId="0" xfId="0" applyAlignment="1" applyBorder="1" applyFont="1">
      <alignment horizontal="center"/>
    </xf>
    <xf borderId="8" fillId="2" fontId="6" numFmtId="0" xfId="0" applyAlignment="1" applyBorder="1" applyFont="1">
      <alignment horizontal="center"/>
    </xf>
    <xf borderId="20" fillId="2" fontId="6" numFmtId="0" xfId="0" applyAlignment="1" applyBorder="1" applyFont="1">
      <alignment horizontal="center"/>
    </xf>
    <xf borderId="21" fillId="0" fontId="7" numFmtId="0" xfId="0" applyBorder="1" applyFont="1"/>
    <xf borderId="22" fillId="0" fontId="7" numFmtId="0" xfId="0" applyBorder="1" applyFont="1"/>
    <xf borderId="1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6" fillId="2" fontId="8" numFmtId="0" xfId="0" applyAlignment="1" applyBorder="1" applyFont="1">
      <alignment horizontal="center" vertical="center"/>
    </xf>
    <xf borderId="27" fillId="2" fontId="8" numFmtId="0" xfId="0" applyAlignment="1" applyBorder="1" applyFont="1">
      <alignment horizontal="center" vertical="center"/>
    </xf>
    <xf borderId="28" fillId="2" fontId="8" numFmtId="0" xfId="0" applyAlignment="1" applyBorder="1" applyFont="1">
      <alignment horizontal="center" vertical="center"/>
    </xf>
    <xf borderId="29" fillId="2" fontId="8" numFmtId="0" xfId="0" applyAlignment="1" applyBorder="1" applyFont="1">
      <alignment horizontal="center" vertical="center"/>
    </xf>
    <xf borderId="30" fillId="0" fontId="7" numFmtId="0" xfId="0" applyBorder="1" applyFont="1"/>
    <xf borderId="2" fillId="2" fontId="8" numFmtId="0" xfId="0" applyAlignment="1" applyBorder="1" applyFont="1">
      <alignment horizontal="center"/>
    </xf>
    <xf borderId="31" fillId="2" fontId="8" numFmtId="0" xfId="0" applyAlignment="1" applyBorder="1" applyFont="1">
      <alignment horizontal="center" vertical="center"/>
    </xf>
    <xf borderId="32" fillId="2" fontId="8" numFmtId="0" xfId="0" applyAlignment="1" applyBorder="1" applyFont="1">
      <alignment horizontal="center" vertical="center"/>
    </xf>
    <xf borderId="33" fillId="3" fontId="9" numFmtId="1" xfId="0" applyAlignment="1" applyBorder="1" applyFill="1" applyFont="1" applyNumberFormat="1">
      <alignment horizontal="center"/>
    </xf>
    <xf borderId="34" fillId="3" fontId="9" numFmtId="1" xfId="0" applyAlignment="1" applyBorder="1" applyFont="1" applyNumberFormat="1">
      <alignment horizontal="center"/>
    </xf>
    <xf borderId="35" fillId="3" fontId="9" numFmtId="1" xfId="0" applyAlignment="1" applyBorder="1" applyFont="1" applyNumberFormat="1">
      <alignment horizontal="center"/>
    </xf>
    <xf borderId="36" fillId="3" fontId="9" numFmtId="0" xfId="0" applyAlignment="1" applyBorder="1" applyFont="1">
      <alignment horizontal="center"/>
    </xf>
    <xf borderId="34" fillId="3" fontId="9" numFmtId="0" xfId="0" applyAlignment="1" applyBorder="1" applyFont="1">
      <alignment horizontal="center"/>
    </xf>
    <xf borderId="37" fillId="3" fontId="9" numFmtId="1" xfId="0" applyAlignment="1" applyBorder="1" applyFont="1" applyNumberFormat="1">
      <alignment horizontal="center"/>
    </xf>
    <xf borderId="37" fillId="3" fontId="9" numFmtId="2" xfId="0" applyAlignment="1" applyBorder="1" applyFont="1" applyNumberFormat="1">
      <alignment horizontal="center"/>
    </xf>
    <xf borderId="37" fillId="3" fontId="9" numFmtId="164" xfId="0" applyAlignment="1" applyBorder="1" applyFont="1" applyNumberFormat="1">
      <alignment horizontal="center"/>
    </xf>
    <xf borderId="38" fillId="3" fontId="9" numFmtId="1" xfId="0" applyAlignment="1" applyBorder="1" applyFont="1" applyNumberFormat="1">
      <alignment horizontal="center"/>
    </xf>
    <xf borderId="39" fillId="3" fontId="9" numFmtId="0" xfId="0" applyAlignment="1" applyBorder="1" applyFont="1">
      <alignment horizontal="center"/>
    </xf>
    <xf borderId="40" fillId="3" fontId="9" numFmtId="164" xfId="0" applyAlignment="1" applyBorder="1" applyFont="1" applyNumberFormat="1">
      <alignment horizontal="center"/>
    </xf>
    <xf borderId="41" fillId="0" fontId="7" numFmtId="0" xfId="0" applyBorder="1" applyFont="1"/>
    <xf borderId="33" fillId="4" fontId="9" numFmtId="1" xfId="0" applyAlignment="1" applyBorder="1" applyFill="1" applyFont="1" applyNumberFormat="1">
      <alignment horizontal="center"/>
    </xf>
    <xf borderId="34" fillId="4" fontId="9" numFmtId="1" xfId="0" applyAlignment="1" applyBorder="1" applyFont="1" applyNumberFormat="1">
      <alignment horizontal="center"/>
    </xf>
    <xf borderId="38" fillId="4" fontId="9" numFmtId="1" xfId="0" applyAlignment="1" applyBorder="1" applyFont="1" applyNumberFormat="1">
      <alignment horizontal="center"/>
    </xf>
    <xf borderId="39" fillId="4" fontId="9" numFmtId="0" xfId="0" applyAlignment="1" applyBorder="1" applyFont="1">
      <alignment horizontal="center"/>
    </xf>
    <xf borderId="34" fillId="4" fontId="9" numFmtId="0" xfId="0" applyAlignment="1" applyBorder="1" applyFont="1">
      <alignment horizontal="center"/>
    </xf>
    <xf borderId="37" fillId="4" fontId="9" numFmtId="1" xfId="0" applyAlignment="1" applyBorder="1" applyFont="1" applyNumberFormat="1">
      <alignment horizontal="center"/>
    </xf>
    <xf borderId="37" fillId="4" fontId="9" numFmtId="2" xfId="0" applyAlignment="1" applyBorder="1" applyFont="1" applyNumberFormat="1">
      <alignment horizontal="center"/>
    </xf>
    <xf borderId="37" fillId="4" fontId="9" numFmtId="164" xfId="0" applyAlignment="1" applyBorder="1" applyFont="1" applyNumberFormat="1">
      <alignment horizontal="center"/>
    </xf>
    <xf borderId="40" fillId="4" fontId="9" numFmtId="164" xfId="0" applyAlignment="1" applyBorder="1" applyFont="1" applyNumberFormat="1">
      <alignment horizontal="center"/>
    </xf>
    <xf borderId="0" fillId="0" fontId="10" numFmtId="49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vertical="center"/>
    </xf>
    <xf borderId="0" fillId="0" fontId="14" numFmtId="49" xfId="0" applyAlignment="1" applyFont="1" applyNumberFormat="1">
      <alignment vertical="center"/>
    </xf>
    <xf borderId="0" fillId="0" fontId="14" numFmtId="49" xfId="0" applyAlignment="1" applyFont="1" applyNumberForma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165" xfId="0" applyAlignment="1" applyFont="1" applyNumberFormat="1">
      <alignment horizontal="left" vertical="center"/>
    </xf>
    <xf borderId="0" fillId="0" fontId="14" numFmtId="49" xfId="0" applyAlignment="1" applyFont="1" applyNumberFormat="1">
      <alignment horizontal="center" vertical="center"/>
    </xf>
    <xf borderId="0" fillId="0" fontId="14" numFmtId="49" xfId="0" applyAlignment="1" applyFont="1" applyNumberFormat="1">
      <alignment horizontal="center" shrinkToFit="0" vertical="center" wrapText="1"/>
    </xf>
    <xf borderId="42" fillId="0" fontId="14" numFmtId="49" xfId="0" applyAlignment="1" applyBorder="1" applyFont="1" applyNumberFormat="1">
      <alignment horizontal="center" vertical="center"/>
    </xf>
    <xf borderId="42" fillId="0" fontId="7" numFmtId="0" xfId="0" applyBorder="1" applyFont="1"/>
    <xf borderId="43" fillId="0" fontId="13" numFmtId="49" xfId="0" applyAlignment="1" applyBorder="1" applyFont="1" applyNumberFormat="1">
      <alignment horizontal="center" shrinkToFit="0" vertical="center" wrapText="1"/>
    </xf>
    <xf borderId="44" fillId="0" fontId="7" numFmtId="0" xfId="0" applyBorder="1" applyFont="1"/>
    <xf borderId="45" fillId="0" fontId="7" numFmtId="0" xfId="0" applyBorder="1" applyFont="1"/>
    <xf borderId="46" fillId="0" fontId="13" numFmtId="49" xfId="0" applyAlignment="1" applyBorder="1" applyFont="1" applyNumberFormat="1">
      <alignment horizontal="center" shrinkToFit="0" vertical="center" wrapText="1"/>
    </xf>
    <xf borderId="45" fillId="0" fontId="13" numFmtId="49" xfId="0" applyAlignment="1" applyBorder="1" applyFont="1" applyNumberFormat="1">
      <alignment horizontal="center" shrinkToFit="0" vertical="center" wrapText="1"/>
    </xf>
    <xf borderId="47" fillId="0" fontId="7" numFmtId="0" xfId="0" applyBorder="1" applyFont="1"/>
    <xf borderId="48" fillId="0" fontId="7" numFmtId="0" xfId="0" applyBorder="1" applyFont="1"/>
    <xf borderId="49" fillId="0" fontId="7" numFmtId="0" xfId="0" applyBorder="1" applyFont="1"/>
    <xf borderId="50" fillId="0" fontId="7" numFmtId="0" xfId="0" applyBorder="1" applyFont="1"/>
    <xf borderId="51" fillId="0" fontId="7" numFmtId="0" xfId="0" applyBorder="1" applyFont="1"/>
    <xf borderId="0" fillId="0" fontId="11" numFmtId="0" xfId="0" applyFont="1"/>
    <xf borderId="44" fillId="0" fontId="13" numFmtId="49" xfId="0" applyAlignment="1" applyBorder="1" applyFont="1" applyNumberFormat="1">
      <alignment horizontal="center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52" fillId="0" fontId="7" numFmtId="0" xfId="0" applyBorder="1" applyFont="1"/>
    <xf borderId="46" fillId="0" fontId="13" numFmtId="0" xfId="0" applyAlignment="1" applyBorder="1" applyFont="1">
      <alignment horizontal="center"/>
    </xf>
    <xf borderId="46" fillId="0" fontId="13" numFmtId="4" xfId="0" applyAlignment="1" applyBorder="1" applyFont="1" applyNumberFormat="1">
      <alignment horizontal="center"/>
    </xf>
    <xf borderId="0" fillId="0" fontId="13" numFmtId="3" xfId="0" applyAlignment="1" applyFont="1" applyNumberFormat="1">
      <alignment horizontal="center" shrinkToFit="0" vertical="center" wrapText="1"/>
    </xf>
    <xf borderId="46" fillId="0" fontId="13" numFmtId="3" xfId="0" applyAlignment="1" applyBorder="1" applyFont="1" applyNumberFormat="1">
      <alignment horizontal="center" shrinkToFit="0" vertical="center" wrapText="1"/>
    </xf>
    <xf borderId="43" fillId="0" fontId="13" numFmtId="3" xfId="0" applyAlignment="1" applyBorder="1" applyFont="1" applyNumberFormat="1">
      <alignment horizontal="center" shrinkToFit="0" vertical="center" wrapText="1"/>
    </xf>
    <xf borderId="50" fillId="0" fontId="13" numFmtId="3" xfId="0" applyAlignment="1" applyBorder="1" applyFont="1" applyNumberFormat="1">
      <alignment horizontal="center" shrinkToFit="0" vertical="center" wrapText="1"/>
    </xf>
    <xf borderId="50" fillId="0" fontId="13" numFmtId="4" xfId="0" applyAlignment="1" applyBorder="1" applyFont="1" applyNumberFormat="1">
      <alignment horizontal="center" shrinkToFit="0" vertical="center" wrapText="1"/>
    </xf>
    <xf borderId="44" fillId="0" fontId="13" numFmtId="4" xfId="0" applyAlignment="1" applyBorder="1" applyFont="1" applyNumberFormat="1">
      <alignment horizontal="center" shrinkToFit="0" vertical="center" wrapText="1"/>
    </xf>
    <xf borderId="46" fillId="0" fontId="13" numFmtId="4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shrinkToFit="0" vertical="center" wrapText="1"/>
    </xf>
    <xf borderId="50" fillId="0" fontId="13" numFmtId="0" xfId="0" applyAlignment="1" applyBorder="1" applyFont="1">
      <alignment horizontal="center"/>
    </xf>
    <xf borderId="49" fillId="0" fontId="13" numFmtId="4" xfId="0" applyAlignment="1" applyBorder="1" applyFont="1" applyNumberFormat="1">
      <alignment horizontal="center"/>
    </xf>
    <xf borderId="49" fillId="0" fontId="13" numFmtId="3" xfId="0" applyAlignment="1" applyBorder="1" applyFont="1" applyNumberFormat="1">
      <alignment horizontal="center" shrinkToFit="0" vertical="center" wrapText="1"/>
    </xf>
    <xf borderId="0" fillId="0" fontId="13" numFmtId="4" xfId="0" applyAlignment="1" applyFont="1" applyNumberFormat="1">
      <alignment horizontal="center" shrinkToFit="0" vertical="center" wrapText="1"/>
    </xf>
    <xf borderId="49" fillId="0" fontId="13" numFmtId="4" xfId="0" applyAlignment="1" applyBorder="1" applyFont="1" applyNumberFormat="1">
      <alignment horizontal="center" shrinkToFit="0" vertical="center" wrapText="1"/>
    </xf>
    <xf borderId="52" fillId="0" fontId="13" numFmtId="0" xfId="0" applyAlignment="1" applyBorder="1" applyFont="1">
      <alignment horizontal="center"/>
    </xf>
    <xf borderId="52" fillId="0" fontId="13" numFmtId="4" xfId="0" applyAlignment="1" applyBorder="1" applyFont="1" applyNumberFormat="1">
      <alignment horizontal="center"/>
    </xf>
    <xf borderId="42" fillId="0" fontId="13" numFmtId="4" xfId="0" applyAlignment="1" applyBorder="1" applyFont="1" applyNumberFormat="1">
      <alignment horizontal="center" shrinkToFit="0" vertical="center" wrapText="1"/>
    </xf>
    <xf borderId="52" fillId="0" fontId="13" numFmtId="4" xfId="0" applyAlignment="1" applyBorder="1" applyFont="1" applyNumberFormat="1">
      <alignment horizontal="center" shrinkToFit="0" vertical="center" wrapText="1"/>
    </xf>
    <xf borderId="47" fillId="0" fontId="13" numFmtId="4" xfId="0" applyAlignment="1" applyBorder="1" applyFont="1" applyNumberFormat="1">
      <alignment horizontal="center" shrinkToFit="0" vertical="center" wrapText="1"/>
    </xf>
    <xf borderId="47" fillId="0" fontId="13" numFmtId="3" xfId="0" applyAlignment="1" applyBorder="1" applyFont="1" applyNumberFormat="1">
      <alignment horizontal="center" shrinkToFit="0" vertical="center" wrapText="1"/>
    </xf>
    <xf borderId="48" fillId="0" fontId="13" numFmtId="4" xfId="0" applyAlignment="1" applyBorder="1" applyFont="1" applyNumberFormat="1">
      <alignment horizontal="center" shrinkToFit="0" vertical="center" wrapText="1"/>
    </xf>
    <xf borderId="49" fillId="0" fontId="13" numFmtId="49" xfId="0" applyAlignment="1" applyBorder="1" applyFont="1" applyNumberFormat="1">
      <alignment horizontal="center" shrinkToFit="0" vertical="center" wrapText="1"/>
    </xf>
    <xf borderId="49" fillId="0" fontId="17" numFmtId="4" xfId="0" applyAlignment="1" applyBorder="1" applyFont="1" applyNumberFormat="1">
      <alignment horizontal="center" shrinkToFit="0" vertical="center" wrapText="1"/>
    </xf>
    <xf borderId="43" fillId="0" fontId="13" numFmtId="4" xfId="0" applyAlignment="1" applyBorder="1" applyFont="1" applyNumberFormat="1">
      <alignment horizontal="center" shrinkToFit="0" vertical="center" wrapText="1"/>
    </xf>
    <xf borderId="50" fillId="0" fontId="13" numFmtId="0" xfId="0" applyAlignment="1" applyBorder="1" applyFont="1">
      <alignment horizontal="center" shrinkToFit="0" vertical="center" wrapText="1"/>
    </xf>
    <xf borderId="49" fillId="0" fontId="13" numFmtId="166" xfId="0" applyAlignment="1" applyBorder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50" fillId="0" fontId="13" numFmtId="166" xfId="0" applyAlignment="1" applyBorder="1" applyFont="1" applyNumberFormat="1">
      <alignment horizontal="center" shrinkToFit="0" vertical="center" wrapText="1"/>
    </xf>
    <xf borderId="50" fillId="0" fontId="13" numFmtId="3" xfId="0" applyAlignment="1" applyBorder="1" applyFont="1" applyNumberFormat="1">
      <alignment horizontal="center" vertical="center"/>
    </xf>
    <xf borderId="51" fillId="0" fontId="13" numFmtId="3" xfId="0" applyAlignment="1" applyBorder="1" applyFont="1" applyNumberFormat="1">
      <alignment horizontal="center" shrinkToFit="0" vertical="center" wrapText="1"/>
    </xf>
    <xf borderId="0" fillId="0" fontId="11" numFmtId="166" xfId="0" applyAlignment="1" applyFont="1" applyNumberFormat="1">
      <alignment horizontal="center" shrinkToFit="0" vertical="center" wrapText="1"/>
    </xf>
    <xf borderId="43" fillId="0" fontId="13" numFmtId="4" xfId="0" applyAlignment="1" applyBorder="1" applyFont="1" applyNumberFormat="1">
      <alignment horizontal="center" shrinkToFit="0" vertical="top" wrapText="1"/>
    </xf>
    <xf borderId="46" fillId="0" fontId="18" numFmtId="4" xfId="0" applyAlignment="1" applyBorder="1" applyFont="1" applyNumberFormat="1">
      <alignment horizontal="center" shrinkToFit="0" vertical="center" wrapText="1"/>
    </xf>
    <xf borderId="53" fillId="0" fontId="13" numFmtId="4" xfId="0" applyAlignment="1" applyBorder="1" applyFont="1" applyNumberFormat="1">
      <alignment horizontal="center" shrinkToFit="0" vertical="center" wrapText="1"/>
    </xf>
    <xf borderId="54" fillId="0" fontId="7" numFmtId="0" xfId="0" applyBorder="1" applyFont="1"/>
    <xf borderId="55" fillId="0" fontId="7" numFmtId="0" xfId="0" applyBorder="1" applyFont="1"/>
    <xf borderId="47" fillId="0" fontId="13" numFmtId="0" xfId="0" applyAlignment="1" applyBorder="1" applyFont="1">
      <alignment horizontal="center" shrinkToFit="0" vertical="center" wrapText="1"/>
    </xf>
    <xf borderId="52" fillId="0" fontId="13" numFmtId="3" xfId="0" applyAlignment="1" applyBorder="1" applyFont="1" applyNumberFormat="1">
      <alignment horizontal="center" shrinkToFit="0" vertical="center" wrapText="1"/>
    </xf>
    <xf borderId="0" fillId="0" fontId="13" numFmtId="49" xfId="0" applyAlignment="1" applyFont="1" applyNumberFormat="1">
      <alignment horizontal="left" vertical="center"/>
    </xf>
    <xf borderId="0" fillId="0" fontId="13" numFmtId="49" xfId="0" applyAlignment="1" applyFont="1" applyNumberFormat="1">
      <alignment horizontal="center" vertical="center"/>
    </xf>
    <xf borderId="49" fillId="0" fontId="13" numFmtId="0" xfId="0" applyAlignment="1" applyBorder="1" applyFont="1">
      <alignment horizontal="center"/>
    </xf>
    <xf borderId="0" fillId="0" fontId="14" numFmtId="49" xfId="0" applyAlignment="1" applyFont="1" applyNumberFormat="1">
      <alignment horizontal="left" shrinkToFit="0" vertical="center" wrapText="1"/>
    </xf>
    <xf borderId="43" fillId="0" fontId="13" numFmtId="166" xfId="0" applyAlignment="1" applyBorder="1" applyFont="1" applyNumberFormat="1">
      <alignment horizontal="center" shrinkToFit="0" vertical="center" wrapText="1"/>
    </xf>
    <xf borderId="10" fillId="0" fontId="1" numFmtId="0" xfId="0" applyBorder="1" applyFont="1"/>
    <xf borderId="11" fillId="0" fontId="1" numFmtId="0" xfId="0" applyBorder="1" applyFont="1"/>
    <xf borderId="11" fillId="0" fontId="9" numFmtId="0" xfId="0" applyBorder="1" applyFont="1"/>
    <xf borderId="5" fillId="4" fontId="1" numFmtId="0" xfId="0" applyBorder="1" applyFont="1"/>
    <xf borderId="56" fillId="4" fontId="1" numFmtId="0" xfId="0" applyBorder="1" applyFont="1"/>
    <xf borderId="12" fillId="0" fontId="1" numFmtId="0" xfId="0" applyBorder="1" applyFont="1"/>
    <xf borderId="57" fillId="0" fontId="1" numFmtId="0" xfId="0" applyBorder="1" applyFont="1"/>
    <xf borderId="0" fillId="0" fontId="9" numFmtId="0" xfId="0" applyFont="1"/>
    <xf borderId="58" fillId="4" fontId="19" numFmtId="0" xfId="0" applyAlignment="1" applyBorder="1" applyFont="1">
      <alignment horizontal="center"/>
    </xf>
    <xf borderId="59" fillId="0" fontId="7" numFmtId="0" xfId="0" applyBorder="1" applyFont="1"/>
    <xf borderId="60" fillId="0" fontId="7" numFmtId="0" xfId="0" applyBorder="1" applyFont="1"/>
    <xf borderId="17" fillId="4" fontId="20" numFmtId="0" xfId="0" applyAlignment="1" applyBorder="1" applyFont="1">
      <alignment horizontal="center"/>
    </xf>
    <xf borderId="61" fillId="0" fontId="1" numFmtId="0" xfId="0" applyBorder="1" applyFont="1"/>
    <xf borderId="0" fillId="0" fontId="19" numFmtId="0" xfId="0" applyAlignment="1" applyFont="1">
      <alignment horizontal="left"/>
    </xf>
    <xf borderId="29" fillId="4" fontId="21" numFmtId="0" xfId="0" applyBorder="1" applyFont="1"/>
    <xf borderId="62" fillId="4" fontId="21" numFmtId="0" xfId="0" applyBorder="1" applyFont="1"/>
    <xf borderId="62" fillId="4" fontId="1" numFmtId="0" xfId="0" applyBorder="1" applyFont="1"/>
    <xf borderId="29" fillId="4" fontId="1" numFmtId="0" xfId="0" applyBorder="1" applyFont="1"/>
    <xf borderId="1" fillId="0" fontId="9" numFmtId="0" xfId="0" applyBorder="1" applyFont="1"/>
    <xf borderId="1" fillId="0" fontId="1" numFmtId="0" xfId="0" applyBorder="1" applyFont="1"/>
    <xf borderId="23" fillId="0" fontId="1" numFmtId="0" xfId="0" applyBorder="1" applyFont="1"/>
    <xf borderId="63" fillId="2" fontId="19" numFmtId="0" xfId="0" applyAlignment="1" applyBorder="1" applyFont="1">
      <alignment horizontal="center"/>
    </xf>
    <xf borderId="64" fillId="0" fontId="7" numFmtId="0" xfId="0" applyBorder="1" applyFont="1"/>
    <xf borderId="65" fillId="0" fontId="7" numFmtId="0" xfId="0" applyBorder="1" applyFont="1"/>
    <xf borderId="5" fillId="2" fontId="22" numFmtId="0" xfId="0" applyAlignment="1" applyBorder="1" applyFont="1">
      <alignment horizontal="left"/>
    </xf>
    <xf borderId="56" fillId="2" fontId="9" numFmtId="0" xfId="0" applyBorder="1" applyFont="1"/>
    <xf borderId="56" fillId="2" fontId="22" numFmtId="49" xfId="0" applyBorder="1" applyFont="1" applyNumberFormat="1"/>
    <xf borderId="56" fillId="2" fontId="23" numFmtId="0" xfId="0" applyBorder="1" applyFont="1"/>
    <xf borderId="17" fillId="2" fontId="22" numFmtId="0" xfId="0" applyBorder="1" applyFont="1"/>
    <xf borderId="66" fillId="2" fontId="22" numFmtId="14" xfId="0" applyAlignment="1" applyBorder="1" applyFont="1" applyNumberFormat="1">
      <alignment horizontal="left"/>
    </xf>
    <xf borderId="20" fillId="2" fontId="6" numFmtId="14" xfId="0" applyBorder="1" applyFont="1" applyNumberFormat="1"/>
    <xf borderId="56" fillId="2" fontId="24" numFmtId="0" xfId="0" applyBorder="1" applyFont="1"/>
    <xf borderId="17" fillId="2" fontId="22" numFmtId="0" xfId="0" applyAlignment="1" applyBorder="1" applyFont="1">
      <alignment horizontal="left"/>
    </xf>
    <xf borderId="67" fillId="2" fontId="9" numFmtId="0" xfId="0" applyBorder="1" applyFont="1"/>
    <xf borderId="67" fillId="2" fontId="22" numFmtId="0" xfId="0" applyBorder="1" applyFont="1"/>
    <xf borderId="67" fillId="2" fontId="25" numFmtId="0" xfId="0" applyBorder="1" applyFont="1"/>
    <xf borderId="66" fillId="2" fontId="26" numFmtId="14" xfId="0" applyAlignment="1" applyBorder="1" applyFont="1" applyNumberFormat="1">
      <alignment horizontal="left"/>
    </xf>
    <xf borderId="29" fillId="2" fontId="22" numFmtId="49" xfId="0" applyBorder="1" applyFont="1" applyNumberFormat="1"/>
    <xf borderId="62" fillId="2" fontId="25" numFmtId="49" xfId="0" applyBorder="1" applyFont="1" applyNumberFormat="1"/>
    <xf borderId="62" fillId="2" fontId="9" numFmtId="0" xfId="0" applyBorder="1" applyFont="1"/>
    <xf borderId="29" fillId="2" fontId="22" numFmtId="0" xfId="0" applyAlignment="1" applyBorder="1" applyFont="1">
      <alignment horizontal="left"/>
    </xf>
    <xf borderId="62" fillId="2" fontId="22" numFmtId="49" xfId="0" applyBorder="1" applyFont="1" applyNumberFormat="1"/>
    <xf borderId="62" fillId="2" fontId="25" numFmtId="0" xfId="0" applyBorder="1" applyFont="1"/>
    <xf borderId="29" fillId="2" fontId="22" numFmtId="0" xfId="0" applyBorder="1" applyFont="1"/>
    <xf borderId="62" fillId="2" fontId="22" numFmtId="0" xfId="0" applyAlignment="1" applyBorder="1" applyFont="1">
      <alignment horizontal="left"/>
    </xf>
    <xf borderId="62" fillId="2" fontId="22" numFmtId="0" xfId="0" applyAlignment="1" applyBorder="1" applyFont="1">
      <alignment horizontal="center"/>
    </xf>
    <xf borderId="31" fillId="2" fontId="22" numFmtId="0" xfId="0" applyBorder="1" applyFont="1"/>
    <xf borderId="63" fillId="5" fontId="22" numFmtId="0" xfId="0" applyAlignment="1" applyBorder="1" applyFill="1" applyFont="1">
      <alignment horizontal="center"/>
    </xf>
    <xf borderId="68" fillId="0" fontId="7" numFmtId="0" xfId="0" applyBorder="1" applyFont="1"/>
    <xf borderId="10" fillId="5" fontId="27" numFmtId="0" xfId="0" applyAlignment="1" applyBorder="1" applyFont="1">
      <alignment horizontal="center"/>
    </xf>
    <xf borderId="69" fillId="5" fontId="27" numFmtId="0" xfId="0" applyAlignment="1" applyBorder="1" applyFont="1">
      <alignment horizontal="center"/>
    </xf>
    <xf borderId="70" fillId="5" fontId="27" numFmtId="0" xfId="0" applyAlignment="1" applyBorder="1" applyFont="1">
      <alignment horizontal="center"/>
    </xf>
    <xf borderId="2" fillId="5" fontId="22" numFmtId="0" xfId="0" applyAlignment="1" applyBorder="1" applyFont="1">
      <alignment horizontal="center" vertical="center"/>
    </xf>
    <xf borderId="29" fillId="5" fontId="9" numFmtId="0" xfId="0" applyBorder="1" applyFont="1"/>
    <xf borderId="62" fillId="5" fontId="9" numFmtId="0" xfId="0" applyBorder="1" applyFont="1"/>
    <xf borderId="71" fillId="0" fontId="7" numFmtId="0" xfId="0" applyBorder="1" applyFont="1"/>
    <xf borderId="72" fillId="0" fontId="7" numFmtId="0" xfId="0" applyBorder="1" applyFont="1"/>
    <xf borderId="32" fillId="5" fontId="22" numFmtId="0" xfId="0" applyAlignment="1" applyBorder="1" applyFont="1">
      <alignment horizontal="center" vertical="center"/>
    </xf>
    <xf borderId="73" fillId="5" fontId="1" numFmtId="0" xfId="0" applyAlignment="1" applyBorder="1" applyFont="1">
      <alignment horizontal="center"/>
    </xf>
    <xf borderId="37" fillId="5" fontId="1" numFmtId="49" xfId="0" applyAlignment="1" applyBorder="1" applyFont="1" applyNumberFormat="1">
      <alignment horizontal="center"/>
    </xf>
    <xf borderId="37" fillId="5" fontId="1" numFmtId="0" xfId="0" applyAlignment="1" applyBorder="1" applyFont="1">
      <alignment horizontal="center"/>
    </xf>
    <xf borderId="37" fillId="5" fontId="1" numFmtId="3" xfId="0" applyAlignment="1" applyBorder="1" applyFont="1" applyNumberFormat="1">
      <alignment horizontal="center"/>
    </xf>
    <xf borderId="74" fillId="5" fontId="1" numFmtId="0" xfId="0" applyAlignment="1" applyBorder="1" applyFont="1">
      <alignment horizontal="center"/>
    </xf>
    <xf borderId="47" fillId="0" fontId="28" numFmtId="0" xfId="0" applyAlignment="1" applyBorder="1" applyFont="1">
      <alignment horizontal="center"/>
    </xf>
    <xf borderId="39" fillId="0" fontId="29" numFmtId="2" xfId="0" applyAlignment="1" applyBorder="1" applyFont="1" applyNumberFormat="1">
      <alignment horizontal="center" vertical="top"/>
    </xf>
    <xf borderId="53" fillId="0" fontId="28" numFmtId="0" xfId="0" applyAlignment="1" applyBorder="1" applyFont="1">
      <alignment horizontal="center"/>
    </xf>
    <xf borderId="52" fillId="0" fontId="29" numFmtId="2" xfId="0" applyAlignment="1" applyBorder="1" applyFont="1" applyNumberFormat="1">
      <alignment horizontal="center" vertical="top"/>
    </xf>
    <xf borderId="67" fillId="6" fontId="9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180975</xdr:rowOff>
    </xdr:from>
    <xdr:ext cx="1514475" cy="666750"/>
    <xdr:pic>
      <xdr:nvPicPr>
        <xdr:cNvPr descr="Marca_Sintese-300dpi" id="0" name="image2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0</xdr:row>
      <xdr:rowOff>161925</xdr:rowOff>
    </xdr:from>
    <xdr:ext cx="2276475" cy="6286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9525</xdr:rowOff>
    </xdr:from>
    <xdr:ext cx="1304925" cy="4762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428625</xdr:colOff>
      <xdr:row>0</xdr:row>
      <xdr:rowOff>0</xdr:rowOff>
    </xdr:from>
    <xdr:ext cx="1933575" cy="5810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295009/Desktop/01-LASP/02-Secretaria%20LASP/2022/Planilha%20de%20Resultados/Qu&#237;mica/Pedido%202022-33_G.%20Donagemma%20-%20Proj.%20Filtros_22.1130-1139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ntrada"/>
      <sheetName val="Resultados"/>
      <sheetName val="ML BX"/>
      <sheetName val="ML MR"/>
      <sheetName val="RG PV"/>
      <sheetName val="RG BP"/>
      <sheetName val="ML MP"/>
      <sheetName val="Plan6"/>
      <sheetName val="Plan7"/>
      <sheetName val="Plan8"/>
      <sheetName val="Plan9"/>
      <sheetName val="Plan10"/>
      <sheetName val="1-Prepar."/>
      <sheetName val="3-Gran."/>
      <sheetName val="4-pH"/>
      <sheetName val="5-CTC"/>
      <sheetName val="6-CTC"/>
      <sheetName val="7-N"/>
      <sheetName val="8-C"/>
      <sheetName val="12-Fator"/>
      <sheetName val="19-C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7.0" topLeftCell="I18" activePane="bottomRight" state="frozen"/>
      <selection activeCell="I1" sqref="I1" pane="topRight"/>
      <selection activeCell="A18" sqref="A18" pane="bottomLeft"/>
      <selection activeCell="I18" sqref="I18" pane="bottomRight"/>
    </sheetView>
  </sheetViews>
  <sheetFormatPr customHeight="1" defaultColWidth="14.43" defaultRowHeight="15.0"/>
  <cols>
    <col customWidth="1" min="1" max="1" width="3.29"/>
    <col customWidth="1" min="2" max="3" width="5.0"/>
    <col customWidth="1" min="4" max="4" width="6.43"/>
    <col customWidth="1" min="5" max="5" width="3.29"/>
    <col customWidth="1" min="6" max="6" width="4.43"/>
    <col customWidth="1" min="7" max="7" width="10.86"/>
    <col customWidth="1" min="8" max="8" width="7.14"/>
    <col customWidth="1" min="9" max="9" width="8.43"/>
    <col customWidth="1" min="10" max="10" width="9.43"/>
    <col customWidth="1" min="11" max="11" width="11.29"/>
    <col customWidth="1" min="12" max="12" width="9.14"/>
    <col customWidth="1" min="13" max="13" width="8.43"/>
    <col customWidth="1" min="14" max="14" width="8.57"/>
    <col customWidth="1" min="15" max="18" width="5.86"/>
    <col customWidth="1" min="19" max="19" width="6.71"/>
    <col customWidth="1" min="20" max="21" width="5.0"/>
    <col customWidth="1" min="22" max="22" width="6.86"/>
    <col customWidth="1" min="23" max="23" width="7.0"/>
    <col customWidth="1" min="24" max="24" width="7.43"/>
    <col customWidth="1" min="25" max="25" width="8.14"/>
    <col customWidth="1" min="26" max="26" width="6.0"/>
    <col customWidth="1" min="27" max="28" width="5.0"/>
    <col customWidth="1" min="29" max="29" width="17.57"/>
    <col customWidth="1" min="30" max="30" width="10.57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0" customHeight="1">
      <c r="A6" s="2"/>
      <c r="B6" s="4"/>
      <c r="C6" s="4"/>
      <c r="D6" s="5" t="s">
        <v>0</v>
      </c>
      <c r="E6" s="6" t="s"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6"/>
      <c r="Q6" s="4"/>
      <c r="R6" s="4"/>
      <c r="S6" s="4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5.0" customHeight="1">
      <c r="A7" s="2"/>
      <c r="B7" s="4"/>
      <c r="C7" s="4"/>
      <c r="D7" s="5" t="s">
        <v>2</v>
      </c>
      <c r="E7" s="4" t="s">
        <v>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.75" customHeight="1">
      <c r="A8" s="2"/>
      <c r="B8" s="4"/>
      <c r="C8" s="4"/>
      <c r="D8" s="5" t="s">
        <v>4</v>
      </c>
      <c r="E8" s="4" t="s">
        <v>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2"/>
      <c r="B9" s="4"/>
      <c r="C9" s="4"/>
      <c r="D9" s="5" t="s">
        <v>6</v>
      </c>
      <c r="E9" s="7" t="s">
        <v>7</v>
      </c>
      <c r="H9" s="8"/>
      <c r="I9" s="8"/>
      <c r="J9" s="8"/>
      <c r="K9" s="8"/>
      <c r="L9" s="8"/>
      <c r="M9" s="8"/>
      <c r="N9" s="4"/>
      <c r="O9" s="4"/>
      <c r="P9" s="4"/>
      <c r="Q9" s="4"/>
      <c r="R9" s="4"/>
      <c r="S9" s="4"/>
      <c r="T9" s="1"/>
      <c r="U9" s="1"/>
      <c r="V9" s="9"/>
      <c r="W9" s="9"/>
      <c r="X9" s="9"/>
      <c r="Y9" s="9"/>
      <c r="Z9" s="9"/>
      <c r="AA9" s="9"/>
      <c r="AB9" s="9"/>
      <c r="AC9" s="1"/>
      <c r="AD9" s="1"/>
    </row>
    <row r="10" ht="15.75" customHeight="1">
      <c r="A10" s="2"/>
      <c r="B10" s="4"/>
      <c r="C10" s="4"/>
      <c r="D10" s="5" t="s">
        <v>8</v>
      </c>
      <c r="E10" s="10">
        <v>44762.0</v>
      </c>
      <c r="H10" s="10"/>
      <c r="I10" s="10"/>
      <c r="J10" s="10"/>
      <c r="K10" s="10"/>
      <c r="L10" s="10"/>
      <c r="M10" s="10"/>
      <c r="N10" s="4"/>
      <c r="O10" s="4"/>
      <c r="P10" s="4"/>
      <c r="Q10" s="4"/>
      <c r="R10" s="4"/>
      <c r="S10" s="4"/>
      <c r="T10" s="1"/>
      <c r="U10" s="1"/>
      <c r="V10" s="11"/>
      <c r="W10" s="11"/>
      <c r="X10" s="11"/>
      <c r="Y10" s="11"/>
      <c r="Z10" s="11"/>
      <c r="AA10" s="11"/>
      <c r="AB10" s="11"/>
      <c r="AC10" s="1"/>
      <c r="AD10" s="1"/>
    </row>
    <row r="11" ht="15.75" customHeight="1">
      <c r="A11" s="2"/>
      <c r="B11" s="4"/>
      <c r="C11" s="4"/>
      <c r="D11" s="5" t="s">
        <v>9</v>
      </c>
      <c r="E11" s="10"/>
      <c r="H11" s="8"/>
      <c r="I11" s="8"/>
      <c r="J11" s="8"/>
      <c r="K11" s="8"/>
      <c r="L11" s="8"/>
      <c r="M11" s="8"/>
      <c r="N11" s="4"/>
      <c r="O11" s="4"/>
      <c r="P11" s="4"/>
      <c r="Q11" s="4"/>
      <c r="R11" s="4"/>
      <c r="S11" s="4"/>
      <c r="T11" s="1"/>
      <c r="U11" s="1"/>
      <c r="V11" s="9"/>
      <c r="W11" s="9"/>
      <c r="X11" s="9"/>
      <c r="Y11" s="9"/>
      <c r="Z11" s="9"/>
      <c r="AA11" s="9"/>
      <c r="AB11" s="9"/>
      <c r="AC11" s="1"/>
      <c r="AD11" s="1"/>
    </row>
    <row r="12" ht="15.75" customHeight="1">
      <c r="A12" s="1"/>
      <c r="B12" s="1"/>
      <c r="C12" s="1"/>
      <c r="D12" s="1"/>
      <c r="E12" s="11"/>
      <c r="F12" s="9"/>
      <c r="G12" s="9"/>
      <c r="H12" s="9"/>
      <c r="I12" s="9"/>
      <c r="J12" s="9"/>
      <c r="K12" s="9"/>
      <c r="L12" s="9"/>
      <c r="M12" s="9"/>
      <c r="N12" s="9"/>
      <c r="O12" s="4"/>
      <c r="P12" s="4"/>
      <c r="Q12" s="4"/>
      <c r="R12" s="4"/>
      <c r="S12" s="4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12" t="s">
        <v>10</v>
      </c>
      <c r="I13" s="9"/>
      <c r="J13" s="9"/>
      <c r="K13" s="9"/>
      <c r="L13" s="9"/>
      <c r="M13" s="9"/>
      <c r="N13" s="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.75" customHeight="1">
      <c r="A14" s="1"/>
      <c r="B14" s="1"/>
      <c r="C14" s="1"/>
      <c r="D14" s="1"/>
      <c r="E14" s="11"/>
      <c r="F14" s="9"/>
      <c r="G14" s="9"/>
      <c r="H14" s="9"/>
      <c r="I14" s="9"/>
      <c r="J14" s="9"/>
      <c r="K14" s="9"/>
      <c r="L14" s="9"/>
      <c r="M14" s="9"/>
      <c r="N14" s="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5.75" customHeight="1">
      <c r="A15" s="1"/>
      <c r="B15" s="1"/>
      <c r="C15" s="1"/>
      <c r="D15" s="1"/>
      <c r="E15" s="1"/>
      <c r="F15" s="1"/>
      <c r="G15" s="13"/>
      <c r="H15" s="13"/>
      <c r="I15" s="14" t="s">
        <v>11</v>
      </c>
      <c r="J15" s="15"/>
      <c r="K15" s="15"/>
      <c r="L15" s="16"/>
      <c r="M15" s="17" t="s">
        <v>12</v>
      </c>
      <c r="N15" s="18" t="s">
        <v>13</v>
      </c>
      <c r="O15" s="14" t="s">
        <v>14</v>
      </c>
      <c r="P15" s="15"/>
      <c r="Q15" s="15"/>
      <c r="R15" s="15"/>
      <c r="S15" s="15"/>
      <c r="T15" s="15"/>
      <c r="U15" s="15"/>
      <c r="V15" s="16"/>
      <c r="W15" s="19"/>
      <c r="X15" s="20" t="s">
        <v>15</v>
      </c>
      <c r="Y15" s="19"/>
      <c r="Z15" s="19"/>
      <c r="AA15" s="19"/>
      <c r="AB15" s="20"/>
      <c r="AC15" s="19" t="s">
        <v>16</v>
      </c>
      <c r="AD15" s="21" t="s">
        <v>17</v>
      </c>
    </row>
    <row r="16" ht="16.5" customHeight="1">
      <c r="A16" s="22" t="s">
        <v>18</v>
      </c>
      <c r="B16" s="23"/>
      <c r="C16" s="23"/>
      <c r="D16" s="23"/>
      <c r="E16" s="23"/>
      <c r="F16" s="24"/>
      <c r="G16" s="21" t="s">
        <v>19</v>
      </c>
      <c r="H16" s="25" t="s">
        <v>20</v>
      </c>
      <c r="I16" s="26" t="s">
        <v>21</v>
      </c>
      <c r="J16" s="27" t="s">
        <v>22</v>
      </c>
      <c r="K16" s="27" t="s">
        <v>23</v>
      </c>
      <c r="L16" s="28" t="s">
        <v>24</v>
      </c>
      <c r="M16" s="29" t="s">
        <v>25</v>
      </c>
      <c r="N16" s="30" t="s">
        <v>26</v>
      </c>
      <c r="O16" s="31" t="s">
        <v>27</v>
      </c>
      <c r="P16" s="31" t="s">
        <v>28</v>
      </c>
      <c r="Q16" s="32" t="s">
        <v>29</v>
      </c>
      <c r="R16" s="33" t="s">
        <v>30</v>
      </c>
      <c r="S16" s="33" t="s">
        <v>31</v>
      </c>
      <c r="T16" s="31" t="s">
        <v>32</v>
      </c>
      <c r="U16" s="33" t="s">
        <v>33</v>
      </c>
      <c r="V16" s="32" t="s">
        <v>34</v>
      </c>
      <c r="W16" s="34" t="s">
        <v>35</v>
      </c>
      <c r="X16" s="34" t="s">
        <v>36</v>
      </c>
      <c r="Y16" s="34" t="s">
        <v>37</v>
      </c>
      <c r="Z16" s="34" t="s">
        <v>38</v>
      </c>
      <c r="AA16" s="34" t="s">
        <v>39</v>
      </c>
      <c r="AB16" s="31" t="s">
        <v>40</v>
      </c>
      <c r="AC16" s="34" t="s">
        <v>41</v>
      </c>
      <c r="AD16" s="35"/>
    </row>
    <row r="17" ht="15.75" customHeight="1">
      <c r="A17" s="36"/>
      <c r="B17" s="37"/>
      <c r="C17" s="37"/>
      <c r="D17" s="37"/>
      <c r="E17" s="37"/>
      <c r="F17" s="38"/>
      <c r="G17" s="39"/>
      <c r="H17" s="40"/>
      <c r="I17" s="41" t="s">
        <v>42</v>
      </c>
      <c r="J17" s="42" t="s">
        <v>43</v>
      </c>
      <c r="K17" s="42" t="s">
        <v>44</v>
      </c>
      <c r="L17" s="43" t="s">
        <v>45</v>
      </c>
      <c r="M17" s="44"/>
      <c r="N17" s="45"/>
      <c r="O17" s="46" t="s">
        <v>46</v>
      </c>
      <c r="P17" s="15"/>
      <c r="Q17" s="15"/>
      <c r="R17" s="15"/>
      <c r="S17" s="15"/>
      <c r="T17" s="15"/>
      <c r="U17" s="15"/>
      <c r="V17" s="16"/>
      <c r="W17" s="47" t="s">
        <v>47</v>
      </c>
      <c r="X17" s="47" t="s">
        <v>48</v>
      </c>
      <c r="Y17" s="47" t="s">
        <v>49</v>
      </c>
      <c r="Z17" s="47" t="s">
        <v>50</v>
      </c>
      <c r="AA17" s="47" t="s">
        <v>50</v>
      </c>
      <c r="AB17" s="48"/>
      <c r="AC17" s="47"/>
      <c r="AD17" s="39"/>
    </row>
    <row r="18" ht="15.75" customHeight="1">
      <c r="A18" s="49">
        <v>2.0</v>
      </c>
      <c r="B18" s="50" t="s">
        <v>51</v>
      </c>
      <c r="C18" s="50">
        <v>2022.0</v>
      </c>
      <c r="D18" s="50" t="s">
        <v>52</v>
      </c>
      <c r="E18" s="50">
        <v>1.0</v>
      </c>
      <c r="F18" s="51">
        <v>10.0</v>
      </c>
      <c r="G18" s="52" t="s">
        <v>53</v>
      </c>
      <c r="H18" s="53" t="s">
        <v>54</v>
      </c>
      <c r="I18" s="54">
        <v>499.0</v>
      </c>
      <c r="J18" s="54">
        <v>94.0</v>
      </c>
      <c r="K18" s="54">
        <v>81.0</v>
      </c>
      <c r="L18" s="54">
        <v>326.0</v>
      </c>
      <c r="M18" s="55">
        <v>0.24846625766871167</v>
      </c>
      <c r="N18" s="56">
        <v>4.7</v>
      </c>
      <c r="O18" s="56">
        <v>0.6</v>
      </c>
      <c r="P18" s="56">
        <v>0.4</v>
      </c>
      <c r="Q18" s="55">
        <v>0.09</v>
      </c>
      <c r="R18" s="55">
        <v>0.02</v>
      </c>
      <c r="S18" s="56">
        <v>1.1</v>
      </c>
      <c r="T18" s="56">
        <v>0.6</v>
      </c>
      <c r="U18" s="56">
        <v>6.3</v>
      </c>
      <c r="V18" s="56">
        <v>8.0</v>
      </c>
      <c r="W18" s="54">
        <v>14.0</v>
      </c>
      <c r="X18" s="54">
        <v>35.0</v>
      </c>
      <c r="Y18" s="54">
        <v>2.0</v>
      </c>
      <c r="Z18" s="56">
        <v>16.4</v>
      </c>
      <c r="AA18" s="56">
        <v>1.6</v>
      </c>
      <c r="AB18" s="54">
        <v>10.0</v>
      </c>
      <c r="AC18" s="54" t="s">
        <v>55</v>
      </c>
      <c r="AD18" s="54" t="s">
        <v>56</v>
      </c>
    </row>
    <row r="19" ht="15.75" customHeight="1">
      <c r="A19" s="49">
        <v>2.0</v>
      </c>
      <c r="B19" s="50" t="s">
        <v>57</v>
      </c>
      <c r="C19" s="50">
        <v>2022.0</v>
      </c>
      <c r="D19" s="50" t="s">
        <v>52</v>
      </c>
      <c r="E19" s="50">
        <v>2.0</v>
      </c>
      <c r="F19" s="57">
        <v>10.0</v>
      </c>
      <c r="G19" s="58" t="s">
        <v>58</v>
      </c>
      <c r="H19" s="53" t="s">
        <v>59</v>
      </c>
      <c r="I19" s="54">
        <v>467.0</v>
      </c>
      <c r="J19" s="54">
        <v>108.0</v>
      </c>
      <c r="K19" s="54">
        <v>60.0</v>
      </c>
      <c r="L19" s="54">
        <v>365.0</v>
      </c>
      <c r="M19" s="55">
        <v>0.1643835616438356</v>
      </c>
      <c r="N19" s="56">
        <v>4.6</v>
      </c>
      <c r="O19" s="59">
        <v>0.3</v>
      </c>
      <c r="P19" s="60"/>
      <c r="Q19" s="55">
        <v>0.04</v>
      </c>
      <c r="R19" s="55">
        <v>0.02</v>
      </c>
      <c r="S19" s="56">
        <v>0.4</v>
      </c>
      <c r="T19" s="56">
        <v>0.8</v>
      </c>
      <c r="U19" s="56">
        <v>5.2</v>
      </c>
      <c r="V19" s="56">
        <v>6.4</v>
      </c>
      <c r="W19" s="54">
        <v>6.0</v>
      </c>
      <c r="X19" s="54">
        <v>67.0</v>
      </c>
      <c r="Y19" s="54">
        <v>1.0</v>
      </c>
      <c r="Z19" s="56">
        <v>11.7</v>
      </c>
      <c r="AA19" s="56">
        <v>0.8</v>
      </c>
      <c r="AB19" s="54">
        <v>15.0</v>
      </c>
      <c r="AC19" s="54" t="s">
        <v>60</v>
      </c>
      <c r="AD19" s="54" t="s">
        <v>61</v>
      </c>
    </row>
    <row r="20" ht="15.75" customHeight="1">
      <c r="A20" s="61">
        <v>2.0</v>
      </c>
      <c r="B20" s="62" t="s">
        <v>62</v>
      </c>
      <c r="C20" s="62">
        <v>2022.0</v>
      </c>
      <c r="D20" s="62" t="s">
        <v>52</v>
      </c>
      <c r="E20" s="62">
        <v>3.0</v>
      </c>
      <c r="F20" s="63">
        <v>10.0</v>
      </c>
      <c r="G20" s="64" t="s">
        <v>63</v>
      </c>
      <c r="H20" s="65" t="s">
        <v>54</v>
      </c>
      <c r="I20" s="66">
        <v>345.0</v>
      </c>
      <c r="J20" s="66">
        <v>75.0</v>
      </c>
      <c r="K20" s="66">
        <v>90.0</v>
      </c>
      <c r="L20" s="66">
        <v>490.0</v>
      </c>
      <c r="M20" s="67">
        <v>0.1836734693877551</v>
      </c>
      <c r="N20" s="68">
        <v>4.3</v>
      </c>
      <c r="O20" s="69">
        <v>0.2</v>
      </c>
      <c r="P20" s="60"/>
      <c r="Q20" s="67">
        <v>0.06</v>
      </c>
      <c r="R20" s="67">
        <v>0.03</v>
      </c>
      <c r="S20" s="68">
        <v>0.3</v>
      </c>
      <c r="T20" s="68">
        <v>1.3</v>
      </c>
      <c r="U20" s="68">
        <v>6.9</v>
      </c>
      <c r="V20" s="68">
        <v>8.5</v>
      </c>
      <c r="W20" s="66">
        <v>4.0</v>
      </c>
      <c r="X20" s="66">
        <v>81.0</v>
      </c>
      <c r="Y20" s="66">
        <v>2.0</v>
      </c>
      <c r="Z20" s="68">
        <v>14.7</v>
      </c>
      <c r="AA20" s="68">
        <v>1.4</v>
      </c>
      <c r="AB20" s="66">
        <v>10.0</v>
      </c>
      <c r="AC20" s="66" t="s">
        <v>64</v>
      </c>
      <c r="AD20" s="66" t="s">
        <v>61</v>
      </c>
    </row>
    <row r="21" ht="15.75" customHeight="1">
      <c r="A21" s="61">
        <v>2.0</v>
      </c>
      <c r="B21" s="62" t="s">
        <v>65</v>
      </c>
      <c r="C21" s="62">
        <v>2022.0</v>
      </c>
      <c r="D21" s="62" t="s">
        <v>52</v>
      </c>
      <c r="E21" s="62">
        <v>4.0</v>
      </c>
      <c r="F21" s="63">
        <v>10.0</v>
      </c>
      <c r="G21" s="64" t="s">
        <v>58</v>
      </c>
      <c r="H21" s="65" t="s">
        <v>59</v>
      </c>
      <c r="I21" s="66">
        <v>366.0</v>
      </c>
      <c r="J21" s="66">
        <v>67.0</v>
      </c>
      <c r="K21" s="66">
        <v>36.0</v>
      </c>
      <c r="L21" s="66">
        <v>531.0</v>
      </c>
      <c r="M21" s="67">
        <v>0.06779661016949153</v>
      </c>
      <c r="N21" s="68">
        <v>4.4</v>
      </c>
      <c r="O21" s="69">
        <v>0.0</v>
      </c>
      <c r="P21" s="60"/>
      <c r="Q21" s="67">
        <v>0.03</v>
      </c>
      <c r="R21" s="67">
        <v>0.02</v>
      </c>
      <c r="S21" s="68">
        <v>0.0</v>
      </c>
      <c r="T21" s="68">
        <v>1.0</v>
      </c>
      <c r="U21" s="68">
        <v>5.5</v>
      </c>
      <c r="V21" s="68">
        <v>6.5</v>
      </c>
      <c r="W21" s="66">
        <v>0.0</v>
      </c>
      <c r="X21" s="66">
        <v>100.0</v>
      </c>
      <c r="Y21" s="66">
        <v>1.0</v>
      </c>
      <c r="Z21" s="68">
        <v>10.1</v>
      </c>
      <c r="AA21" s="68">
        <v>1.0</v>
      </c>
      <c r="AB21" s="66">
        <v>10.0</v>
      </c>
      <c r="AC21" s="66" t="s">
        <v>64</v>
      </c>
      <c r="AD21" s="66" t="s">
        <v>61</v>
      </c>
    </row>
    <row r="22" ht="15.75" customHeight="1">
      <c r="A22" s="49">
        <v>2.0</v>
      </c>
      <c r="B22" s="50" t="s">
        <v>66</v>
      </c>
      <c r="C22" s="50">
        <v>2022.0</v>
      </c>
      <c r="D22" s="50" t="s">
        <v>52</v>
      </c>
      <c r="E22" s="50">
        <v>5.0</v>
      </c>
      <c r="F22" s="57">
        <v>10.0</v>
      </c>
      <c r="G22" s="58" t="s">
        <v>67</v>
      </c>
      <c r="H22" s="53" t="s">
        <v>54</v>
      </c>
      <c r="I22" s="54">
        <v>377.0</v>
      </c>
      <c r="J22" s="54">
        <v>214.0</v>
      </c>
      <c r="K22" s="54">
        <v>144.0</v>
      </c>
      <c r="L22" s="54">
        <v>265.0</v>
      </c>
      <c r="M22" s="55">
        <v>0.5433962264150943</v>
      </c>
      <c r="N22" s="56">
        <v>4.6</v>
      </c>
      <c r="O22" s="56">
        <v>0.8</v>
      </c>
      <c r="P22" s="56">
        <v>0.3</v>
      </c>
      <c r="Q22" s="55">
        <v>0.22</v>
      </c>
      <c r="R22" s="55">
        <v>0.06</v>
      </c>
      <c r="S22" s="56">
        <v>1.4</v>
      </c>
      <c r="T22" s="56">
        <v>0.9</v>
      </c>
      <c r="U22" s="56">
        <v>4.8</v>
      </c>
      <c r="V22" s="56">
        <v>7.1</v>
      </c>
      <c r="W22" s="54">
        <v>20.0</v>
      </c>
      <c r="X22" s="54">
        <v>39.0</v>
      </c>
      <c r="Y22" s="54">
        <v>2.0</v>
      </c>
      <c r="Z22" s="56">
        <v>10.4</v>
      </c>
      <c r="AA22" s="56">
        <v>1.3</v>
      </c>
      <c r="AB22" s="54">
        <v>8.0</v>
      </c>
      <c r="AC22" s="54" t="s">
        <v>55</v>
      </c>
      <c r="AD22" s="54" t="s">
        <v>56</v>
      </c>
    </row>
    <row r="23" ht="15.75" customHeight="1">
      <c r="A23" s="49">
        <v>2.0</v>
      </c>
      <c r="B23" s="50" t="s">
        <v>68</v>
      </c>
      <c r="C23" s="50">
        <v>2022.0</v>
      </c>
      <c r="D23" s="50" t="s">
        <v>52</v>
      </c>
      <c r="E23" s="50">
        <v>6.0</v>
      </c>
      <c r="F23" s="57">
        <v>10.0</v>
      </c>
      <c r="G23" s="58" t="s">
        <v>58</v>
      </c>
      <c r="H23" s="53" t="s">
        <v>59</v>
      </c>
      <c r="I23" s="54">
        <v>439.0</v>
      </c>
      <c r="J23" s="54">
        <v>185.0</v>
      </c>
      <c r="K23" s="54">
        <v>132.0</v>
      </c>
      <c r="L23" s="54">
        <v>244.0</v>
      </c>
      <c r="M23" s="55">
        <v>0.5409836065573771</v>
      </c>
      <c r="N23" s="56">
        <v>4.8</v>
      </c>
      <c r="O23" s="56">
        <v>0.7</v>
      </c>
      <c r="P23" s="56">
        <v>0.3</v>
      </c>
      <c r="Q23" s="55">
        <v>0.2</v>
      </c>
      <c r="R23" s="55">
        <v>0.05</v>
      </c>
      <c r="S23" s="56">
        <v>1.2</v>
      </c>
      <c r="T23" s="56">
        <v>0.8</v>
      </c>
      <c r="U23" s="56">
        <v>4.3</v>
      </c>
      <c r="V23" s="56">
        <v>6.3</v>
      </c>
      <c r="W23" s="54">
        <v>19.0</v>
      </c>
      <c r="X23" s="54">
        <v>40.0</v>
      </c>
      <c r="Y23" s="54">
        <v>2.0</v>
      </c>
      <c r="Z23" s="56">
        <v>8.6</v>
      </c>
      <c r="AA23" s="56">
        <v>1.1</v>
      </c>
      <c r="AB23" s="54">
        <v>8.0</v>
      </c>
      <c r="AC23" s="54" t="s">
        <v>55</v>
      </c>
      <c r="AD23" s="54" t="s">
        <v>56</v>
      </c>
    </row>
    <row r="24" ht="15.75" customHeight="1">
      <c r="A24" s="61">
        <v>2.0</v>
      </c>
      <c r="B24" s="62" t="s">
        <v>69</v>
      </c>
      <c r="C24" s="62">
        <v>2022.0</v>
      </c>
      <c r="D24" s="62" t="s">
        <v>52</v>
      </c>
      <c r="E24" s="62">
        <v>7.0</v>
      </c>
      <c r="F24" s="63">
        <v>10.0</v>
      </c>
      <c r="G24" s="64" t="s">
        <v>70</v>
      </c>
      <c r="H24" s="65" t="s">
        <v>54</v>
      </c>
      <c r="I24" s="66">
        <v>244.0</v>
      </c>
      <c r="J24" s="66">
        <v>150.0</v>
      </c>
      <c r="K24" s="66">
        <v>134.0</v>
      </c>
      <c r="L24" s="66">
        <v>472.0</v>
      </c>
      <c r="M24" s="67">
        <v>0.2838983050847458</v>
      </c>
      <c r="N24" s="68">
        <v>4.8</v>
      </c>
      <c r="O24" s="68">
        <v>0.9</v>
      </c>
      <c r="P24" s="68">
        <v>0.4</v>
      </c>
      <c r="Q24" s="67">
        <v>0.11</v>
      </c>
      <c r="R24" s="67">
        <v>0.04</v>
      </c>
      <c r="S24" s="68">
        <v>1.4</v>
      </c>
      <c r="T24" s="68">
        <v>0.6</v>
      </c>
      <c r="U24" s="68">
        <v>6.4</v>
      </c>
      <c r="V24" s="68">
        <v>8.4</v>
      </c>
      <c r="W24" s="66">
        <v>17.0</v>
      </c>
      <c r="X24" s="66">
        <v>30.0</v>
      </c>
      <c r="Y24" s="68">
        <v>1.0</v>
      </c>
      <c r="Z24" s="68">
        <v>12.8</v>
      </c>
      <c r="AA24" s="68">
        <v>1.2</v>
      </c>
      <c r="AB24" s="66">
        <v>11.0</v>
      </c>
      <c r="AC24" s="66" t="s">
        <v>64</v>
      </c>
      <c r="AD24" s="66" t="s">
        <v>56</v>
      </c>
    </row>
    <row r="25" ht="15.75" customHeight="1">
      <c r="A25" s="61">
        <v>2.0</v>
      </c>
      <c r="B25" s="62" t="s">
        <v>71</v>
      </c>
      <c r="C25" s="62">
        <v>2022.0</v>
      </c>
      <c r="D25" s="62" t="s">
        <v>52</v>
      </c>
      <c r="E25" s="62">
        <v>8.0</v>
      </c>
      <c r="F25" s="63">
        <v>10.0</v>
      </c>
      <c r="G25" s="64" t="s">
        <v>58</v>
      </c>
      <c r="H25" s="65" t="s">
        <v>59</v>
      </c>
      <c r="I25" s="66">
        <v>214.0</v>
      </c>
      <c r="J25" s="66">
        <v>140.0</v>
      </c>
      <c r="K25" s="66">
        <v>111.0</v>
      </c>
      <c r="L25" s="66">
        <v>535.0</v>
      </c>
      <c r="M25" s="67">
        <v>0.20747663551401868</v>
      </c>
      <c r="N25" s="68">
        <v>4.9</v>
      </c>
      <c r="O25" s="69">
        <v>0.7</v>
      </c>
      <c r="P25" s="60"/>
      <c r="Q25" s="67">
        <v>0.05</v>
      </c>
      <c r="R25" s="67">
        <v>0.03</v>
      </c>
      <c r="S25" s="68">
        <v>0.8</v>
      </c>
      <c r="T25" s="68">
        <v>0.5</v>
      </c>
      <c r="U25" s="68">
        <v>4.9</v>
      </c>
      <c r="V25" s="68">
        <v>6.2</v>
      </c>
      <c r="W25" s="66">
        <v>13.0</v>
      </c>
      <c r="X25" s="66">
        <v>38.0</v>
      </c>
      <c r="Y25" s="68">
        <v>1.0</v>
      </c>
      <c r="Z25" s="68">
        <v>7.9</v>
      </c>
      <c r="AA25" s="68">
        <v>1.1</v>
      </c>
      <c r="AB25" s="66">
        <v>7.0</v>
      </c>
      <c r="AC25" s="66" t="s">
        <v>64</v>
      </c>
      <c r="AD25" s="66" t="s">
        <v>56</v>
      </c>
    </row>
    <row r="26" ht="15.75" customHeight="1">
      <c r="A26" s="49">
        <v>2.0</v>
      </c>
      <c r="B26" s="50" t="s">
        <v>72</v>
      </c>
      <c r="C26" s="50">
        <v>2022.0</v>
      </c>
      <c r="D26" s="50" t="s">
        <v>52</v>
      </c>
      <c r="E26" s="50">
        <v>9.0</v>
      </c>
      <c r="F26" s="57">
        <v>10.0</v>
      </c>
      <c r="G26" s="58" t="s">
        <v>73</v>
      </c>
      <c r="H26" s="53" t="s">
        <v>54</v>
      </c>
      <c r="I26" s="54">
        <v>396.0</v>
      </c>
      <c r="J26" s="54">
        <v>137.0</v>
      </c>
      <c r="K26" s="54">
        <v>59.0</v>
      </c>
      <c r="L26" s="54">
        <v>408.0</v>
      </c>
      <c r="M26" s="55">
        <v>0.14460784313725492</v>
      </c>
      <c r="N26" s="56">
        <v>4.6</v>
      </c>
      <c r="O26" s="59">
        <v>0.0</v>
      </c>
      <c r="P26" s="60"/>
      <c r="Q26" s="55">
        <v>0.05</v>
      </c>
      <c r="R26" s="55">
        <v>0.03</v>
      </c>
      <c r="S26" s="56">
        <v>0.1</v>
      </c>
      <c r="T26" s="56">
        <v>1.3</v>
      </c>
      <c r="U26" s="56">
        <v>5.9</v>
      </c>
      <c r="V26" s="56">
        <v>7.3</v>
      </c>
      <c r="W26" s="54">
        <v>1.0</v>
      </c>
      <c r="X26" s="54">
        <v>93.0</v>
      </c>
      <c r="Y26" s="54">
        <v>1.0</v>
      </c>
      <c r="Z26" s="56">
        <v>9.3</v>
      </c>
      <c r="AA26" s="56">
        <v>0.9</v>
      </c>
      <c r="AB26" s="54">
        <v>10.0</v>
      </c>
      <c r="AC26" s="54" t="s">
        <v>60</v>
      </c>
      <c r="AD26" s="54" t="s">
        <v>61</v>
      </c>
    </row>
    <row r="27" ht="15.75" customHeight="1">
      <c r="A27" s="49">
        <v>2.0</v>
      </c>
      <c r="B27" s="50" t="s">
        <v>74</v>
      </c>
      <c r="C27" s="50">
        <v>2022.0</v>
      </c>
      <c r="D27" s="50" t="s">
        <v>52</v>
      </c>
      <c r="E27" s="50">
        <v>10.0</v>
      </c>
      <c r="F27" s="57">
        <v>10.0</v>
      </c>
      <c r="G27" s="58" t="s">
        <v>58</v>
      </c>
      <c r="H27" s="53" t="s">
        <v>59</v>
      </c>
      <c r="I27" s="54">
        <v>412.0</v>
      </c>
      <c r="J27" s="54">
        <v>130.0</v>
      </c>
      <c r="K27" s="54">
        <v>91.0</v>
      </c>
      <c r="L27" s="54">
        <v>367.0</v>
      </c>
      <c r="M27" s="55">
        <v>0.24795640326975477</v>
      </c>
      <c r="N27" s="56">
        <v>4.5</v>
      </c>
      <c r="O27" s="59">
        <v>0.0</v>
      </c>
      <c r="P27" s="60"/>
      <c r="Q27" s="55">
        <v>0.03</v>
      </c>
      <c r="R27" s="55">
        <v>0.02</v>
      </c>
      <c r="S27" s="56">
        <v>0.0</v>
      </c>
      <c r="T27" s="56">
        <v>1.3</v>
      </c>
      <c r="U27" s="56">
        <v>5.7</v>
      </c>
      <c r="V27" s="56">
        <v>7.0</v>
      </c>
      <c r="W27" s="54">
        <v>0.0</v>
      </c>
      <c r="X27" s="54">
        <v>100.0</v>
      </c>
      <c r="Y27" s="54">
        <v>1.0</v>
      </c>
      <c r="Z27" s="56">
        <v>12.1</v>
      </c>
      <c r="AA27" s="56">
        <v>1.0</v>
      </c>
      <c r="AB27" s="54">
        <v>12.0</v>
      </c>
      <c r="AC27" s="54" t="s">
        <v>60</v>
      </c>
      <c r="AD27" s="54" t="s">
        <v>61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8">
    <mergeCell ref="A16:F17"/>
    <mergeCell ref="G16:G17"/>
    <mergeCell ref="H16:H17"/>
    <mergeCell ref="N16:N17"/>
    <mergeCell ref="O19:P19"/>
    <mergeCell ref="O20:P20"/>
    <mergeCell ref="O21:P21"/>
    <mergeCell ref="O25:P25"/>
    <mergeCell ref="O26:P26"/>
    <mergeCell ref="O27:P27"/>
    <mergeCell ref="E9:G9"/>
    <mergeCell ref="E10:G10"/>
    <mergeCell ref="E11:G11"/>
    <mergeCell ref="A13:H13"/>
    <mergeCell ref="I15:L15"/>
    <mergeCell ref="O15:V15"/>
    <mergeCell ref="AD15:AD17"/>
    <mergeCell ref="O17:V17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0" t="s">
        <v>75</v>
      </c>
      <c r="S1" s="71"/>
      <c r="T1" s="71"/>
      <c r="U1" s="71"/>
      <c r="V1" s="72"/>
      <c r="W1" s="72"/>
      <c r="X1" s="73"/>
      <c r="Y1" s="73"/>
      <c r="Z1" s="73"/>
    </row>
    <row r="2" ht="5.25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  <c r="T2" s="71"/>
      <c r="U2" s="71"/>
      <c r="V2" s="72"/>
      <c r="W2" s="72"/>
      <c r="X2" s="73"/>
      <c r="Y2" s="73"/>
      <c r="Z2" s="73"/>
    </row>
    <row r="3" ht="12.0" customHeight="1">
      <c r="A3" s="74" t="s">
        <v>76</v>
      </c>
      <c r="B3" s="75"/>
      <c r="C3" s="75"/>
      <c r="D3" s="76"/>
      <c r="E3" s="76"/>
      <c r="F3" s="76"/>
      <c r="G3" s="76"/>
      <c r="H3" s="76"/>
      <c r="I3" s="76"/>
      <c r="J3" s="76"/>
      <c r="K3" s="76"/>
      <c r="M3" s="76"/>
      <c r="O3" s="76"/>
      <c r="P3" s="76"/>
      <c r="Q3" s="76"/>
      <c r="S3" s="77"/>
      <c r="T3" s="77"/>
      <c r="U3" s="77"/>
      <c r="V3" s="78"/>
      <c r="W3" s="78"/>
      <c r="X3" s="79"/>
      <c r="Y3" s="79"/>
      <c r="Z3" s="79"/>
    </row>
    <row r="4" ht="12.0" customHeight="1">
      <c r="A4" s="80" t="s">
        <v>77</v>
      </c>
      <c r="B4" s="81"/>
      <c r="C4" s="81"/>
      <c r="D4" s="82"/>
      <c r="E4" s="82"/>
      <c r="F4" s="82"/>
      <c r="G4" s="82"/>
      <c r="H4" s="82"/>
      <c r="I4" s="82"/>
      <c r="J4" s="82"/>
      <c r="K4" s="82"/>
      <c r="M4" s="82"/>
      <c r="O4" s="82"/>
      <c r="P4" s="82"/>
      <c r="Q4" s="82"/>
      <c r="S4" s="77"/>
      <c r="T4" s="77"/>
      <c r="U4" s="77"/>
      <c r="V4" s="78"/>
      <c r="W4" s="78"/>
      <c r="X4" s="79"/>
      <c r="Y4" s="79"/>
      <c r="Z4" s="79"/>
    </row>
    <row r="5" ht="12.0" customHeight="1">
      <c r="A5" s="74" t="s">
        <v>78</v>
      </c>
      <c r="B5" s="82"/>
      <c r="C5" s="82"/>
      <c r="D5" s="82"/>
      <c r="E5" s="82"/>
      <c r="F5" s="82"/>
      <c r="G5" s="82"/>
      <c r="H5" s="82"/>
      <c r="I5" s="82"/>
      <c r="J5" s="82"/>
      <c r="K5" s="82"/>
      <c r="M5" s="82"/>
      <c r="O5" s="81"/>
      <c r="P5" s="81"/>
      <c r="Q5" s="83"/>
      <c r="R5" s="84"/>
      <c r="S5" s="77"/>
      <c r="T5" s="77"/>
      <c r="U5" s="77"/>
      <c r="V5" s="78"/>
      <c r="W5" s="78"/>
      <c r="X5" s="79"/>
      <c r="Y5" s="79"/>
      <c r="Z5" s="79"/>
    </row>
    <row r="6" ht="12.0" customHeight="1">
      <c r="A6" s="85" t="s">
        <v>79</v>
      </c>
      <c r="B6" s="86"/>
      <c r="C6" s="85" t="s">
        <v>80</v>
      </c>
      <c r="D6" s="87"/>
      <c r="E6" s="86"/>
      <c r="F6" s="85" t="s">
        <v>81</v>
      </c>
      <c r="G6" s="87"/>
      <c r="H6" s="87"/>
      <c r="I6" s="86"/>
      <c r="J6" s="88" t="s">
        <v>82</v>
      </c>
      <c r="K6" s="85" t="s">
        <v>83</v>
      </c>
      <c r="L6" s="86"/>
      <c r="M6" s="85" t="s">
        <v>84</v>
      </c>
      <c r="N6" s="86"/>
      <c r="O6" s="89" t="s">
        <v>85</v>
      </c>
      <c r="P6" s="86"/>
      <c r="Q6" s="85" t="s">
        <v>86</v>
      </c>
      <c r="R6" s="86"/>
      <c r="S6" s="71"/>
      <c r="T6" s="71"/>
      <c r="U6" s="71"/>
      <c r="V6" s="72"/>
      <c r="W6" s="72"/>
      <c r="X6" s="73"/>
      <c r="Y6" s="73"/>
      <c r="Z6" s="73"/>
    </row>
    <row r="7" ht="19.5" customHeight="1">
      <c r="A7" s="90"/>
      <c r="B7" s="91"/>
      <c r="C7" s="90"/>
      <c r="D7" s="84"/>
      <c r="E7" s="91"/>
      <c r="F7" s="90"/>
      <c r="G7" s="84"/>
      <c r="H7" s="84"/>
      <c r="I7" s="91"/>
      <c r="J7" s="92"/>
      <c r="K7" s="93"/>
      <c r="L7" s="94"/>
      <c r="M7" s="93"/>
      <c r="N7" s="94"/>
      <c r="O7" s="84"/>
      <c r="P7" s="91"/>
      <c r="Q7" s="93"/>
      <c r="R7" s="94"/>
      <c r="S7" s="95"/>
      <c r="T7" s="71"/>
      <c r="U7" s="71"/>
      <c r="V7" s="72"/>
      <c r="W7" s="72"/>
      <c r="X7" s="73"/>
      <c r="Y7" s="73"/>
      <c r="Z7" s="73"/>
    </row>
    <row r="8" ht="12.0" customHeight="1">
      <c r="A8" s="88" t="s">
        <v>87</v>
      </c>
      <c r="B8" s="88" t="s">
        <v>88</v>
      </c>
      <c r="C8" s="88" t="s">
        <v>89</v>
      </c>
      <c r="D8" s="88" t="s">
        <v>90</v>
      </c>
      <c r="E8" s="88" t="s">
        <v>91</v>
      </c>
      <c r="F8" s="88" t="s">
        <v>92</v>
      </c>
      <c r="G8" s="88" t="s">
        <v>93</v>
      </c>
      <c r="H8" s="88" t="s">
        <v>94</v>
      </c>
      <c r="I8" s="88" t="s">
        <v>95</v>
      </c>
      <c r="J8" s="92"/>
      <c r="K8" s="93"/>
      <c r="L8" s="94"/>
      <c r="M8" s="93"/>
      <c r="N8" s="94"/>
      <c r="O8" s="96" t="s">
        <v>96</v>
      </c>
      <c r="P8" s="88" t="s">
        <v>97</v>
      </c>
      <c r="Q8" s="93"/>
      <c r="R8" s="94"/>
      <c r="S8" s="95"/>
      <c r="T8" s="95"/>
      <c r="U8" s="95"/>
      <c r="V8" s="72"/>
      <c r="W8" s="72"/>
      <c r="X8" s="73"/>
      <c r="Y8" s="73"/>
      <c r="Z8" s="73"/>
    </row>
    <row r="9" ht="12.0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3"/>
      <c r="L9" s="94"/>
      <c r="M9" s="93"/>
      <c r="N9" s="94"/>
      <c r="O9" s="94"/>
      <c r="P9" s="92"/>
      <c r="Q9" s="93"/>
      <c r="R9" s="94"/>
      <c r="S9" s="95"/>
      <c r="T9" s="71"/>
      <c r="U9" s="95"/>
      <c r="V9" s="72"/>
      <c r="W9" s="72"/>
      <c r="X9" s="73"/>
      <c r="Y9" s="73"/>
      <c r="Z9" s="97"/>
    </row>
    <row r="10" ht="14.25" customHeight="1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0"/>
      <c r="L10" s="91"/>
      <c r="M10" s="90"/>
      <c r="N10" s="91"/>
      <c r="O10" s="91"/>
      <c r="P10" s="98"/>
      <c r="Q10" s="90"/>
      <c r="R10" s="91"/>
      <c r="S10" s="71" t="s">
        <v>98</v>
      </c>
      <c r="T10" s="71" t="s">
        <v>98</v>
      </c>
      <c r="U10" s="71" t="s">
        <v>98</v>
      </c>
      <c r="V10" s="72"/>
      <c r="W10" s="72"/>
      <c r="X10" s="73"/>
      <c r="Y10" s="73"/>
      <c r="Z10" s="97"/>
    </row>
    <row r="11" ht="12.0" customHeight="1">
      <c r="A11" s="99" t="s">
        <v>99</v>
      </c>
      <c r="B11" s="100" t="s">
        <v>54</v>
      </c>
      <c r="C11" s="101" t="s">
        <v>99</v>
      </c>
      <c r="D11" s="102" t="s">
        <v>99</v>
      </c>
      <c r="E11" s="101" t="s">
        <v>99</v>
      </c>
      <c r="F11" s="102">
        <v>499.0</v>
      </c>
      <c r="G11" s="101">
        <v>94.0</v>
      </c>
      <c r="H11" s="102">
        <v>81.0</v>
      </c>
      <c r="I11" s="101">
        <v>326.0</v>
      </c>
      <c r="J11" s="103" t="s">
        <v>99</v>
      </c>
      <c r="K11" s="104" t="s">
        <v>99</v>
      </c>
      <c r="M11" s="105">
        <v>0.25</v>
      </c>
      <c r="N11" s="94"/>
      <c r="O11" s="106" t="s">
        <v>99</v>
      </c>
      <c r="P11" s="107" t="s">
        <v>99</v>
      </c>
      <c r="Q11" s="103" t="s">
        <v>99</v>
      </c>
      <c r="R11" s="86"/>
      <c r="S11" s="108">
        <v>1.0</v>
      </c>
      <c r="T11" s="108" t="s">
        <v>55</v>
      </c>
      <c r="U11" s="108" t="s">
        <v>55</v>
      </c>
      <c r="V11" s="109" t="s">
        <v>55</v>
      </c>
      <c r="W11" s="110"/>
      <c r="X11" s="73"/>
      <c r="Y11" s="73"/>
      <c r="Z11" s="97"/>
    </row>
    <row r="12" ht="12.0" customHeight="1">
      <c r="A12" s="111" t="s">
        <v>99</v>
      </c>
      <c r="B12" s="112" t="s">
        <v>59</v>
      </c>
      <c r="C12" s="101" t="s">
        <v>99</v>
      </c>
      <c r="D12" s="113" t="s">
        <v>99</v>
      </c>
      <c r="E12" s="113" t="s">
        <v>99</v>
      </c>
      <c r="F12" s="101">
        <v>467.0</v>
      </c>
      <c r="G12" s="113">
        <v>108.0</v>
      </c>
      <c r="H12" s="101">
        <v>60.0</v>
      </c>
      <c r="I12" s="113">
        <v>365.0</v>
      </c>
      <c r="J12" s="101" t="s">
        <v>99</v>
      </c>
      <c r="K12" s="104" t="s">
        <v>99</v>
      </c>
      <c r="L12" s="94"/>
      <c r="M12" s="114">
        <v>0.16</v>
      </c>
      <c r="O12" s="115" t="s">
        <v>99</v>
      </c>
      <c r="P12" s="114" t="s">
        <v>99</v>
      </c>
      <c r="Q12" s="104" t="s">
        <v>99</v>
      </c>
      <c r="R12" s="94"/>
      <c r="S12" s="108" t="s">
        <v>60</v>
      </c>
      <c r="T12" s="108" t="s">
        <v>60</v>
      </c>
      <c r="U12" s="108" t="s">
        <v>60</v>
      </c>
      <c r="V12" s="109" t="s">
        <v>60</v>
      </c>
      <c r="W12" s="72"/>
      <c r="X12" s="73"/>
      <c r="Y12" s="73"/>
      <c r="Z12" s="97"/>
    </row>
    <row r="13" ht="12.0" customHeight="1">
      <c r="A13" s="111" t="s">
        <v>99</v>
      </c>
      <c r="B13" s="112" t="s">
        <v>99</v>
      </c>
      <c r="C13" s="101" t="s">
        <v>99</v>
      </c>
      <c r="D13" s="113" t="s">
        <v>99</v>
      </c>
      <c r="E13" s="113" t="s">
        <v>99</v>
      </c>
      <c r="F13" s="101" t="s">
        <v>99</v>
      </c>
      <c r="G13" s="113" t="s">
        <v>99</v>
      </c>
      <c r="H13" s="101" t="s">
        <v>99</v>
      </c>
      <c r="I13" s="113" t="s">
        <v>99</v>
      </c>
      <c r="J13" s="101" t="s">
        <v>99</v>
      </c>
      <c r="K13" s="104" t="s">
        <v>99</v>
      </c>
      <c r="L13" s="94"/>
      <c r="M13" s="114" t="s">
        <v>99</v>
      </c>
      <c r="O13" s="115" t="s">
        <v>99</v>
      </c>
      <c r="P13" s="114" t="s">
        <v>99</v>
      </c>
      <c r="Q13" s="104" t="s">
        <v>99</v>
      </c>
      <c r="R13" s="94"/>
      <c r="S13" s="108" t="s">
        <v>99</v>
      </c>
      <c r="T13" s="108" t="s">
        <v>99</v>
      </c>
      <c r="U13" s="108" t="s">
        <v>99</v>
      </c>
      <c r="V13" s="109" t="s">
        <v>99</v>
      </c>
      <c r="W13" s="72"/>
      <c r="X13" s="73"/>
      <c r="Y13" s="73"/>
      <c r="Z13" s="97"/>
    </row>
    <row r="14" ht="12.0" customHeight="1">
      <c r="A14" s="111" t="s">
        <v>99</v>
      </c>
      <c r="B14" s="112" t="s">
        <v>99</v>
      </c>
      <c r="C14" s="101" t="s">
        <v>99</v>
      </c>
      <c r="D14" s="113" t="s">
        <v>99</v>
      </c>
      <c r="E14" s="113" t="s">
        <v>99</v>
      </c>
      <c r="F14" s="101" t="s">
        <v>99</v>
      </c>
      <c r="G14" s="113" t="s">
        <v>99</v>
      </c>
      <c r="H14" s="101" t="s">
        <v>99</v>
      </c>
      <c r="I14" s="113" t="s">
        <v>99</v>
      </c>
      <c r="J14" s="101" t="s">
        <v>99</v>
      </c>
      <c r="K14" s="104" t="s">
        <v>99</v>
      </c>
      <c r="L14" s="94"/>
      <c r="M14" s="114" t="s">
        <v>99</v>
      </c>
      <c r="O14" s="115" t="s">
        <v>99</v>
      </c>
      <c r="P14" s="114" t="s">
        <v>99</v>
      </c>
      <c r="Q14" s="104" t="s">
        <v>99</v>
      </c>
      <c r="R14" s="94"/>
      <c r="S14" s="108" t="s">
        <v>99</v>
      </c>
      <c r="T14" s="108" t="s">
        <v>99</v>
      </c>
      <c r="U14" s="108" t="s">
        <v>99</v>
      </c>
      <c r="V14" s="109" t="s">
        <v>99</v>
      </c>
      <c r="W14" s="72"/>
      <c r="X14" s="73"/>
      <c r="Y14" s="73"/>
      <c r="Z14" s="97"/>
    </row>
    <row r="15" ht="12.0" customHeight="1">
      <c r="A15" s="111" t="s">
        <v>99</v>
      </c>
      <c r="B15" s="112" t="s">
        <v>99</v>
      </c>
      <c r="C15" s="101" t="s">
        <v>99</v>
      </c>
      <c r="D15" s="113" t="s">
        <v>99</v>
      </c>
      <c r="E15" s="113" t="s">
        <v>99</v>
      </c>
      <c r="F15" s="101" t="s">
        <v>99</v>
      </c>
      <c r="G15" s="113" t="s">
        <v>99</v>
      </c>
      <c r="H15" s="101" t="s">
        <v>99</v>
      </c>
      <c r="I15" s="113" t="s">
        <v>99</v>
      </c>
      <c r="J15" s="101" t="s">
        <v>99</v>
      </c>
      <c r="K15" s="104" t="s">
        <v>99</v>
      </c>
      <c r="L15" s="94"/>
      <c r="M15" s="114" t="s">
        <v>99</v>
      </c>
      <c r="O15" s="115" t="s">
        <v>99</v>
      </c>
      <c r="P15" s="114" t="s">
        <v>99</v>
      </c>
      <c r="Q15" s="104" t="s">
        <v>99</v>
      </c>
      <c r="R15" s="94"/>
      <c r="S15" s="108" t="s">
        <v>99</v>
      </c>
      <c r="T15" s="108" t="s">
        <v>99</v>
      </c>
      <c r="U15" s="108" t="s">
        <v>99</v>
      </c>
      <c r="V15" s="109" t="s">
        <v>99</v>
      </c>
      <c r="W15" s="72"/>
      <c r="X15" s="73"/>
      <c r="Y15" s="73"/>
      <c r="Z15" s="97"/>
    </row>
    <row r="16" ht="12.0" customHeight="1">
      <c r="A16" s="111" t="s">
        <v>99</v>
      </c>
      <c r="B16" s="112" t="s">
        <v>99</v>
      </c>
      <c r="C16" s="101" t="s">
        <v>99</v>
      </c>
      <c r="D16" s="113" t="s">
        <v>99</v>
      </c>
      <c r="E16" s="113" t="s">
        <v>99</v>
      </c>
      <c r="F16" s="101" t="s">
        <v>99</v>
      </c>
      <c r="G16" s="113" t="s">
        <v>99</v>
      </c>
      <c r="H16" s="101" t="s">
        <v>99</v>
      </c>
      <c r="I16" s="113" t="s">
        <v>99</v>
      </c>
      <c r="J16" s="101" t="s">
        <v>99</v>
      </c>
      <c r="K16" s="104" t="s">
        <v>99</v>
      </c>
      <c r="L16" s="94"/>
      <c r="M16" s="114" t="s">
        <v>99</v>
      </c>
      <c r="O16" s="115" t="s">
        <v>99</v>
      </c>
      <c r="P16" s="114" t="s">
        <v>99</v>
      </c>
      <c r="Q16" s="104" t="s">
        <v>99</v>
      </c>
      <c r="R16" s="94"/>
      <c r="S16" s="108" t="s">
        <v>99</v>
      </c>
      <c r="T16" s="108" t="s">
        <v>99</v>
      </c>
      <c r="U16" s="108" t="s">
        <v>99</v>
      </c>
      <c r="V16" s="109" t="s">
        <v>99</v>
      </c>
      <c r="W16" s="72"/>
      <c r="X16" s="73"/>
      <c r="Y16" s="73"/>
      <c r="Z16" s="97"/>
    </row>
    <row r="17" ht="12.0" customHeight="1">
      <c r="A17" s="111" t="s">
        <v>99</v>
      </c>
      <c r="B17" s="112" t="s">
        <v>99</v>
      </c>
      <c r="C17" s="114" t="s">
        <v>99</v>
      </c>
      <c r="D17" s="115" t="s">
        <v>99</v>
      </c>
      <c r="E17" s="115" t="s">
        <v>99</v>
      </c>
      <c r="F17" s="101" t="s">
        <v>99</v>
      </c>
      <c r="G17" s="113" t="s">
        <v>99</v>
      </c>
      <c r="H17" s="101" t="s">
        <v>99</v>
      </c>
      <c r="I17" s="113" t="s">
        <v>99</v>
      </c>
      <c r="J17" s="101" t="s">
        <v>99</v>
      </c>
      <c r="K17" s="104" t="s">
        <v>99</v>
      </c>
      <c r="L17" s="94"/>
      <c r="M17" s="114" t="s">
        <v>99</v>
      </c>
      <c r="O17" s="115" t="s">
        <v>99</v>
      </c>
      <c r="P17" s="114" t="s">
        <v>99</v>
      </c>
      <c r="Q17" s="104" t="s">
        <v>99</v>
      </c>
      <c r="R17" s="94"/>
      <c r="S17" s="108" t="s">
        <v>99</v>
      </c>
      <c r="T17" s="108" t="s">
        <v>99</v>
      </c>
      <c r="U17" s="108" t="s">
        <v>99</v>
      </c>
      <c r="V17" s="109" t="s">
        <v>99</v>
      </c>
      <c r="W17" s="72"/>
      <c r="X17" s="73"/>
      <c r="Y17" s="73"/>
      <c r="Z17" s="97"/>
    </row>
    <row r="18" ht="12.0" customHeight="1">
      <c r="A18" s="111" t="s">
        <v>99</v>
      </c>
      <c r="B18" s="112" t="s">
        <v>99</v>
      </c>
      <c r="C18" s="114" t="s">
        <v>99</v>
      </c>
      <c r="D18" s="115" t="s">
        <v>99</v>
      </c>
      <c r="E18" s="115" t="s">
        <v>99</v>
      </c>
      <c r="F18" s="114" t="s">
        <v>99</v>
      </c>
      <c r="G18" s="115" t="s">
        <v>99</v>
      </c>
      <c r="H18" s="114" t="s">
        <v>99</v>
      </c>
      <c r="I18" s="115" t="s">
        <v>99</v>
      </c>
      <c r="J18" s="114" t="s">
        <v>99</v>
      </c>
      <c r="K18" s="104" t="s">
        <v>99</v>
      </c>
      <c r="L18" s="94"/>
      <c r="M18" s="114" t="s">
        <v>99</v>
      </c>
      <c r="O18" s="115" t="s">
        <v>99</v>
      </c>
      <c r="P18" s="114" t="s">
        <v>99</v>
      </c>
      <c r="Q18" s="104" t="s">
        <v>99</v>
      </c>
      <c r="R18" s="94"/>
      <c r="S18" s="108" t="s">
        <v>99</v>
      </c>
      <c r="T18" s="108" t="s">
        <v>99</v>
      </c>
      <c r="U18" s="108" t="s">
        <v>99</v>
      </c>
      <c r="V18" s="109" t="s">
        <v>99</v>
      </c>
      <c r="W18" s="72"/>
      <c r="X18" s="73"/>
      <c r="Y18" s="73"/>
      <c r="Z18" s="97"/>
    </row>
    <row r="19" ht="12.0" customHeight="1">
      <c r="A19" s="116" t="s">
        <v>99</v>
      </c>
      <c r="B19" s="117" t="s">
        <v>99</v>
      </c>
      <c r="C19" s="118" t="s">
        <v>99</v>
      </c>
      <c r="D19" s="119" t="s">
        <v>99</v>
      </c>
      <c r="E19" s="118" t="s">
        <v>99</v>
      </c>
      <c r="F19" s="119" t="s">
        <v>99</v>
      </c>
      <c r="G19" s="118" t="s">
        <v>99</v>
      </c>
      <c r="H19" s="119" t="s">
        <v>99</v>
      </c>
      <c r="I19" s="118" t="s">
        <v>99</v>
      </c>
      <c r="J19" s="120" t="s">
        <v>99</v>
      </c>
      <c r="K19" s="121" t="s">
        <v>99</v>
      </c>
      <c r="L19" s="84"/>
      <c r="M19" s="120" t="s">
        <v>99</v>
      </c>
      <c r="N19" s="91"/>
      <c r="O19" s="122" t="s">
        <v>99</v>
      </c>
      <c r="P19" s="119" t="s">
        <v>99</v>
      </c>
      <c r="Q19" s="121" t="s">
        <v>99</v>
      </c>
      <c r="R19" s="91"/>
      <c r="S19" s="108" t="s">
        <v>99</v>
      </c>
      <c r="T19" s="108" t="s">
        <v>99</v>
      </c>
      <c r="U19" s="108" t="s">
        <v>99</v>
      </c>
      <c r="V19" s="109" t="s">
        <v>99</v>
      </c>
      <c r="W19" s="72"/>
      <c r="X19" s="73"/>
      <c r="Y19" s="73"/>
      <c r="Z19" s="97"/>
    </row>
    <row r="20" ht="12.0" customHeight="1">
      <c r="A20" s="123" t="s">
        <v>79</v>
      </c>
      <c r="B20" s="105" t="s">
        <v>100</v>
      </c>
      <c r="C20" s="94"/>
      <c r="D20" s="105" t="s">
        <v>101</v>
      </c>
      <c r="L20" s="94"/>
      <c r="M20" s="105" t="s">
        <v>102</v>
      </c>
      <c r="O20" s="94"/>
      <c r="P20" s="124" t="s">
        <v>103</v>
      </c>
      <c r="Q20" s="105" t="s">
        <v>104</v>
      </c>
      <c r="R20" s="94"/>
      <c r="S20" s="71"/>
      <c r="T20" s="71"/>
      <c r="U20" s="95"/>
      <c r="V20" s="72"/>
      <c r="W20" s="72"/>
      <c r="X20" s="73"/>
      <c r="Y20" s="73"/>
      <c r="Z20" s="97"/>
    </row>
    <row r="21" ht="9.75" customHeight="1">
      <c r="A21" s="92"/>
      <c r="B21" s="90"/>
      <c r="C21" s="91"/>
      <c r="D21" s="90"/>
      <c r="E21" s="84"/>
      <c r="F21" s="84"/>
      <c r="G21" s="84"/>
      <c r="H21" s="84"/>
      <c r="I21" s="84"/>
      <c r="J21" s="84"/>
      <c r="K21" s="84"/>
      <c r="L21" s="91"/>
      <c r="M21" s="93"/>
      <c r="O21" s="94"/>
      <c r="P21" s="92"/>
      <c r="Q21" s="93"/>
      <c r="R21" s="94"/>
      <c r="S21" s="71"/>
      <c r="T21" s="71"/>
      <c r="U21" s="95"/>
      <c r="V21" s="72"/>
      <c r="W21" s="72"/>
      <c r="X21" s="73"/>
      <c r="Y21" s="73"/>
      <c r="Z21" s="73"/>
    </row>
    <row r="22" ht="9.75" customHeight="1">
      <c r="A22" s="92"/>
      <c r="B22" s="107" t="s">
        <v>105</v>
      </c>
      <c r="C22" s="107" t="s">
        <v>106</v>
      </c>
      <c r="D22" s="107" t="s">
        <v>107</v>
      </c>
      <c r="E22" s="107" t="s">
        <v>108</v>
      </c>
      <c r="F22" s="107" t="s">
        <v>109</v>
      </c>
      <c r="G22" s="107" t="s">
        <v>110</v>
      </c>
      <c r="H22" s="107" t="s">
        <v>111</v>
      </c>
      <c r="I22" s="107" t="s">
        <v>112</v>
      </c>
      <c r="J22" s="107" t="s">
        <v>113</v>
      </c>
      <c r="K22" s="125" t="s">
        <v>114</v>
      </c>
      <c r="L22" s="86"/>
      <c r="M22" s="93"/>
      <c r="O22" s="94"/>
      <c r="P22" s="92"/>
      <c r="Q22" s="93"/>
      <c r="R22" s="94"/>
      <c r="S22" s="71"/>
      <c r="T22" s="71"/>
      <c r="U22" s="71"/>
      <c r="V22" s="72"/>
      <c r="W22" s="72"/>
      <c r="X22" s="73"/>
      <c r="Y22" s="73"/>
      <c r="Z22" s="97"/>
    </row>
    <row r="23" ht="11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0"/>
      <c r="L23" s="91"/>
      <c r="M23" s="90"/>
      <c r="N23" s="84"/>
      <c r="O23" s="91"/>
      <c r="P23" s="98"/>
      <c r="Q23" s="90"/>
      <c r="R23" s="91"/>
      <c r="S23" s="71" t="s">
        <v>98</v>
      </c>
      <c r="T23" s="71" t="s">
        <v>98</v>
      </c>
      <c r="U23" s="71"/>
      <c r="V23" s="72"/>
      <c r="W23" s="72"/>
      <c r="X23" s="73"/>
      <c r="Y23" s="73"/>
      <c r="Z23" s="97"/>
    </row>
    <row r="24" ht="12.0" customHeight="1">
      <c r="A24" s="126" t="s">
        <v>99</v>
      </c>
      <c r="B24" s="127">
        <v>4.7</v>
      </c>
      <c r="C24" s="128" t="s">
        <v>115</v>
      </c>
      <c r="D24" s="127">
        <v>0.6</v>
      </c>
      <c r="E24" s="128">
        <v>0.4</v>
      </c>
      <c r="F24" s="115">
        <v>0.09</v>
      </c>
      <c r="G24" s="115">
        <v>0.02</v>
      </c>
      <c r="H24" s="127">
        <v>1.1</v>
      </c>
      <c r="I24" s="128">
        <v>0.6</v>
      </c>
      <c r="J24" s="127">
        <v>6.3</v>
      </c>
      <c r="K24" s="129">
        <v>8.0</v>
      </c>
      <c r="L24" s="94"/>
      <c r="M24" s="130">
        <v>14.0</v>
      </c>
      <c r="O24" s="94"/>
      <c r="P24" s="131">
        <v>35.0</v>
      </c>
      <c r="Q24" s="104">
        <v>2.0</v>
      </c>
      <c r="R24" s="94"/>
      <c r="S24" s="71">
        <v>1.1</v>
      </c>
      <c r="T24" s="71">
        <v>1.1</v>
      </c>
      <c r="U24" s="71"/>
      <c r="V24" s="72" t="s">
        <v>56</v>
      </c>
      <c r="W24" s="72" t="str">
        <f t="shared" ref="W24:W32" si="1">IF(OR(H24="",I24="",I11="",M24=""),"",IF(1000*(H24+I24)/I11&gt;1.5,"",IF(C24&gt;=5,"ácrico",IF(C24-B24&gt;=0,"ácrico",""))))</f>
        <v/>
      </c>
      <c r="X24" s="73"/>
      <c r="Y24" s="73"/>
      <c r="Z24" s="97"/>
    </row>
    <row r="25" ht="12.0" customHeight="1">
      <c r="A25" s="126" t="s">
        <v>99</v>
      </c>
      <c r="B25" s="127">
        <v>4.6</v>
      </c>
      <c r="C25" s="128" t="s">
        <v>115</v>
      </c>
      <c r="D25" s="129">
        <v>0.3</v>
      </c>
      <c r="E25" s="94"/>
      <c r="F25" s="115">
        <v>0.04</v>
      </c>
      <c r="G25" s="115">
        <v>0.02</v>
      </c>
      <c r="H25" s="127">
        <v>0.4</v>
      </c>
      <c r="I25" s="128">
        <v>0.8</v>
      </c>
      <c r="J25" s="127">
        <v>5.2</v>
      </c>
      <c r="K25" s="129">
        <v>6.4</v>
      </c>
      <c r="L25" s="94"/>
      <c r="M25" s="130">
        <v>6.0</v>
      </c>
      <c r="O25" s="94"/>
      <c r="P25" s="131">
        <v>67.0</v>
      </c>
      <c r="Q25" s="104">
        <v>1.0</v>
      </c>
      <c r="R25" s="94"/>
      <c r="S25" s="71" t="s">
        <v>39</v>
      </c>
      <c r="T25" s="132">
        <v>0.4</v>
      </c>
      <c r="U25" s="71"/>
      <c r="V25" s="72" t="s">
        <v>61</v>
      </c>
      <c r="W25" s="72" t="str">
        <f t="shared" si="1"/>
        <v/>
      </c>
      <c r="X25" s="73"/>
      <c r="Y25" s="73"/>
      <c r="Z25" s="97"/>
    </row>
    <row r="26" ht="12.0" customHeight="1">
      <c r="A26" s="126" t="s">
        <v>99</v>
      </c>
      <c r="B26" s="127" t="s">
        <v>99</v>
      </c>
      <c r="C26" s="128" t="s">
        <v>99</v>
      </c>
      <c r="D26" s="127" t="s">
        <v>99</v>
      </c>
      <c r="E26" s="128" t="s">
        <v>99</v>
      </c>
      <c r="F26" s="115" t="s">
        <v>99</v>
      </c>
      <c r="G26" s="115" t="s">
        <v>99</v>
      </c>
      <c r="H26" s="127" t="s">
        <v>99</v>
      </c>
      <c r="I26" s="128" t="s">
        <v>99</v>
      </c>
      <c r="J26" s="127" t="s">
        <v>99</v>
      </c>
      <c r="K26" s="129" t="s">
        <v>99</v>
      </c>
      <c r="L26" s="94"/>
      <c r="M26" s="130" t="s">
        <v>99</v>
      </c>
      <c r="O26" s="94"/>
      <c r="P26" s="131" t="s">
        <v>99</v>
      </c>
      <c r="Q26" s="104" t="s">
        <v>99</v>
      </c>
      <c r="R26" s="94"/>
      <c r="S26" s="71" t="s">
        <v>99</v>
      </c>
      <c r="T26" s="71" t="s">
        <v>99</v>
      </c>
      <c r="U26" s="71"/>
      <c r="V26" s="72" t="s">
        <v>99</v>
      </c>
      <c r="W26" s="72" t="str">
        <f t="shared" si="1"/>
        <v/>
      </c>
      <c r="X26" s="73"/>
      <c r="Y26" s="73"/>
      <c r="Z26" s="97"/>
    </row>
    <row r="27" ht="12.0" customHeight="1">
      <c r="A27" s="126" t="s">
        <v>99</v>
      </c>
      <c r="B27" s="127" t="s">
        <v>99</v>
      </c>
      <c r="C27" s="128" t="s">
        <v>99</v>
      </c>
      <c r="D27" s="127" t="s">
        <v>99</v>
      </c>
      <c r="E27" s="128" t="s">
        <v>99</v>
      </c>
      <c r="F27" s="115" t="s">
        <v>99</v>
      </c>
      <c r="G27" s="115" t="s">
        <v>99</v>
      </c>
      <c r="H27" s="127" t="s">
        <v>99</v>
      </c>
      <c r="I27" s="128" t="s">
        <v>99</v>
      </c>
      <c r="J27" s="127" t="s">
        <v>99</v>
      </c>
      <c r="K27" s="129" t="s">
        <v>99</v>
      </c>
      <c r="L27" s="94"/>
      <c r="M27" s="130" t="s">
        <v>99</v>
      </c>
      <c r="O27" s="94"/>
      <c r="P27" s="131" t="s">
        <v>99</v>
      </c>
      <c r="Q27" s="104" t="s">
        <v>99</v>
      </c>
      <c r="R27" s="94"/>
      <c r="S27" s="71" t="s">
        <v>99</v>
      </c>
      <c r="T27" s="71" t="s">
        <v>99</v>
      </c>
      <c r="U27" s="71"/>
      <c r="V27" s="72" t="s">
        <v>99</v>
      </c>
      <c r="W27" s="72" t="str">
        <f t="shared" si="1"/>
        <v/>
      </c>
      <c r="X27" s="73"/>
      <c r="Y27" s="73"/>
      <c r="Z27" s="97"/>
    </row>
    <row r="28" ht="12.0" customHeight="1">
      <c r="A28" s="126" t="s">
        <v>99</v>
      </c>
      <c r="B28" s="127" t="s">
        <v>99</v>
      </c>
      <c r="C28" s="128" t="s">
        <v>99</v>
      </c>
      <c r="D28" s="127" t="s">
        <v>99</v>
      </c>
      <c r="E28" s="128" t="s">
        <v>99</v>
      </c>
      <c r="F28" s="115" t="s">
        <v>99</v>
      </c>
      <c r="G28" s="115" t="s">
        <v>99</v>
      </c>
      <c r="H28" s="127" t="s">
        <v>99</v>
      </c>
      <c r="I28" s="128" t="s">
        <v>99</v>
      </c>
      <c r="J28" s="127" t="s">
        <v>99</v>
      </c>
      <c r="K28" s="129" t="s">
        <v>99</v>
      </c>
      <c r="L28" s="94"/>
      <c r="M28" s="130" t="s">
        <v>99</v>
      </c>
      <c r="O28" s="94"/>
      <c r="P28" s="131" t="s">
        <v>99</v>
      </c>
      <c r="Q28" s="104" t="s">
        <v>99</v>
      </c>
      <c r="R28" s="94"/>
      <c r="S28" s="71" t="s">
        <v>99</v>
      </c>
      <c r="T28" s="71" t="s">
        <v>99</v>
      </c>
      <c r="U28" s="71"/>
      <c r="V28" s="72" t="s">
        <v>99</v>
      </c>
      <c r="W28" s="72" t="str">
        <f t="shared" si="1"/>
        <v/>
      </c>
      <c r="X28" s="73"/>
      <c r="Y28" s="73"/>
      <c r="Z28" s="97"/>
    </row>
    <row r="29" ht="12.0" customHeight="1">
      <c r="A29" s="126" t="s">
        <v>99</v>
      </c>
      <c r="B29" s="127" t="s">
        <v>99</v>
      </c>
      <c r="C29" s="128" t="s">
        <v>99</v>
      </c>
      <c r="D29" s="127" t="s">
        <v>99</v>
      </c>
      <c r="E29" s="128" t="s">
        <v>99</v>
      </c>
      <c r="F29" s="115" t="s">
        <v>99</v>
      </c>
      <c r="G29" s="115" t="s">
        <v>99</v>
      </c>
      <c r="H29" s="127" t="s">
        <v>99</v>
      </c>
      <c r="I29" s="128" t="s">
        <v>99</v>
      </c>
      <c r="J29" s="127" t="s">
        <v>99</v>
      </c>
      <c r="K29" s="129" t="s">
        <v>99</v>
      </c>
      <c r="L29" s="94"/>
      <c r="M29" s="130" t="s">
        <v>99</v>
      </c>
      <c r="O29" s="94"/>
      <c r="P29" s="131" t="s">
        <v>99</v>
      </c>
      <c r="Q29" s="104" t="s">
        <v>99</v>
      </c>
      <c r="R29" s="94"/>
      <c r="S29" s="71" t="s">
        <v>99</v>
      </c>
      <c r="T29" s="71" t="s">
        <v>99</v>
      </c>
      <c r="U29" s="71"/>
      <c r="V29" s="72" t="s">
        <v>99</v>
      </c>
      <c r="W29" s="72" t="str">
        <f t="shared" si="1"/>
        <v/>
      </c>
      <c r="X29" s="73"/>
      <c r="Y29" s="73"/>
      <c r="Z29" s="97"/>
    </row>
    <row r="30" ht="12.0" customHeight="1">
      <c r="A30" s="126" t="s">
        <v>99</v>
      </c>
      <c r="B30" s="127" t="s">
        <v>99</v>
      </c>
      <c r="C30" s="128" t="s">
        <v>99</v>
      </c>
      <c r="D30" s="127" t="s">
        <v>99</v>
      </c>
      <c r="E30" s="128" t="s">
        <v>99</v>
      </c>
      <c r="F30" s="115" t="s">
        <v>99</v>
      </c>
      <c r="G30" s="115" t="s">
        <v>99</v>
      </c>
      <c r="H30" s="127" t="s">
        <v>99</v>
      </c>
      <c r="I30" s="128" t="s">
        <v>99</v>
      </c>
      <c r="J30" s="127" t="s">
        <v>99</v>
      </c>
      <c r="K30" s="129" t="s">
        <v>99</v>
      </c>
      <c r="L30" s="94"/>
      <c r="M30" s="130" t="s">
        <v>99</v>
      </c>
      <c r="O30" s="94"/>
      <c r="P30" s="131" t="s">
        <v>99</v>
      </c>
      <c r="Q30" s="104" t="s">
        <v>99</v>
      </c>
      <c r="R30" s="94"/>
      <c r="S30" s="71" t="s">
        <v>99</v>
      </c>
      <c r="T30" s="71" t="s">
        <v>99</v>
      </c>
      <c r="U30" s="71"/>
      <c r="V30" s="72" t="s">
        <v>99</v>
      </c>
      <c r="W30" s="72" t="str">
        <f t="shared" si="1"/>
        <v/>
      </c>
      <c r="X30" s="73"/>
      <c r="Y30" s="73"/>
      <c r="Z30" s="97"/>
    </row>
    <row r="31" ht="12.0" customHeight="1">
      <c r="A31" s="126" t="s">
        <v>99</v>
      </c>
      <c r="B31" s="127" t="s">
        <v>99</v>
      </c>
      <c r="C31" s="128" t="s">
        <v>99</v>
      </c>
      <c r="D31" s="127" t="s">
        <v>99</v>
      </c>
      <c r="E31" s="128" t="s">
        <v>99</v>
      </c>
      <c r="F31" s="115" t="s">
        <v>99</v>
      </c>
      <c r="G31" s="115" t="s">
        <v>99</v>
      </c>
      <c r="H31" s="127" t="s">
        <v>99</v>
      </c>
      <c r="I31" s="128" t="s">
        <v>99</v>
      </c>
      <c r="J31" s="127" t="s">
        <v>99</v>
      </c>
      <c r="K31" s="129" t="s">
        <v>99</v>
      </c>
      <c r="L31" s="94"/>
      <c r="M31" s="130" t="s">
        <v>99</v>
      </c>
      <c r="O31" s="94"/>
      <c r="P31" s="131" t="s">
        <v>99</v>
      </c>
      <c r="Q31" s="104" t="s">
        <v>99</v>
      </c>
      <c r="R31" s="94"/>
      <c r="S31" s="71" t="s">
        <v>99</v>
      </c>
      <c r="T31" s="71" t="s">
        <v>99</v>
      </c>
      <c r="U31" s="71"/>
      <c r="V31" s="72" t="s">
        <v>99</v>
      </c>
      <c r="W31" s="72" t="str">
        <f t="shared" si="1"/>
        <v/>
      </c>
      <c r="X31" s="73"/>
      <c r="Y31" s="73"/>
      <c r="Z31" s="97"/>
    </row>
    <row r="32" ht="12.0" customHeight="1">
      <c r="A32" s="126" t="s">
        <v>99</v>
      </c>
      <c r="B32" s="127" t="s">
        <v>99</v>
      </c>
      <c r="C32" s="128" t="s">
        <v>99</v>
      </c>
      <c r="D32" s="127" t="s">
        <v>99</v>
      </c>
      <c r="E32" s="128" t="s">
        <v>99</v>
      </c>
      <c r="F32" s="115" t="s">
        <v>99</v>
      </c>
      <c r="G32" s="115" t="s">
        <v>99</v>
      </c>
      <c r="H32" s="127" t="s">
        <v>99</v>
      </c>
      <c r="I32" s="128" t="s">
        <v>99</v>
      </c>
      <c r="J32" s="127" t="s">
        <v>99</v>
      </c>
      <c r="K32" s="129" t="s">
        <v>99</v>
      </c>
      <c r="L32" s="94"/>
      <c r="M32" s="130" t="s">
        <v>99</v>
      </c>
      <c r="O32" s="94"/>
      <c r="P32" s="131" t="s">
        <v>99</v>
      </c>
      <c r="Q32" s="104" t="s">
        <v>99</v>
      </c>
      <c r="R32" s="94"/>
      <c r="S32" s="71" t="s">
        <v>99</v>
      </c>
      <c r="T32" s="71" t="s">
        <v>99</v>
      </c>
      <c r="U32" s="71"/>
      <c r="V32" s="72" t="s">
        <v>99</v>
      </c>
      <c r="W32" s="72" t="str">
        <f t="shared" si="1"/>
        <v/>
      </c>
      <c r="X32" s="73"/>
      <c r="Y32" s="73"/>
      <c r="Z32" s="97"/>
    </row>
    <row r="33" ht="12.0" customHeight="1">
      <c r="A33" s="88" t="s">
        <v>79</v>
      </c>
      <c r="B33" s="107" t="s">
        <v>116</v>
      </c>
      <c r="C33" s="107" t="s">
        <v>117</v>
      </c>
      <c r="D33" s="107" t="s">
        <v>40</v>
      </c>
      <c r="E33" s="125" t="s">
        <v>118</v>
      </c>
      <c r="F33" s="87"/>
      <c r="G33" s="87"/>
      <c r="H33" s="87"/>
      <c r="I33" s="87"/>
      <c r="J33" s="86"/>
      <c r="K33" s="125" t="s">
        <v>119</v>
      </c>
      <c r="L33" s="87"/>
      <c r="M33" s="87"/>
      <c r="N33" s="87"/>
      <c r="O33" s="86"/>
      <c r="P33" s="107" t="s">
        <v>120</v>
      </c>
      <c r="Q33" s="125" t="s">
        <v>121</v>
      </c>
      <c r="R33" s="86"/>
      <c r="S33" s="71"/>
      <c r="T33" s="71"/>
      <c r="U33" s="71"/>
      <c r="V33" s="72"/>
      <c r="W33" s="72"/>
      <c r="X33" s="73"/>
      <c r="Y33" s="73"/>
      <c r="Z33" s="97"/>
    </row>
    <row r="34" ht="8.25" customHeight="1">
      <c r="A34" s="92"/>
      <c r="B34" s="92"/>
      <c r="C34" s="92"/>
      <c r="D34" s="92"/>
      <c r="E34" s="90"/>
      <c r="F34" s="84"/>
      <c r="G34" s="84"/>
      <c r="H34" s="84"/>
      <c r="I34" s="84"/>
      <c r="J34" s="91"/>
      <c r="K34" s="90"/>
      <c r="L34" s="84"/>
      <c r="M34" s="84"/>
      <c r="N34" s="84"/>
      <c r="O34" s="91"/>
      <c r="P34" s="92"/>
      <c r="Q34" s="93"/>
      <c r="R34" s="94"/>
      <c r="S34" s="71"/>
      <c r="T34" s="71"/>
      <c r="U34" s="71"/>
      <c r="V34" s="72"/>
      <c r="W34" s="72"/>
      <c r="X34" s="73"/>
      <c r="Y34" s="73"/>
      <c r="Z34" s="97"/>
    </row>
    <row r="35" ht="10.5" customHeight="1">
      <c r="A35" s="92"/>
      <c r="B35" s="92"/>
      <c r="C35" s="92"/>
      <c r="D35" s="92"/>
      <c r="E35" s="107" t="s">
        <v>122</v>
      </c>
      <c r="F35" s="107" t="s">
        <v>123</v>
      </c>
      <c r="G35" s="107" t="s">
        <v>124</v>
      </c>
      <c r="H35" s="107" t="s">
        <v>125</v>
      </c>
      <c r="I35" s="107" t="s">
        <v>126</v>
      </c>
      <c r="J35" s="107" t="s">
        <v>127</v>
      </c>
      <c r="K35" s="107" t="s">
        <v>128</v>
      </c>
      <c r="L35" s="125" t="s">
        <v>129</v>
      </c>
      <c r="M35" s="86"/>
      <c r="N35" s="133" t="s">
        <v>130</v>
      </c>
      <c r="O35" s="86"/>
      <c r="P35" s="92"/>
      <c r="Q35" s="93"/>
      <c r="R35" s="94"/>
      <c r="S35" s="71"/>
      <c r="T35" s="71"/>
      <c r="U35" s="71"/>
      <c r="V35" s="72"/>
      <c r="W35" s="72"/>
      <c r="X35" s="73"/>
      <c r="Y35" s="73"/>
      <c r="Z35" s="73"/>
    </row>
    <row r="36" ht="21.0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0"/>
      <c r="M36" s="91"/>
      <c r="N36" s="90"/>
      <c r="O36" s="91"/>
      <c r="P36" s="98"/>
      <c r="Q36" s="90"/>
      <c r="R36" s="91"/>
      <c r="S36" s="71"/>
      <c r="T36" s="71"/>
      <c r="U36" s="71"/>
      <c r="V36" s="72"/>
      <c r="W36" s="72"/>
      <c r="X36" s="73"/>
      <c r="Y36" s="73"/>
      <c r="Z36" s="73"/>
    </row>
    <row r="37" ht="12.0" customHeight="1">
      <c r="A37" s="126" t="s">
        <v>99</v>
      </c>
      <c r="B37" s="127">
        <v>16.4</v>
      </c>
      <c r="C37" s="127">
        <v>1.6</v>
      </c>
      <c r="D37" s="113">
        <v>10.0</v>
      </c>
      <c r="E37" s="101" t="s">
        <v>99</v>
      </c>
      <c r="F37" s="113" t="s">
        <v>99</v>
      </c>
      <c r="G37" s="101" t="s">
        <v>99</v>
      </c>
      <c r="H37" s="127" t="s">
        <v>99</v>
      </c>
      <c r="I37" s="128" t="s">
        <v>99</v>
      </c>
      <c r="J37" s="127" t="s">
        <v>99</v>
      </c>
      <c r="K37" s="114" t="s">
        <v>99</v>
      </c>
      <c r="L37" s="125" t="s">
        <v>99</v>
      </c>
      <c r="M37" s="86"/>
      <c r="N37" s="105" t="s">
        <v>99</v>
      </c>
      <c r="O37" s="94"/>
      <c r="P37" s="115" t="s">
        <v>99</v>
      </c>
      <c r="Q37" s="105" t="s">
        <v>99</v>
      </c>
      <c r="R37" s="94"/>
      <c r="S37" s="71"/>
      <c r="T37" s="71"/>
      <c r="U37" s="71"/>
      <c r="V37" s="72" t="s">
        <v>99</v>
      </c>
      <c r="W37" s="72"/>
      <c r="X37" s="73"/>
      <c r="Y37" s="73"/>
      <c r="Z37" s="73"/>
    </row>
    <row r="38" ht="12.0" customHeight="1">
      <c r="A38" s="126" t="s">
        <v>99</v>
      </c>
      <c r="B38" s="127">
        <v>11.7</v>
      </c>
      <c r="C38" s="127">
        <v>0.8</v>
      </c>
      <c r="D38" s="113">
        <v>15.0</v>
      </c>
      <c r="E38" s="101" t="s">
        <v>99</v>
      </c>
      <c r="F38" s="113" t="s">
        <v>99</v>
      </c>
      <c r="G38" s="101" t="s">
        <v>99</v>
      </c>
      <c r="H38" s="127" t="s">
        <v>99</v>
      </c>
      <c r="I38" s="128" t="s">
        <v>99</v>
      </c>
      <c r="J38" s="127" t="s">
        <v>99</v>
      </c>
      <c r="K38" s="114" t="s">
        <v>99</v>
      </c>
      <c r="L38" s="105" t="s">
        <v>99</v>
      </c>
      <c r="M38" s="94"/>
      <c r="N38" s="114" t="s">
        <v>99</v>
      </c>
      <c r="O38" s="94"/>
      <c r="P38" s="115" t="s">
        <v>99</v>
      </c>
      <c r="Q38" s="105" t="s">
        <v>99</v>
      </c>
      <c r="R38" s="94"/>
      <c r="S38" s="71"/>
      <c r="T38" s="71"/>
      <c r="U38" s="71"/>
      <c r="V38" s="72" t="s">
        <v>99</v>
      </c>
      <c r="W38" s="72"/>
      <c r="X38" s="73"/>
      <c r="Y38" s="73"/>
      <c r="Z38" s="73"/>
    </row>
    <row r="39" ht="12.0" customHeight="1">
      <c r="A39" s="126" t="s">
        <v>99</v>
      </c>
      <c r="B39" s="127" t="s">
        <v>99</v>
      </c>
      <c r="C39" s="127" t="s">
        <v>99</v>
      </c>
      <c r="D39" s="113" t="s">
        <v>99</v>
      </c>
      <c r="E39" s="101" t="s">
        <v>99</v>
      </c>
      <c r="F39" s="113" t="s">
        <v>99</v>
      </c>
      <c r="G39" s="101" t="s">
        <v>99</v>
      </c>
      <c r="H39" s="127" t="s">
        <v>99</v>
      </c>
      <c r="I39" s="128" t="s">
        <v>99</v>
      </c>
      <c r="J39" s="127" t="s">
        <v>99</v>
      </c>
      <c r="K39" s="114" t="s">
        <v>99</v>
      </c>
      <c r="L39" s="105" t="s">
        <v>99</v>
      </c>
      <c r="M39" s="94"/>
      <c r="N39" s="114" t="s">
        <v>99</v>
      </c>
      <c r="O39" s="94"/>
      <c r="P39" s="115" t="s">
        <v>99</v>
      </c>
      <c r="Q39" s="105" t="s">
        <v>99</v>
      </c>
      <c r="R39" s="94"/>
      <c r="S39" s="71"/>
      <c r="T39" s="71"/>
      <c r="U39" s="71"/>
      <c r="V39" s="72" t="s">
        <v>99</v>
      </c>
      <c r="W39" s="72"/>
      <c r="X39" s="73"/>
      <c r="Y39" s="73"/>
      <c r="Z39" s="73"/>
    </row>
    <row r="40" ht="12.0" customHeight="1">
      <c r="A40" s="126" t="s">
        <v>99</v>
      </c>
      <c r="B40" s="127" t="s">
        <v>99</v>
      </c>
      <c r="C40" s="127" t="s">
        <v>99</v>
      </c>
      <c r="D40" s="113" t="s">
        <v>99</v>
      </c>
      <c r="E40" s="101" t="s">
        <v>99</v>
      </c>
      <c r="F40" s="113" t="s">
        <v>99</v>
      </c>
      <c r="G40" s="101" t="s">
        <v>99</v>
      </c>
      <c r="H40" s="127" t="s">
        <v>99</v>
      </c>
      <c r="I40" s="128" t="s">
        <v>99</v>
      </c>
      <c r="J40" s="127" t="s">
        <v>99</v>
      </c>
      <c r="K40" s="114" t="s">
        <v>99</v>
      </c>
      <c r="L40" s="105" t="s">
        <v>99</v>
      </c>
      <c r="M40" s="94"/>
      <c r="N40" s="114" t="s">
        <v>99</v>
      </c>
      <c r="O40" s="94"/>
      <c r="P40" s="115" t="s">
        <v>99</v>
      </c>
      <c r="Q40" s="105" t="s">
        <v>99</v>
      </c>
      <c r="R40" s="94"/>
      <c r="S40" s="71"/>
      <c r="T40" s="71"/>
      <c r="U40" s="71"/>
      <c r="V40" s="72" t="s">
        <v>99</v>
      </c>
      <c r="W40" s="72"/>
      <c r="X40" s="73"/>
      <c r="Y40" s="73"/>
      <c r="Z40" s="73"/>
    </row>
    <row r="41" ht="12.0" customHeight="1">
      <c r="A41" s="126" t="s">
        <v>99</v>
      </c>
      <c r="B41" s="127" t="s">
        <v>99</v>
      </c>
      <c r="C41" s="127" t="s">
        <v>99</v>
      </c>
      <c r="D41" s="113" t="s">
        <v>99</v>
      </c>
      <c r="E41" s="101" t="s">
        <v>99</v>
      </c>
      <c r="F41" s="113" t="s">
        <v>99</v>
      </c>
      <c r="G41" s="101" t="s">
        <v>99</v>
      </c>
      <c r="H41" s="127" t="s">
        <v>99</v>
      </c>
      <c r="I41" s="128" t="s">
        <v>99</v>
      </c>
      <c r="J41" s="127" t="s">
        <v>99</v>
      </c>
      <c r="K41" s="114" t="s">
        <v>99</v>
      </c>
      <c r="L41" s="105" t="s">
        <v>99</v>
      </c>
      <c r="M41" s="94"/>
      <c r="N41" s="114" t="s">
        <v>99</v>
      </c>
      <c r="O41" s="94"/>
      <c r="P41" s="115" t="s">
        <v>99</v>
      </c>
      <c r="Q41" s="105" t="s">
        <v>99</v>
      </c>
      <c r="R41" s="94"/>
      <c r="S41" s="71"/>
      <c r="T41" s="71"/>
      <c r="U41" s="71"/>
      <c r="V41" s="72" t="s">
        <v>99</v>
      </c>
      <c r="W41" s="72"/>
      <c r="X41" s="73"/>
      <c r="Y41" s="73"/>
      <c r="Z41" s="73"/>
    </row>
    <row r="42" ht="12.0" customHeight="1">
      <c r="A42" s="126" t="s">
        <v>99</v>
      </c>
      <c r="B42" s="127" t="s">
        <v>99</v>
      </c>
      <c r="C42" s="127" t="s">
        <v>99</v>
      </c>
      <c r="D42" s="113" t="s">
        <v>99</v>
      </c>
      <c r="E42" s="101" t="s">
        <v>99</v>
      </c>
      <c r="F42" s="113" t="s">
        <v>99</v>
      </c>
      <c r="G42" s="101" t="s">
        <v>99</v>
      </c>
      <c r="H42" s="127" t="s">
        <v>99</v>
      </c>
      <c r="I42" s="128" t="s">
        <v>99</v>
      </c>
      <c r="J42" s="127" t="s">
        <v>99</v>
      </c>
      <c r="K42" s="114" t="s">
        <v>99</v>
      </c>
      <c r="L42" s="105" t="s">
        <v>99</v>
      </c>
      <c r="M42" s="94"/>
      <c r="N42" s="114" t="s">
        <v>99</v>
      </c>
      <c r="O42" s="94"/>
      <c r="P42" s="115" t="s">
        <v>99</v>
      </c>
      <c r="Q42" s="105" t="s">
        <v>99</v>
      </c>
      <c r="R42" s="94"/>
      <c r="S42" s="71"/>
      <c r="T42" s="71"/>
      <c r="U42" s="71"/>
      <c r="V42" s="72" t="s">
        <v>99</v>
      </c>
      <c r="W42" s="72"/>
      <c r="X42" s="73"/>
      <c r="Y42" s="73"/>
      <c r="Z42" s="73"/>
    </row>
    <row r="43" ht="12.0" customHeight="1">
      <c r="A43" s="126" t="s">
        <v>99</v>
      </c>
      <c r="B43" s="127" t="s">
        <v>99</v>
      </c>
      <c r="C43" s="127" t="s">
        <v>99</v>
      </c>
      <c r="D43" s="113" t="s">
        <v>99</v>
      </c>
      <c r="E43" s="101" t="s">
        <v>99</v>
      </c>
      <c r="F43" s="113" t="s">
        <v>99</v>
      </c>
      <c r="G43" s="101" t="s">
        <v>99</v>
      </c>
      <c r="H43" s="127" t="s">
        <v>99</v>
      </c>
      <c r="I43" s="128" t="s">
        <v>99</v>
      </c>
      <c r="J43" s="127" t="s">
        <v>99</v>
      </c>
      <c r="K43" s="114" t="s">
        <v>99</v>
      </c>
      <c r="L43" s="105" t="s">
        <v>99</v>
      </c>
      <c r="M43" s="94"/>
      <c r="N43" s="114" t="s">
        <v>99</v>
      </c>
      <c r="O43" s="94"/>
      <c r="P43" s="115" t="s">
        <v>99</v>
      </c>
      <c r="Q43" s="105" t="s">
        <v>99</v>
      </c>
      <c r="R43" s="94"/>
      <c r="S43" s="71"/>
      <c r="T43" s="71"/>
      <c r="U43" s="71"/>
      <c r="V43" s="72" t="s">
        <v>99</v>
      </c>
      <c r="W43" s="72"/>
      <c r="X43" s="73"/>
      <c r="Y43" s="73"/>
      <c r="Z43" s="73"/>
    </row>
    <row r="44" ht="12.0" customHeight="1">
      <c r="A44" s="126" t="s">
        <v>99</v>
      </c>
      <c r="B44" s="127" t="s">
        <v>99</v>
      </c>
      <c r="C44" s="127" t="s">
        <v>99</v>
      </c>
      <c r="D44" s="113" t="s">
        <v>99</v>
      </c>
      <c r="E44" s="101" t="s">
        <v>99</v>
      </c>
      <c r="F44" s="113" t="s">
        <v>99</v>
      </c>
      <c r="G44" s="101" t="s">
        <v>99</v>
      </c>
      <c r="H44" s="127" t="s">
        <v>99</v>
      </c>
      <c r="I44" s="128" t="s">
        <v>99</v>
      </c>
      <c r="J44" s="127" t="s">
        <v>99</v>
      </c>
      <c r="K44" s="114" t="s">
        <v>99</v>
      </c>
      <c r="L44" s="105" t="s">
        <v>99</v>
      </c>
      <c r="M44" s="94"/>
      <c r="N44" s="114" t="s">
        <v>99</v>
      </c>
      <c r="O44" s="94"/>
      <c r="P44" s="115" t="s">
        <v>99</v>
      </c>
      <c r="Q44" s="105" t="s">
        <v>99</v>
      </c>
      <c r="R44" s="94"/>
      <c r="S44" s="71"/>
      <c r="T44" s="71"/>
      <c r="U44" s="71"/>
      <c r="V44" s="72" t="s">
        <v>99</v>
      </c>
      <c r="W44" s="72"/>
      <c r="X44" s="73"/>
      <c r="Y44" s="73"/>
      <c r="Z44" s="73"/>
    </row>
    <row r="45" ht="12.0" customHeight="1">
      <c r="A45" s="126" t="s">
        <v>99</v>
      </c>
      <c r="B45" s="127" t="s">
        <v>99</v>
      </c>
      <c r="C45" s="127" t="s">
        <v>99</v>
      </c>
      <c r="D45" s="113" t="s">
        <v>99</v>
      </c>
      <c r="E45" s="101" t="s">
        <v>99</v>
      </c>
      <c r="F45" s="113" t="s">
        <v>99</v>
      </c>
      <c r="G45" s="101" t="s">
        <v>99</v>
      </c>
      <c r="H45" s="127" t="s">
        <v>99</v>
      </c>
      <c r="I45" s="128" t="s">
        <v>99</v>
      </c>
      <c r="J45" s="127" t="s">
        <v>99</v>
      </c>
      <c r="K45" s="114" t="s">
        <v>99</v>
      </c>
      <c r="L45" s="105" t="s">
        <v>99</v>
      </c>
      <c r="M45" s="94"/>
      <c r="N45" s="105" t="s">
        <v>99</v>
      </c>
      <c r="O45" s="94"/>
      <c r="P45" s="115" t="s">
        <v>99</v>
      </c>
      <c r="Q45" s="105" t="s">
        <v>99</v>
      </c>
      <c r="R45" s="94"/>
      <c r="S45" s="71"/>
      <c r="T45" s="71"/>
      <c r="U45" s="71"/>
      <c r="V45" s="72" t="s">
        <v>99</v>
      </c>
      <c r="W45" s="72"/>
      <c r="X45" s="73"/>
      <c r="Y45" s="73"/>
      <c r="Z45" s="73"/>
    </row>
    <row r="46" ht="12.0" customHeight="1">
      <c r="A46" s="88" t="s">
        <v>79</v>
      </c>
      <c r="B46" s="134" t="s">
        <v>131</v>
      </c>
      <c r="C46" s="135" t="s">
        <v>132</v>
      </c>
      <c r="D46" s="136"/>
      <c r="E46" s="125" t="s">
        <v>133</v>
      </c>
      <c r="F46" s="87"/>
      <c r="G46" s="87"/>
      <c r="H46" s="87"/>
      <c r="I46" s="87"/>
      <c r="J46" s="87"/>
      <c r="K46" s="87"/>
      <c r="L46" s="86"/>
      <c r="M46" s="125" t="s">
        <v>134</v>
      </c>
      <c r="N46" s="87"/>
      <c r="O46" s="87"/>
      <c r="P46" s="87"/>
      <c r="Q46" s="87"/>
      <c r="R46" s="86"/>
      <c r="S46" s="71"/>
      <c r="T46" s="71"/>
      <c r="U46" s="71"/>
      <c r="V46" s="72"/>
      <c r="W46" s="72"/>
      <c r="X46" s="73"/>
      <c r="Y46" s="73"/>
      <c r="Z46" s="73"/>
    </row>
    <row r="47" ht="9.0" customHeight="1">
      <c r="A47" s="92"/>
      <c r="B47" s="92"/>
      <c r="C47" s="107" t="s">
        <v>135</v>
      </c>
      <c r="D47" s="107" t="s">
        <v>136</v>
      </c>
      <c r="E47" s="90"/>
      <c r="F47" s="84"/>
      <c r="G47" s="84"/>
      <c r="H47" s="84"/>
      <c r="I47" s="84"/>
      <c r="J47" s="84"/>
      <c r="K47" s="84"/>
      <c r="L47" s="91"/>
      <c r="M47" s="90"/>
      <c r="N47" s="84"/>
      <c r="O47" s="84"/>
      <c r="P47" s="84"/>
      <c r="Q47" s="84"/>
      <c r="R47" s="91"/>
      <c r="S47" s="71"/>
      <c r="T47" s="71"/>
      <c r="U47" s="71"/>
      <c r="V47" s="72"/>
      <c r="W47" s="72"/>
      <c r="X47" s="73"/>
      <c r="Y47" s="73"/>
      <c r="Z47" s="73"/>
    </row>
    <row r="48" ht="12.0" customHeight="1">
      <c r="A48" s="92"/>
      <c r="B48" s="92"/>
      <c r="C48" s="92"/>
      <c r="D48" s="92"/>
      <c r="E48" s="107" t="s">
        <v>137</v>
      </c>
      <c r="F48" s="107" t="s">
        <v>138</v>
      </c>
      <c r="G48" s="107" t="s">
        <v>139</v>
      </c>
      <c r="H48" s="107" t="s">
        <v>140</v>
      </c>
      <c r="I48" s="107" t="s">
        <v>141</v>
      </c>
      <c r="J48" s="107" t="s">
        <v>142</v>
      </c>
      <c r="K48" s="125" t="s">
        <v>143</v>
      </c>
      <c r="L48" s="86"/>
      <c r="M48" s="135" t="s">
        <v>144</v>
      </c>
      <c r="N48" s="137"/>
      <c r="O48" s="137"/>
      <c r="P48" s="136"/>
      <c r="Q48" s="125" t="s">
        <v>145</v>
      </c>
      <c r="R48" s="86"/>
      <c r="S48" s="71"/>
      <c r="T48" s="71"/>
      <c r="U48" s="71"/>
      <c r="V48" s="72"/>
      <c r="W48" s="72"/>
      <c r="X48" s="73"/>
      <c r="Y48" s="73"/>
      <c r="Z48" s="73"/>
    </row>
    <row r="49" ht="12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3"/>
      <c r="L49" s="94"/>
      <c r="M49" s="125" t="s">
        <v>146</v>
      </c>
      <c r="N49" s="87"/>
      <c r="O49" s="86"/>
      <c r="P49" s="107" t="s">
        <v>147</v>
      </c>
      <c r="Q49" s="93"/>
      <c r="R49" s="94"/>
      <c r="S49" s="71"/>
      <c r="T49" s="71"/>
      <c r="U49" s="71"/>
      <c r="V49" s="72"/>
      <c r="W49" s="72"/>
      <c r="X49" s="73"/>
      <c r="Y49" s="73"/>
      <c r="Z49" s="73"/>
    </row>
    <row r="50" ht="6.0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0"/>
      <c r="L50" s="91"/>
      <c r="M50" s="90"/>
      <c r="N50" s="84"/>
      <c r="O50" s="91"/>
      <c r="P50" s="98"/>
      <c r="Q50" s="90"/>
      <c r="R50" s="91"/>
      <c r="S50" s="71"/>
      <c r="T50" s="71"/>
      <c r="U50" s="71"/>
      <c r="V50" s="72"/>
      <c r="W50" s="72"/>
      <c r="X50" s="73"/>
      <c r="Y50" s="73"/>
      <c r="Z50" s="73"/>
    </row>
    <row r="51" ht="12.0" customHeight="1">
      <c r="A51" s="126" t="s">
        <v>99</v>
      </c>
      <c r="B51" s="115" t="s">
        <v>148</v>
      </c>
      <c r="C51" s="114" t="s">
        <v>99</v>
      </c>
      <c r="D51" s="113" t="s">
        <v>99</v>
      </c>
      <c r="E51" s="114" t="s">
        <v>99</v>
      </c>
      <c r="F51" s="115" t="s">
        <v>99</v>
      </c>
      <c r="G51" s="114" t="s">
        <v>99</v>
      </c>
      <c r="H51" s="115" t="s">
        <v>99</v>
      </c>
      <c r="I51" s="114" t="s">
        <v>99</v>
      </c>
      <c r="J51" s="115" t="s">
        <v>99</v>
      </c>
      <c r="K51" s="105" t="s">
        <v>99</v>
      </c>
      <c r="L51" s="94"/>
      <c r="M51" s="125" t="s">
        <v>99</v>
      </c>
      <c r="N51" s="87"/>
      <c r="O51" s="86"/>
      <c r="P51" s="105" t="s">
        <v>99</v>
      </c>
      <c r="Q51" s="125" t="s">
        <v>99</v>
      </c>
      <c r="R51" s="86"/>
      <c r="S51" s="71"/>
      <c r="T51" s="71"/>
      <c r="U51" s="71"/>
      <c r="V51" s="72" t="s">
        <v>99</v>
      </c>
      <c r="W51" s="72" t="str">
        <f t="shared" ref="W51:W59" si="2">IF(C51="","",IF(C51&gt;=7,"sálico",IF(C51&gt;=4,"salino","")))</f>
        <v/>
      </c>
      <c r="X51" s="73"/>
      <c r="Y51" s="73"/>
      <c r="Z51" s="73"/>
    </row>
    <row r="52" ht="12.0" customHeight="1">
      <c r="A52" s="126" t="s">
        <v>99</v>
      </c>
      <c r="B52" s="115" t="s">
        <v>148</v>
      </c>
      <c r="C52" s="114" t="s">
        <v>99</v>
      </c>
      <c r="D52" s="113" t="s">
        <v>99</v>
      </c>
      <c r="E52" s="114" t="s">
        <v>99</v>
      </c>
      <c r="F52" s="115" t="s">
        <v>99</v>
      </c>
      <c r="G52" s="114" t="s">
        <v>99</v>
      </c>
      <c r="H52" s="115" t="s">
        <v>99</v>
      </c>
      <c r="I52" s="114" t="s">
        <v>99</v>
      </c>
      <c r="J52" s="115" t="s">
        <v>99</v>
      </c>
      <c r="K52" s="105" t="s">
        <v>99</v>
      </c>
      <c r="M52" s="105" t="s">
        <v>99</v>
      </c>
      <c r="O52" s="94"/>
      <c r="P52" s="114" t="s">
        <v>99</v>
      </c>
      <c r="Q52" s="105" t="s">
        <v>99</v>
      </c>
      <c r="R52" s="94"/>
      <c r="S52" s="71"/>
      <c r="T52" s="71"/>
      <c r="U52" s="71"/>
      <c r="V52" s="72" t="s">
        <v>99</v>
      </c>
      <c r="W52" s="72" t="str">
        <f t="shared" si="2"/>
        <v/>
      </c>
      <c r="X52" s="73"/>
      <c r="Y52" s="73"/>
      <c r="Z52" s="73"/>
    </row>
    <row r="53" ht="12.0" customHeight="1">
      <c r="A53" s="126" t="s">
        <v>99</v>
      </c>
      <c r="B53" s="115" t="s">
        <v>99</v>
      </c>
      <c r="C53" s="114" t="s">
        <v>99</v>
      </c>
      <c r="D53" s="113" t="s">
        <v>99</v>
      </c>
      <c r="E53" s="114" t="s">
        <v>99</v>
      </c>
      <c r="F53" s="115" t="s">
        <v>99</v>
      </c>
      <c r="G53" s="114" t="s">
        <v>99</v>
      </c>
      <c r="H53" s="115" t="s">
        <v>99</v>
      </c>
      <c r="I53" s="114" t="s">
        <v>99</v>
      </c>
      <c r="J53" s="115" t="s">
        <v>99</v>
      </c>
      <c r="K53" s="105" t="s">
        <v>99</v>
      </c>
      <c r="M53" s="105" t="s">
        <v>99</v>
      </c>
      <c r="O53" s="94"/>
      <c r="P53" s="114" t="s">
        <v>99</v>
      </c>
      <c r="Q53" s="105" t="s">
        <v>99</v>
      </c>
      <c r="R53" s="94"/>
      <c r="S53" s="71"/>
      <c r="T53" s="71"/>
      <c r="U53" s="71"/>
      <c r="V53" s="72" t="s">
        <v>99</v>
      </c>
      <c r="W53" s="72" t="str">
        <f t="shared" si="2"/>
        <v/>
      </c>
      <c r="X53" s="73"/>
      <c r="Y53" s="73"/>
      <c r="Z53" s="73"/>
    </row>
    <row r="54" ht="12.0" customHeight="1">
      <c r="A54" s="126" t="s">
        <v>99</v>
      </c>
      <c r="B54" s="115" t="s">
        <v>99</v>
      </c>
      <c r="C54" s="114" t="s">
        <v>99</v>
      </c>
      <c r="D54" s="113" t="s">
        <v>99</v>
      </c>
      <c r="E54" s="114" t="s">
        <v>99</v>
      </c>
      <c r="F54" s="115" t="s">
        <v>99</v>
      </c>
      <c r="G54" s="114" t="s">
        <v>99</v>
      </c>
      <c r="H54" s="115" t="s">
        <v>99</v>
      </c>
      <c r="I54" s="114" t="s">
        <v>99</v>
      </c>
      <c r="J54" s="115" t="s">
        <v>99</v>
      </c>
      <c r="K54" s="105" t="s">
        <v>99</v>
      </c>
      <c r="M54" s="105" t="s">
        <v>99</v>
      </c>
      <c r="O54" s="94"/>
      <c r="P54" s="114" t="s">
        <v>99</v>
      </c>
      <c r="Q54" s="105" t="s">
        <v>99</v>
      </c>
      <c r="R54" s="94"/>
      <c r="S54" s="71"/>
      <c r="T54" s="71"/>
      <c r="U54" s="71"/>
      <c r="V54" s="72" t="s">
        <v>99</v>
      </c>
      <c r="W54" s="72" t="str">
        <f t="shared" si="2"/>
        <v/>
      </c>
      <c r="X54" s="73"/>
      <c r="Y54" s="73"/>
      <c r="Z54" s="73"/>
    </row>
    <row r="55" ht="12.0" customHeight="1">
      <c r="A55" s="126" t="s">
        <v>99</v>
      </c>
      <c r="B55" s="115" t="s">
        <v>99</v>
      </c>
      <c r="C55" s="114" t="s">
        <v>99</v>
      </c>
      <c r="D55" s="113" t="s">
        <v>99</v>
      </c>
      <c r="E55" s="114" t="s">
        <v>99</v>
      </c>
      <c r="F55" s="115" t="s">
        <v>99</v>
      </c>
      <c r="G55" s="114" t="s">
        <v>99</v>
      </c>
      <c r="H55" s="115" t="s">
        <v>99</v>
      </c>
      <c r="I55" s="114" t="s">
        <v>99</v>
      </c>
      <c r="J55" s="115" t="s">
        <v>99</v>
      </c>
      <c r="K55" s="105" t="s">
        <v>99</v>
      </c>
      <c r="M55" s="105" t="s">
        <v>99</v>
      </c>
      <c r="O55" s="94"/>
      <c r="P55" s="114" t="s">
        <v>99</v>
      </c>
      <c r="Q55" s="105" t="s">
        <v>99</v>
      </c>
      <c r="R55" s="94"/>
      <c r="S55" s="71"/>
      <c r="T55" s="71"/>
      <c r="U55" s="71"/>
      <c r="V55" s="72" t="s">
        <v>99</v>
      </c>
      <c r="W55" s="72" t="str">
        <f t="shared" si="2"/>
        <v/>
      </c>
      <c r="X55" s="73"/>
      <c r="Y55" s="73"/>
      <c r="Z55" s="73"/>
    </row>
    <row r="56" ht="12.0" customHeight="1">
      <c r="A56" s="126" t="s">
        <v>99</v>
      </c>
      <c r="B56" s="115" t="s">
        <v>99</v>
      </c>
      <c r="C56" s="114" t="s">
        <v>99</v>
      </c>
      <c r="D56" s="113" t="s">
        <v>99</v>
      </c>
      <c r="E56" s="114" t="s">
        <v>99</v>
      </c>
      <c r="F56" s="115" t="s">
        <v>99</v>
      </c>
      <c r="G56" s="114" t="s">
        <v>99</v>
      </c>
      <c r="H56" s="115" t="s">
        <v>99</v>
      </c>
      <c r="I56" s="114" t="s">
        <v>99</v>
      </c>
      <c r="J56" s="115" t="s">
        <v>99</v>
      </c>
      <c r="K56" s="105" t="s">
        <v>99</v>
      </c>
      <c r="M56" s="105" t="s">
        <v>99</v>
      </c>
      <c r="O56" s="94"/>
      <c r="P56" s="114" t="s">
        <v>99</v>
      </c>
      <c r="Q56" s="105" t="s">
        <v>99</v>
      </c>
      <c r="R56" s="94"/>
      <c r="S56" s="71"/>
      <c r="T56" s="71"/>
      <c r="U56" s="71"/>
      <c r="V56" s="72" t="s">
        <v>99</v>
      </c>
      <c r="W56" s="72" t="str">
        <f t="shared" si="2"/>
        <v/>
      </c>
      <c r="X56" s="73"/>
      <c r="Y56" s="73"/>
      <c r="Z56" s="73"/>
    </row>
    <row r="57" ht="12.0" customHeight="1">
      <c r="A57" s="126" t="s">
        <v>99</v>
      </c>
      <c r="B57" s="115" t="s">
        <v>99</v>
      </c>
      <c r="C57" s="114" t="s">
        <v>99</v>
      </c>
      <c r="D57" s="113" t="s">
        <v>99</v>
      </c>
      <c r="E57" s="114" t="s">
        <v>99</v>
      </c>
      <c r="F57" s="115" t="s">
        <v>99</v>
      </c>
      <c r="G57" s="114" t="s">
        <v>99</v>
      </c>
      <c r="H57" s="115" t="s">
        <v>99</v>
      </c>
      <c r="I57" s="114" t="s">
        <v>99</v>
      </c>
      <c r="J57" s="115" t="s">
        <v>99</v>
      </c>
      <c r="K57" s="105" t="s">
        <v>99</v>
      </c>
      <c r="M57" s="105" t="s">
        <v>99</v>
      </c>
      <c r="O57" s="94"/>
      <c r="P57" s="114" t="s">
        <v>99</v>
      </c>
      <c r="Q57" s="105" t="s">
        <v>99</v>
      </c>
      <c r="R57" s="94"/>
      <c r="S57" s="71"/>
      <c r="T57" s="71"/>
      <c r="U57" s="71"/>
      <c r="V57" s="72" t="s">
        <v>99</v>
      </c>
      <c r="W57" s="72" t="str">
        <f t="shared" si="2"/>
        <v/>
      </c>
      <c r="X57" s="73"/>
      <c r="Y57" s="73"/>
      <c r="Z57" s="73"/>
    </row>
    <row r="58" ht="12.0" customHeight="1">
      <c r="A58" s="126" t="s">
        <v>99</v>
      </c>
      <c r="B58" s="115" t="s">
        <v>99</v>
      </c>
      <c r="C58" s="114" t="s">
        <v>99</v>
      </c>
      <c r="D58" s="113" t="s">
        <v>99</v>
      </c>
      <c r="E58" s="114" t="s">
        <v>99</v>
      </c>
      <c r="F58" s="115" t="s">
        <v>99</v>
      </c>
      <c r="G58" s="114" t="s">
        <v>99</v>
      </c>
      <c r="H58" s="115" t="s">
        <v>99</v>
      </c>
      <c r="I58" s="114" t="s">
        <v>99</v>
      </c>
      <c r="J58" s="115" t="s">
        <v>99</v>
      </c>
      <c r="K58" s="105" t="s">
        <v>99</v>
      </c>
      <c r="M58" s="105" t="s">
        <v>99</v>
      </c>
      <c r="O58" s="94"/>
      <c r="P58" s="114" t="s">
        <v>99</v>
      </c>
      <c r="Q58" s="105" t="s">
        <v>99</v>
      </c>
      <c r="R58" s="94"/>
      <c r="S58" s="71"/>
      <c r="T58" s="71"/>
      <c r="U58" s="71"/>
      <c r="V58" s="72" t="s">
        <v>99</v>
      </c>
      <c r="W58" s="72" t="str">
        <f t="shared" si="2"/>
        <v/>
      </c>
      <c r="X58" s="73"/>
      <c r="Y58" s="73"/>
      <c r="Z58" s="73"/>
    </row>
    <row r="59" ht="12.0" customHeight="1">
      <c r="A59" s="138" t="s">
        <v>99</v>
      </c>
      <c r="B59" s="119" t="s">
        <v>99</v>
      </c>
      <c r="C59" s="118" t="s">
        <v>99</v>
      </c>
      <c r="D59" s="139" t="s">
        <v>99</v>
      </c>
      <c r="E59" s="118" t="s">
        <v>99</v>
      </c>
      <c r="F59" s="119" t="s">
        <v>99</v>
      </c>
      <c r="G59" s="118" t="s">
        <v>99</v>
      </c>
      <c r="H59" s="119" t="s">
        <v>99</v>
      </c>
      <c r="I59" s="118" t="s">
        <v>99</v>
      </c>
      <c r="J59" s="119" t="s">
        <v>99</v>
      </c>
      <c r="K59" s="120" t="s">
        <v>99</v>
      </c>
      <c r="L59" s="91"/>
      <c r="M59" s="120" t="s">
        <v>99</v>
      </c>
      <c r="N59" s="84"/>
      <c r="O59" s="91"/>
      <c r="P59" s="120" t="s">
        <v>99</v>
      </c>
      <c r="Q59" s="120" t="s">
        <v>99</v>
      </c>
      <c r="R59" s="91"/>
      <c r="S59" s="71"/>
      <c r="T59" s="71"/>
      <c r="U59" s="71"/>
      <c r="V59" s="72" t="s">
        <v>99</v>
      </c>
      <c r="W59" s="72" t="str">
        <f t="shared" si="2"/>
        <v/>
      </c>
      <c r="X59" s="73"/>
      <c r="Y59" s="73"/>
      <c r="Z59" s="73"/>
    </row>
    <row r="60" ht="12.0" customHeight="1">
      <c r="A60" s="140" t="s">
        <v>149</v>
      </c>
      <c r="B60" s="141"/>
      <c r="C60" s="97"/>
      <c r="D60" s="97"/>
      <c r="E60" s="97"/>
      <c r="F60" s="97"/>
      <c r="G60" s="97"/>
      <c r="H60" s="97"/>
      <c r="I60" s="97"/>
      <c r="J60" s="97"/>
      <c r="K60" s="97"/>
      <c r="M60" s="97"/>
      <c r="P60" s="97"/>
      <c r="Q60" s="97"/>
      <c r="S60" s="71"/>
      <c r="T60" s="71"/>
      <c r="U60" s="71"/>
      <c r="V60" s="72"/>
      <c r="W60" s="72"/>
      <c r="X60" s="73"/>
      <c r="Y60" s="73"/>
      <c r="Z60" s="73"/>
    </row>
    <row r="61" ht="12.0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M61" s="73"/>
      <c r="P61" s="73"/>
      <c r="Q61" s="73"/>
      <c r="S61" s="71"/>
      <c r="T61" s="71"/>
      <c r="U61" s="71"/>
      <c r="V61" s="72"/>
      <c r="W61" s="72"/>
      <c r="X61" s="73"/>
      <c r="Y61" s="73"/>
      <c r="Z61" s="73"/>
    </row>
    <row r="62" ht="12.0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M62" s="73"/>
      <c r="P62" s="73"/>
      <c r="Q62" s="73"/>
      <c r="S62" s="71"/>
      <c r="T62" s="71"/>
      <c r="U62" s="71"/>
      <c r="V62" s="72"/>
      <c r="W62" s="72"/>
      <c r="X62" s="73"/>
      <c r="Y62" s="73"/>
      <c r="Z62" s="73"/>
    </row>
    <row r="63" ht="12.0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M63" s="73"/>
      <c r="P63" s="73"/>
      <c r="Q63" s="73"/>
      <c r="S63" s="71"/>
      <c r="T63" s="71"/>
      <c r="U63" s="71"/>
      <c r="V63" s="72"/>
      <c r="W63" s="72"/>
      <c r="X63" s="73"/>
      <c r="Y63" s="73"/>
      <c r="Z63" s="73"/>
    </row>
    <row r="64" ht="12.0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1"/>
      <c r="T64" s="71"/>
      <c r="U64" s="71"/>
      <c r="V64" s="72"/>
      <c r="W64" s="72"/>
      <c r="X64" s="73"/>
      <c r="Y64" s="73"/>
      <c r="Z64" s="73"/>
    </row>
    <row r="65" ht="12.0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1"/>
      <c r="T65" s="71"/>
      <c r="U65" s="71"/>
      <c r="V65" s="72"/>
      <c r="W65" s="72"/>
      <c r="X65" s="73"/>
      <c r="Y65" s="73"/>
      <c r="Z65" s="73"/>
    </row>
    <row r="66" ht="12.0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1"/>
      <c r="T66" s="71"/>
      <c r="U66" s="71"/>
      <c r="V66" s="72"/>
      <c r="W66" s="72"/>
      <c r="X66" s="73"/>
      <c r="Y66" s="73"/>
      <c r="Z66" s="73"/>
    </row>
    <row r="67" ht="12.0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1"/>
      <c r="T67" s="71"/>
      <c r="U67" s="71"/>
      <c r="V67" s="72"/>
      <c r="W67" s="72"/>
      <c r="X67" s="73"/>
      <c r="Y67" s="73"/>
      <c r="Z67" s="73"/>
    </row>
    <row r="68" ht="12.0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1"/>
      <c r="T68" s="71"/>
      <c r="U68" s="71"/>
      <c r="V68" s="72"/>
      <c r="W68" s="72"/>
      <c r="X68" s="73"/>
      <c r="Y68" s="73"/>
      <c r="Z68" s="73"/>
    </row>
    <row r="69" ht="12.0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1"/>
      <c r="T69" s="71"/>
      <c r="U69" s="71"/>
      <c r="V69" s="72"/>
      <c r="W69" s="72"/>
      <c r="X69" s="73"/>
      <c r="Y69" s="73"/>
      <c r="Z69" s="73"/>
    </row>
    <row r="70" ht="12.0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1"/>
      <c r="T70" s="71"/>
      <c r="U70" s="71"/>
      <c r="V70" s="72"/>
      <c r="W70" s="72"/>
      <c r="X70" s="73"/>
      <c r="Y70" s="73"/>
      <c r="Z70" s="73"/>
    </row>
    <row r="71" ht="12.0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1"/>
      <c r="T71" s="71"/>
      <c r="U71" s="71"/>
      <c r="V71" s="72"/>
      <c r="W71" s="72"/>
      <c r="X71" s="73"/>
      <c r="Y71" s="73"/>
      <c r="Z71" s="73"/>
    </row>
    <row r="72" ht="12.0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1"/>
      <c r="T72" s="71"/>
      <c r="U72" s="71"/>
      <c r="V72" s="72"/>
      <c r="W72" s="72"/>
      <c r="X72" s="73"/>
      <c r="Y72" s="73"/>
      <c r="Z72" s="73"/>
    </row>
    <row r="73" ht="12.0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1"/>
      <c r="T73" s="71"/>
      <c r="U73" s="71"/>
      <c r="V73" s="72"/>
      <c r="W73" s="72"/>
      <c r="X73" s="73"/>
      <c r="Y73" s="73"/>
      <c r="Z73" s="73"/>
    </row>
    <row r="74" ht="12.0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1"/>
      <c r="T74" s="71"/>
      <c r="U74" s="71"/>
      <c r="V74" s="72"/>
      <c r="W74" s="72"/>
      <c r="X74" s="73"/>
      <c r="Y74" s="73"/>
      <c r="Z74" s="73"/>
    </row>
    <row r="75" ht="12.0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1"/>
      <c r="T75" s="71"/>
      <c r="U75" s="71"/>
      <c r="V75" s="72"/>
      <c r="W75" s="72"/>
      <c r="X75" s="73"/>
      <c r="Y75" s="73"/>
      <c r="Z75" s="73"/>
    </row>
    <row r="76" ht="12.0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1"/>
      <c r="T76" s="71"/>
      <c r="U76" s="71"/>
      <c r="V76" s="72"/>
      <c r="W76" s="72"/>
      <c r="X76" s="73"/>
      <c r="Y76" s="73"/>
      <c r="Z76" s="73"/>
    </row>
    <row r="77" ht="12.0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1"/>
      <c r="T77" s="71"/>
      <c r="U77" s="71"/>
      <c r="V77" s="72"/>
      <c r="W77" s="72"/>
      <c r="X77" s="73"/>
      <c r="Y77" s="73"/>
      <c r="Z77" s="73"/>
    </row>
    <row r="78" ht="12.0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1"/>
      <c r="T78" s="71"/>
      <c r="U78" s="71"/>
      <c r="V78" s="72"/>
      <c r="W78" s="72"/>
      <c r="X78" s="73"/>
      <c r="Y78" s="73"/>
      <c r="Z78" s="73"/>
    </row>
    <row r="79" ht="12.0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1"/>
      <c r="T79" s="71"/>
      <c r="U79" s="71"/>
      <c r="V79" s="72"/>
      <c r="W79" s="72"/>
      <c r="X79" s="73"/>
      <c r="Y79" s="73"/>
      <c r="Z79" s="73"/>
    </row>
    <row r="80" ht="12.0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1"/>
      <c r="T80" s="71"/>
      <c r="U80" s="71"/>
      <c r="V80" s="72"/>
      <c r="W80" s="72"/>
      <c r="X80" s="73"/>
      <c r="Y80" s="73"/>
      <c r="Z80" s="73"/>
    </row>
    <row r="81" ht="12.0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1"/>
      <c r="T81" s="71"/>
      <c r="U81" s="71"/>
      <c r="V81" s="72"/>
      <c r="W81" s="72"/>
      <c r="X81" s="73"/>
      <c r="Y81" s="73"/>
      <c r="Z81" s="73"/>
    </row>
    <row r="82" ht="12.0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1"/>
      <c r="T82" s="71"/>
      <c r="U82" s="71"/>
      <c r="V82" s="72"/>
      <c r="W82" s="72"/>
      <c r="X82" s="73"/>
      <c r="Y82" s="73"/>
      <c r="Z82" s="73"/>
    </row>
    <row r="83" ht="12.0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1"/>
      <c r="T83" s="71"/>
      <c r="U83" s="71"/>
      <c r="V83" s="72"/>
      <c r="W83" s="72"/>
      <c r="X83" s="73"/>
      <c r="Y83" s="73"/>
      <c r="Z83" s="73"/>
    </row>
    <row r="84" ht="12.0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1"/>
      <c r="T84" s="71"/>
      <c r="U84" s="71"/>
      <c r="V84" s="72"/>
      <c r="W84" s="72"/>
      <c r="X84" s="73"/>
      <c r="Y84" s="73"/>
      <c r="Z84" s="73"/>
    </row>
    <row r="85" ht="12.0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1"/>
      <c r="T85" s="71"/>
      <c r="U85" s="71"/>
      <c r="V85" s="72"/>
      <c r="W85" s="72"/>
      <c r="X85" s="73"/>
      <c r="Y85" s="73"/>
      <c r="Z85" s="73"/>
    </row>
    <row r="86" ht="12.0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1"/>
      <c r="T86" s="71"/>
      <c r="U86" s="71"/>
      <c r="V86" s="72"/>
      <c r="W86" s="72"/>
      <c r="X86" s="73"/>
      <c r="Y86" s="73"/>
      <c r="Z86" s="73"/>
    </row>
    <row r="87" ht="12.0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1"/>
      <c r="T87" s="71"/>
      <c r="U87" s="71"/>
      <c r="V87" s="72"/>
      <c r="W87" s="72"/>
      <c r="X87" s="73"/>
      <c r="Y87" s="73"/>
      <c r="Z87" s="73"/>
    </row>
    <row r="88" ht="12.0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1"/>
      <c r="T88" s="71"/>
      <c r="U88" s="71"/>
      <c r="V88" s="72"/>
      <c r="W88" s="72"/>
      <c r="X88" s="73"/>
      <c r="Y88" s="73"/>
      <c r="Z88" s="73"/>
    </row>
    <row r="89" ht="12.0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1"/>
      <c r="T89" s="71"/>
      <c r="U89" s="71"/>
      <c r="V89" s="72"/>
      <c r="W89" s="72"/>
      <c r="X89" s="73"/>
      <c r="Y89" s="73"/>
      <c r="Z89" s="73"/>
    </row>
    <row r="90" ht="12.0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1"/>
      <c r="T90" s="71"/>
      <c r="U90" s="71"/>
      <c r="V90" s="72"/>
      <c r="W90" s="72"/>
      <c r="X90" s="73"/>
      <c r="Y90" s="73"/>
      <c r="Z90" s="73"/>
    </row>
    <row r="91" ht="12.0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1"/>
      <c r="T91" s="71"/>
      <c r="U91" s="71"/>
      <c r="V91" s="72"/>
      <c r="W91" s="72"/>
      <c r="X91" s="73"/>
      <c r="Y91" s="73"/>
      <c r="Z91" s="73"/>
    </row>
    <row r="92" ht="12.0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1"/>
      <c r="T92" s="71"/>
      <c r="U92" s="71"/>
      <c r="V92" s="72"/>
      <c r="W92" s="72"/>
      <c r="X92" s="73"/>
      <c r="Y92" s="73"/>
      <c r="Z92" s="73"/>
    </row>
    <row r="93" ht="12.0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1"/>
      <c r="T93" s="71"/>
      <c r="U93" s="71"/>
      <c r="V93" s="72"/>
      <c r="W93" s="72"/>
      <c r="X93" s="73"/>
      <c r="Y93" s="73"/>
      <c r="Z93" s="73"/>
    </row>
    <row r="94" ht="12.0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1"/>
      <c r="T94" s="71"/>
      <c r="U94" s="71"/>
      <c r="V94" s="72"/>
      <c r="W94" s="72"/>
      <c r="X94" s="73"/>
      <c r="Y94" s="73"/>
      <c r="Z94" s="73"/>
    </row>
    <row r="95" ht="12.0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1"/>
      <c r="T95" s="71"/>
      <c r="U95" s="71"/>
      <c r="V95" s="72"/>
      <c r="W95" s="72"/>
      <c r="X95" s="73"/>
      <c r="Y95" s="73"/>
      <c r="Z95" s="73"/>
    </row>
    <row r="96" ht="12.0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1"/>
      <c r="T96" s="71"/>
      <c r="U96" s="71"/>
      <c r="V96" s="72"/>
      <c r="W96" s="72"/>
      <c r="X96" s="73"/>
      <c r="Y96" s="73"/>
      <c r="Z96" s="73"/>
    </row>
    <row r="97" ht="12.0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1"/>
      <c r="T97" s="71"/>
      <c r="U97" s="71"/>
      <c r="V97" s="72"/>
      <c r="W97" s="72"/>
      <c r="X97" s="73"/>
      <c r="Y97" s="73"/>
      <c r="Z97" s="73"/>
    </row>
    <row r="98" ht="12.0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1"/>
      <c r="T98" s="71"/>
      <c r="U98" s="71"/>
      <c r="V98" s="72"/>
      <c r="W98" s="72"/>
      <c r="X98" s="73"/>
      <c r="Y98" s="73"/>
      <c r="Z98" s="73"/>
    </row>
    <row r="99" ht="12.0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1"/>
      <c r="T99" s="71"/>
      <c r="U99" s="71"/>
      <c r="V99" s="72"/>
      <c r="W99" s="72"/>
      <c r="X99" s="73"/>
      <c r="Y99" s="73"/>
      <c r="Z99" s="73"/>
    </row>
    <row r="100" ht="12.0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1"/>
      <c r="T100" s="71"/>
      <c r="U100" s="71"/>
      <c r="V100" s="72"/>
      <c r="W100" s="72"/>
      <c r="X100" s="73"/>
      <c r="Y100" s="73"/>
      <c r="Z100" s="73"/>
    </row>
    <row r="101" ht="12.0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1"/>
      <c r="T101" s="71"/>
      <c r="U101" s="71"/>
      <c r="V101" s="72"/>
      <c r="W101" s="72"/>
      <c r="X101" s="73"/>
      <c r="Y101" s="73"/>
      <c r="Z101" s="73"/>
    </row>
    <row r="102" ht="12.0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1"/>
      <c r="T102" s="71"/>
      <c r="U102" s="71"/>
      <c r="V102" s="72"/>
      <c r="W102" s="72"/>
      <c r="X102" s="73"/>
      <c r="Y102" s="73"/>
      <c r="Z102" s="73"/>
    </row>
    <row r="103" ht="12.0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1"/>
      <c r="T103" s="71"/>
      <c r="U103" s="71"/>
      <c r="V103" s="72"/>
      <c r="W103" s="72"/>
      <c r="X103" s="73"/>
      <c r="Y103" s="73"/>
      <c r="Z103" s="73"/>
    </row>
    <row r="104" ht="12.0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1"/>
      <c r="T104" s="71"/>
      <c r="U104" s="71"/>
      <c r="V104" s="72"/>
      <c r="W104" s="72"/>
      <c r="X104" s="73"/>
      <c r="Y104" s="73"/>
      <c r="Z104" s="73"/>
    </row>
    <row r="105" ht="12.0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1"/>
      <c r="T105" s="71"/>
      <c r="U105" s="71"/>
      <c r="V105" s="72"/>
      <c r="W105" s="72"/>
      <c r="X105" s="73"/>
      <c r="Y105" s="73"/>
      <c r="Z105" s="73"/>
    </row>
    <row r="106" ht="12.0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1"/>
      <c r="T106" s="71"/>
      <c r="U106" s="71"/>
      <c r="V106" s="72"/>
      <c r="W106" s="72"/>
      <c r="X106" s="73"/>
      <c r="Y106" s="73"/>
      <c r="Z106" s="73"/>
    </row>
    <row r="107" ht="12.0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1"/>
      <c r="T107" s="71"/>
      <c r="U107" s="71"/>
      <c r="V107" s="72"/>
      <c r="W107" s="72"/>
      <c r="X107" s="73"/>
      <c r="Y107" s="73"/>
      <c r="Z107" s="73"/>
    </row>
    <row r="108" ht="12.0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1"/>
      <c r="T108" s="71"/>
      <c r="U108" s="71"/>
      <c r="V108" s="72"/>
      <c r="W108" s="72"/>
      <c r="X108" s="73"/>
      <c r="Y108" s="73"/>
      <c r="Z108" s="73"/>
    </row>
    <row r="109" ht="12.0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1"/>
      <c r="T109" s="71"/>
      <c r="U109" s="71"/>
      <c r="V109" s="72"/>
      <c r="W109" s="72"/>
      <c r="X109" s="73"/>
      <c r="Y109" s="73"/>
      <c r="Z109" s="73"/>
    </row>
    <row r="110" ht="12.0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1"/>
      <c r="T110" s="71"/>
      <c r="U110" s="71"/>
      <c r="V110" s="72"/>
      <c r="W110" s="72"/>
      <c r="X110" s="73"/>
      <c r="Y110" s="73"/>
      <c r="Z110" s="73"/>
    </row>
    <row r="111" ht="12.0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1"/>
      <c r="T111" s="71"/>
      <c r="U111" s="71"/>
      <c r="V111" s="72"/>
      <c r="W111" s="72"/>
      <c r="X111" s="73"/>
      <c r="Y111" s="73"/>
      <c r="Z111" s="73"/>
    </row>
    <row r="112" ht="12.0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1"/>
      <c r="T112" s="71"/>
      <c r="U112" s="71"/>
      <c r="V112" s="72"/>
      <c r="W112" s="72"/>
      <c r="X112" s="73"/>
      <c r="Y112" s="73"/>
      <c r="Z112" s="73"/>
    </row>
    <row r="113" ht="12.0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1"/>
      <c r="T113" s="71"/>
      <c r="U113" s="71"/>
      <c r="V113" s="72"/>
      <c r="W113" s="72"/>
      <c r="X113" s="73"/>
      <c r="Y113" s="73"/>
      <c r="Z113" s="73"/>
    </row>
    <row r="114" ht="12.0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1"/>
      <c r="T114" s="71"/>
      <c r="U114" s="71"/>
      <c r="V114" s="72"/>
      <c r="W114" s="72"/>
      <c r="X114" s="73"/>
      <c r="Y114" s="73"/>
      <c r="Z114" s="73"/>
    </row>
    <row r="115" ht="12.0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1"/>
      <c r="T115" s="71"/>
      <c r="U115" s="71"/>
      <c r="V115" s="72"/>
      <c r="W115" s="72"/>
      <c r="X115" s="73"/>
      <c r="Y115" s="73"/>
      <c r="Z115" s="73"/>
    </row>
    <row r="116" ht="12.0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1"/>
      <c r="T116" s="71"/>
      <c r="U116" s="71"/>
      <c r="V116" s="72"/>
      <c r="W116" s="72"/>
      <c r="X116" s="73"/>
      <c r="Y116" s="73"/>
      <c r="Z116" s="73"/>
    </row>
    <row r="117" ht="12.0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1"/>
      <c r="T117" s="71"/>
      <c r="U117" s="71"/>
      <c r="V117" s="72"/>
      <c r="W117" s="72"/>
      <c r="X117" s="73"/>
      <c r="Y117" s="73"/>
      <c r="Z117" s="73"/>
    </row>
    <row r="118" ht="12.0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1"/>
      <c r="T118" s="71"/>
      <c r="U118" s="71"/>
      <c r="V118" s="72"/>
      <c r="W118" s="72"/>
      <c r="X118" s="73"/>
      <c r="Y118" s="73"/>
      <c r="Z118" s="73"/>
    </row>
    <row r="119" ht="12.0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1"/>
      <c r="T119" s="71"/>
      <c r="U119" s="71"/>
      <c r="V119" s="72"/>
      <c r="W119" s="72"/>
      <c r="X119" s="73"/>
      <c r="Y119" s="73"/>
      <c r="Z119" s="73"/>
    </row>
    <row r="120" ht="12.0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1"/>
      <c r="T120" s="71"/>
      <c r="U120" s="71"/>
      <c r="V120" s="72"/>
      <c r="W120" s="72"/>
      <c r="X120" s="73"/>
      <c r="Y120" s="73"/>
      <c r="Z120" s="73"/>
    </row>
    <row r="121" ht="12.0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1"/>
      <c r="T121" s="71"/>
      <c r="U121" s="71"/>
      <c r="V121" s="72"/>
      <c r="W121" s="72"/>
      <c r="X121" s="73"/>
      <c r="Y121" s="73"/>
      <c r="Z121" s="73"/>
    </row>
    <row r="122" ht="12.0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1"/>
      <c r="T122" s="71"/>
      <c r="U122" s="71"/>
      <c r="V122" s="72"/>
      <c r="W122" s="72"/>
      <c r="X122" s="73"/>
      <c r="Y122" s="73"/>
      <c r="Z122" s="73"/>
    </row>
    <row r="123" ht="12.0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1"/>
      <c r="T123" s="71"/>
      <c r="U123" s="71"/>
      <c r="V123" s="72"/>
      <c r="W123" s="72"/>
      <c r="X123" s="73"/>
      <c r="Y123" s="73"/>
      <c r="Z123" s="73"/>
    </row>
    <row r="124" ht="12.0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1"/>
      <c r="T124" s="71"/>
      <c r="U124" s="71"/>
      <c r="V124" s="72"/>
      <c r="W124" s="72"/>
      <c r="X124" s="73"/>
      <c r="Y124" s="73"/>
      <c r="Z124" s="73"/>
    </row>
    <row r="125" ht="12.0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1"/>
      <c r="T125" s="71"/>
      <c r="U125" s="71"/>
      <c r="V125" s="72"/>
      <c r="W125" s="72"/>
      <c r="X125" s="73"/>
      <c r="Y125" s="73"/>
      <c r="Z125" s="73"/>
    </row>
    <row r="126" ht="12.0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1"/>
      <c r="T126" s="71"/>
      <c r="U126" s="71"/>
      <c r="V126" s="72"/>
      <c r="W126" s="72"/>
      <c r="X126" s="73"/>
      <c r="Y126" s="73"/>
      <c r="Z126" s="73"/>
    </row>
    <row r="127" ht="12.0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1"/>
      <c r="T127" s="71"/>
      <c r="U127" s="71"/>
      <c r="V127" s="72"/>
      <c r="W127" s="72"/>
      <c r="X127" s="73"/>
      <c r="Y127" s="73"/>
      <c r="Z127" s="73"/>
    </row>
    <row r="128" ht="12.0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1"/>
      <c r="T128" s="71"/>
      <c r="U128" s="71"/>
      <c r="V128" s="72"/>
      <c r="W128" s="72"/>
      <c r="X128" s="73"/>
      <c r="Y128" s="73"/>
      <c r="Z128" s="73"/>
    </row>
    <row r="129" ht="12.0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1"/>
      <c r="T129" s="71"/>
      <c r="U129" s="71"/>
      <c r="V129" s="72"/>
      <c r="W129" s="72"/>
      <c r="X129" s="73"/>
      <c r="Y129" s="73"/>
      <c r="Z129" s="73"/>
    </row>
    <row r="130" ht="12.0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1"/>
      <c r="T130" s="71"/>
      <c r="U130" s="71"/>
      <c r="V130" s="72"/>
      <c r="W130" s="72"/>
      <c r="X130" s="73"/>
      <c r="Y130" s="73"/>
      <c r="Z130" s="73"/>
    </row>
    <row r="131" ht="12.0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1"/>
      <c r="T131" s="71"/>
      <c r="U131" s="71"/>
      <c r="V131" s="72"/>
      <c r="W131" s="72"/>
      <c r="X131" s="73"/>
      <c r="Y131" s="73"/>
      <c r="Z131" s="73"/>
    </row>
    <row r="132" ht="12.0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1"/>
      <c r="T132" s="71"/>
      <c r="U132" s="71"/>
      <c r="V132" s="72"/>
      <c r="W132" s="72"/>
      <c r="X132" s="73"/>
      <c r="Y132" s="73"/>
      <c r="Z132" s="73"/>
    </row>
    <row r="133" ht="12.0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1"/>
      <c r="T133" s="71"/>
      <c r="U133" s="71"/>
      <c r="V133" s="72"/>
      <c r="W133" s="72"/>
      <c r="X133" s="73"/>
      <c r="Y133" s="73"/>
      <c r="Z133" s="73"/>
    </row>
    <row r="134" ht="12.0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1"/>
      <c r="T134" s="71"/>
      <c r="U134" s="71"/>
      <c r="V134" s="72"/>
      <c r="W134" s="72"/>
      <c r="X134" s="73"/>
      <c r="Y134" s="73"/>
      <c r="Z134" s="73"/>
    </row>
    <row r="135" ht="12.0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1"/>
      <c r="T135" s="71"/>
      <c r="U135" s="71"/>
      <c r="V135" s="72"/>
      <c r="W135" s="72"/>
      <c r="X135" s="73"/>
      <c r="Y135" s="73"/>
      <c r="Z135" s="73"/>
    </row>
    <row r="136" ht="12.0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1"/>
      <c r="T136" s="71"/>
      <c r="U136" s="71"/>
      <c r="V136" s="72"/>
      <c r="W136" s="72"/>
      <c r="X136" s="73"/>
      <c r="Y136" s="73"/>
      <c r="Z136" s="73"/>
    </row>
    <row r="137" ht="12.0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1"/>
      <c r="T137" s="71"/>
      <c r="U137" s="71"/>
      <c r="V137" s="72"/>
      <c r="W137" s="72"/>
      <c r="X137" s="73"/>
      <c r="Y137" s="73"/>
      <c r="Z137" s="73"/>
    </row>
    <row r="138" ht="12.0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1"/>
      <c r="T138" s="71"/>
      <c r="U138" s="71"/>
      <c r="V138" s="72"/>
      <c r="W138" s="72"/>
      <c r="X138" s="73"/>
      <c r="Y138" s="73"/>
      <c r="Z138" s="73"/>
    </row>
    <row r="139" ht="12.0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1"/>
      <c r="T139" s="71"/>
      <c r="U139" s="71"/>
      <c r="V139" s="72"/>
      <c r="W139" s="72"/>
      <c r="X139" s="73"/>
      <c r="Y139" s="73"/>
      <c r="Z139" s="73"/>
    </row>
    <row r="140" ht="12.0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1"/>
      <c r="T140" s="71"/>
      <c r="U140" s="71"/>
      <c r="V140" s="72"/>
      <c r="W140" s="72"/>
      <c r="X140" s="73"/>
      <c r="Y140" s="73"/>
      <c r="Z140" s="73"/>
    </row>
    <row r="141" ht="12.0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1"/>
      <c r="T141" s="71"/>
      <c r="U141" s="71"/>
      <c r="V141" s="72"/>
      <c r="W141" s="72"/>
      <c r="X141" s="73"/>
      <c r="Y141" s="73"/>
      <c r="Z141" s="73"/>
    </row>
    <row r="142" ht="12.0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1"/>
      <c r="T142" s="71"/>
      <c r="U142" s="71"/>
      <c r="V142" s="72"/>
      <c r="W142" s="72"/>
      <c r="X142" s="73"/>
      <c r="Y142" s="73"/>
      <c r="Z142" s="73"/>
    </row>
    <row r="143" ht="12.0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1"/>
      <c r="T143" s="71"/>
      <c r="U143" s="71"/>
      <c r="V143" s="72"/>
      <c r="W143" s="72"/>
      <c r="X143" s="73"/>
      <c r="Y143" s="73"/>
      <c r="Z143" s="73"/>
    </row>
    <row r="144" ht="12.0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1"/>
      <c r="T144" s="71"/>
      <c r="U144" s="71"/>
      <c r="V144" s="72"/>
      <c r="W144" s="72"/>
      <c r="X144" s="73"/>
      <c r="Y144" s="73"/>
      <c r="Z144" s="73"/>
    </row>
    <row r="145" ht="12.0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1"/>
      <c r="T145" s="71"/>
      <c r="U145" s="71"/>
      <c r="V145" s="72"/>
      <c r="W145" s="72"/>
      <c r="X145" s="73"/>
      <c r="Y145" s="73"/>
      <c r="Z145" s="73"/>
    </row>
    <row r="146" ht="12.0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1"/>
      <c r="T146" s="71"/>
      <c r="U146" s="71"/>
      <c r="V146" s="72"/>
      <c r="W146" s="72"/>
      <c r="X146" s="73"/>
      <c r="Y146" s="73"/>
      <c r="Z146" s="73"/>
    </row>
    <row r="147" ht="12.0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1"/>
      <c r="T147" s="71"/>
      <c r="U147" s="71"/>
      <c r="V147" s="72"/>
      <c r="W147" s="72"/>
      <c r="X147" s="73"/>
      <c r="Y147" s="73"/>
      <c r="Z147" s="73"/>
    </row>
    <row r="148" ht="12.0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1"/>
      <c r="T148" s="71"/>
      <c r="U148" s="71"/>
      <c r="V148" s="72"/>
      <c r="W148" s="72"/>
      <c r="X148" s="73"/>
      <c r="Y148" s="73"/>
      <c r="Z148" s="73"/>
    </row>
    <row r="149" ht="12.0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1"/>
      <c r="T149" s="71"/>
      <c r="U149" s="71"/>
      <c r="V149" s="72"/>
      <c r="W149" s="72"/>
      <c r="X149" s="73"/>
      <c r="Y149" s="73"/>
      <c r="Z149" s="73"/>
    </row>
    <row r="150" ht="12.0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1"/>
      <c r="T150" s="71"/>
      <c r="U150" s="71"/>
      <c r="V150" s="72"/>
      <c r="W150" s="72"/>
      <c r="X150" s="73"/>
      <c r="Y150" s="73"/>
      <c r="Z150" s="73"/>
    </row>
    <row r="151" ht="12.0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1"/>
      <c r="T151" s="71"/>
      <c r="U151" s="71"/>
      <c r="V151" s="72"/>
      <c r="W151" s="72"/>
      <c r="X151" s="73"/>
      <c r="Y151" s="73"/>
      <c r="Z151" s="73"/>
    </row>
    <row r="152" ht="12.0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1"/>
      <c r="T152" s="71"/>
      <c r="U152" s="71"/>
      <c r="V152" s="72"/>
      <c r="W152" s="72"/>
      <c r="X152" s="73"/>
      <c r="Y152" s="73"/>
      <c r="Z152" s="73"/>
    </row>
    <row r="153" ht="12.0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1"/>
      <c r="T153" s="71"/>
      <c r="U153" s="71"/>
      <c r="V153" s="72"/>
      <c r="W153" s="72"/>
      <c r="X153" s="73"/>
      <c r="Y153" s="73"/>
      <c r="Z153" s="73"/>
    </row>
    <row r="154" ht="12.0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1"/>
      <c r="T154" s="71"/>
      <c r="U154" s="71"/>
      <c r="V154" s="72"/>
      <c r="W154" s="72"/>
      <c r="X154" s="73"/>
      <c r="Y154" s="73"/>
      <c r="Z154" s="73"/>
    </row>
    <row r="155" ht="12.0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1"/>
      <c r="T155" s="71"/>
      <c r="U155" s="71"/>
      <c r="V155" s="72"/>
      <c r="W155" s="72"/>
      <c r="X155" s="73"/>
      <c r="Y155" s="73"/>
      <c r="Z155" s="73"/>
    </row>
    <row r="156" ht="12.0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1"/>
      <c r="T156" s="71"/>
      <c r="U156" s="71"/>
      <c r="V156" s="72"/>
      <c r="W156" s="72"/>
      <c r="X156" s="73"/>
      <c r="Y156" s="73"/>
      <c r="Z156" s="73"/>
    </row>
    <row r="157" ht="12.0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1"/>
      <c r="T157" s="71"/>
      <c r="U157" s="71"/>
      <c r="V157" s="72"/>
      <c r="W157" s="72"/>
      <c r="X157" s="73"/>
      <c r="Y157" s="73"/>
      <c r="Z157" s="73"/>
    </row>
    <row r="158" ht="12.0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1"/>
      <c r="T158" s="71"/>
      <c r="U158" s="71"/>
      <c r="V158" s="72"/>
      <c r="W158" s="72"/>
      <c r="X158" s="73"/>
      <c r="Y158" s="73"/>
      <c r="Z158" s="73"/>
    </row>
    <row r="159" ht="12.0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1"/>
      <c r="T159" s="71"/>
      <c r="U159" s="71"/>
      <c r="V159" s="72"/>
      <c r="W159" s="72"/>
      <c r="X159" s="73"/>
      <c r="Y159" s="73"/>
      <c r="Z159" s="73"/>
    </row>
    <row r="160" ht="12.0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1"/>
      <c r="T160" s="71"/>
      <c r="U160" s="71"/>
      <c r="V160" s="72"/>
      <c r="W160" s="72"/>
      <c r="X160" s="73"/>
      <c r="Y160" s="73"/>
      <c r="Z160" s="73"/>
    </row>
    <row r="161" ht="12.0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1"/>
      <c r="T161" s="71"/>
      <c r="U161" s="71"/>
      <c r="V161" s="72"/>
      <c r="W161" s="72"/>
      <c r="X161" s="73"/>
      <c r="Y161" s="73"/>
      <c r="Z161" s="73"/>
    </row>
    <row r="162" ht="12.0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1"/>
      <c r="T162" s="71"/>
      <c r="U162" s="71"/>
      <c r="V162" s="72"/>
      <c r="W162" s="72"/>
      <c r="X162" s="73"/>
      <c r="Y162" s="73"/>
      <c r="Z162" s="73"/>
    </row>
    <row r="163" ht="12.0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1"/>
      <c r="T163" s="71"/>
      <c r="U163" s="71"/>
      <c r="V163" s="72"/>
      <c r="W163" s="72"/>
      <c r="X163" s="73"/>
      <c r="Y163" s="73"/>
      <c r="Z163" s="73"/>
    </row>
    <row r="164" ht="12.0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1"/>
      <c r="T164" s="71"/>
      <c r="U164" s="71"/>
      <c r="V164" s="72"/>
      <c r="W164" s="72"/>
      <c r="X164" s="73"/>
      <c r="Y164" s="73"/>
      <c r="Z164" s="73"/>
    </row>
    <row r="165" ht="12.0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1"/>
      <c r="T165" s="71"/>
      <c r="U165" s="71"/>
      <c r="V165" s="72"/>
      <c r="W165" s="72"/>
      <c r="X165" s="73"/>
      <c r="Y165" s="73"/>
      <c r="Z165" s="73"/>
    </row>
    <row r="166" ht="12.0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1"/>
      <c r="T166" s="71"/>
      <c r="U166" s="71"/>
      <c r="V166" s="72"/>
      <c r="W166" s="72"/>
      <c r="X166" s="73"/>
      <c r="Y166" s="73"/>
      <c r="Z166" s="73"/>
    </row>
    <row r="167" ht="12.0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1"/>
      <c r="T167" s="71"/>
      <c r="U167" s="71"/>
      <c r="V167" s="72"/>
      <c r="W167" s="72"/>
      <c r="X167" s="73"/>
      <c r="Y167" s="73"/>
      <c r="Z167" s="73"/>
    </row>
    <row r="168" ht="12.0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1"/>
      <c r="T168" s="71"/>
      <c r="U168" s="71"/>
      <c r="V168" s="72"/>
      <c r="W168" s="72"/>
      <c r="X168" s="73"/>
      <c r="Y168" s="73"/>
      <c r="Z168" s="73"/>
    </row>
    <row r="169" ht="12.0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1"/>
      <c r="T169" s="71"/>
      <c r="U169" s="71"/>
      <c r="V169" s="72"/>
      <c r="W169" s="72"/>
      <c r="X169" s="73"/>
      <c r="Y169" s="73"/>
      <c r="Z169" s="73"/>
    </row>
    <row r="170" ht="12.0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1"/>
      <c r="T170" s="71"/>
      <c r="U170" s="71"/>
      <c r="V170" s="72"/>
      <c r="W170" s="72"/>
      <c r="X170" s="73"/>
      <c r="Y170" s="73"/>
      <c r="Z170" s="73"/>
    </row>
    <row r="171" ht="12.0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1"/>
      <c r="T171" s="71"/>
      <c r="U171" s="71"/>
      <c r="V171" s="72"/>
      <c r="W171" s="72"/>
      <c r="X171" s="73"/>
      <c r="Y171" s="73"/>
      <c r="Z171" s="73"/>
    </row>
    <row r="172" ht="12.0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1"/>
      <c r="T172" s="71"/>
      <c r="U172" s="71"/>
      <c r="V172" s="72"/>
      <c r="W172" s="72"/>
      <c r="X172" s="73"/>
      <c r="Y172" s="73"/>
      <c r="Z172" s="73"/>
    </row>
    <row r="173" ht="12.0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1"/>
      <c r="T173" s="71"/>
      <c r="U173" s="71"/>
      <c r="V173" s="72"/>
      <c r="W173" s="72"/>
      <c r="X173" s="73"/>
      <c r="Y173" s="73"/>
      <c r="Z173" s="73"/>
    </row>
    <row r="174" ht="12.0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1"/>
      <c r="T174" s="71"/>
      <c r="U174" s="71"/>
      <c r="V174" s="72"/>
      <c r="W174" s="72"/>
      <c r="X174" s="73"/>
      <c r="Y174" s="73"/>
      <c r="Z174" s="73"/>
    </row>
    <row r="175" ht="12.0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1"/>
      <c r="T175" s="71"/>
      <c r="U175" s="71"/>
      <c r="V175" s="72"/>
      <c r="W175" s="72"/>
      <c r="X175" s="73"/>
      <c r="Y175" s="73"/>
      <c r="Z175" s="73"/>
    </row>
    <row r="176" ht="12.0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1"/>
      <c r="T176" s="71"/>
      <c r="U176" s="71"/>
      <c r="V176" s="72"/>
      <c r="W176" s="72"/>
      <c r="X176" s="73"/>
      <c r="Y176" s="73"/>
      <c r="Z176" s="73"/>
    </row>
    <row r="177" ht="12.0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1"/>
      <c r="T177" s="71"/>
      <c r="U177" s="71"/>
      <c r="V177" s="72"/>
      <c r="W177" s="72"/>
      <c r="X177" s="73"/>
      <c r="Y177" s="73"/>
      <c r="Z177" s="73"/>
    </row>
    <row r="178" ht="12.0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1"/>
      <c r="T178" s="71"/>
      <c r="U178" s="71"/>
      <c r="V178" s="72"/>
      <c r="W178" s="72"/>
      <c r="X178" s="73"/>
      <c r="Y178" s="73"/>
      <c r="Z178" s="73"/>
    </row>
    <row r="179" ht="12.0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1"/>
      <c r="T179" s="71"/>
      <c r="U179" s="71"/>
      <c r="V179" s="72"/>
      <c r="W179" s="72"/>
      <c r="X179" s="73"/>
      <c r="Y179" s="73"/>
      <c r="Z179" s="73"/>
    </row>
    <row r="180" ht="12.0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1"/>
      <c r="T180" s="71"/>
      <c r="U180" s="71"/>
      <c r="V180" s="72"/>
      <c r="W180" s="72"/>
      <c r="X180" s="73"/>
      <c r="Y180" s="73"/>
      <c r="Z180" s="73"/>
    </row>
    <row r="181" ht="12.0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1"/>
      <c r="T181" s="71"/>
      <c r="U181" s="71"/>
      <c r="V181" s="72"/>
      <c r="W181" s="72"/>
      <c r="X181" s="73"/>
      <c r="Y181" s="73"/>
      <c r="Z181" s="73"/>
    </row>
    <row r="182" ht="12.0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1"/>
      <c r="T182" s="71"/>
      <c r="U182" s="71"/>
      <c r="V182" s="72"/>
      <c r="W182" s="72"/>
      <c r="X182" s="73"/>
      <c r="Y182" s="73"/>
      <c r="Z182" s="73"/>
    </row>
    <row r="183" ht="12.0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1"/>
      <c r="T183" s="71"/>
      <c r="U183" s="71"/>
      <c r="V183" s="72"/>
      <c r="W183" s="72"/>
      <c r="X183" s="73"/>
      <c r="Y183" s="73"/>
      <c r="Z183" s="73"/>
    </row>
    <row r="184" ht="12.0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1"/>
      <c r="T184" s="71"/>
      <c r="U184" s="71"/>
      <c r="V184" s="72"/>
      <c r="W184" s="72"/>
      <c r="X184" s="73"/>
      <c r="Y184" s="73"/>
      <c r="Z184" s="73"/>
    </row>
    <row r="185" ht="12.0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1"/>
      <c r="T185" s="71"/>
      <c r="U185" s="71"/>
      <c r="V185" s="72"/>
      <c r="W185" s="72"/>
      <c r="X185" s="73"/>
      <c r="Y185" s="73"/>
      <c r="Z185" s="73"/>
    </row>
    <row r="186" ht="12.0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1"/>
      <c r="T186" s="71"/>
      <c r="U186" s="71"/>
      <c r="V186" s="72"/>
      <c r="W186" s="72"/>
      <c r="X186" s="73"/>
      <c r="Y186" s="73"/>
      <c r="Z186" s="73"/>
    </row>
    <row r="187" ht="12.0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1"/>
      <c r="T187" s="71"/>
      <c r="U187" s="71"/>
      <c r="V187" s="72"/>
      <c r="W187" s="72"/>
      <c r="X187" s="73"/>
      <c r="Y187" s="73"/>
      <c r="Z187" s="73"/>
    </row>
    <row r="188" ht="12.0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1"/>
      <c r="T188" s="71"/>
      <c r="U188" s="71"/>
      <c r="V188" s="72"/>
      <c r="W188" s="72"/>
      <c r="X188" s="73"/>
      <c r="Y188" s="73"/>
      <c r="Z188" s="73"/>
    </row>
    <row r="189" ht="12.0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1"/>
      <c r="T189" s="71"/>
      <c r="U189" s="71"/>
      <c r="V189" s="72"/>
      <c r="W189" s="72"/>
      <c r="X189" s="73"/>
      <c r="Y189" s="73"/>
      <c r="Z189" s="73"/>
    </row>
    <row r="190" ht="12.0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1"/>
      <c r="T190" s="71"/>
      <c r="U190" s="71"/>
      <c r="V190" s="72"/>
      <c r="W190" s="72"/>
      <c r="X190" s="73"/>
      <c r="Y190" s="73"/>
      <c r="Z190" s="73"/>
    </row>
    <row r="191" ht="12.0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1"/>
      <c r="T191" s="71"/>
      <c r="U191" s="71"/>
      <c r="V191" s="72"/>
      <c r="W191" s="72"/>
      <c r="X191" s="73"/>
      <c r="Y191" s="73"/>
      <c r="Z191" s="73"/>
    </row>
    <row r="192" ht="12.0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1"/>
      <c r="T192" s="71"/>
      <c r="U192" s="71"/>
      <c r="V192" s="72"/>
      <c r="W192" s="72"/>
      <c r="X192" s="73"/>
      <c r="Y192" s="73"/>
      <c r="Z192" s="73"/>
    </row>
    <row r="193" ht="12.0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1"/>
      <c r="T193" s="71"/>
      <c r="U193" s="71"/>
      <c r="V193" s="72"/>
      <c r="W193" s="72"/>
      <c r="X193" s="73"/>
      <c r="Y193" s="73"/>
      <c r="Z193" s="73"/>
    </row>
    <row r="194" ht="12.0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1"/>
      <c r="T194" s="71"/>
      <c r="U194" s="71"/>
      <c r="V194" s="72"/>
      <c r="W194" s="72"/>
      <c r="X194" s="73"/>
      <c r="Y194" s="73"/>
      <c r="Z194" s="73"/>
    </row>
    <row r="195" ht="12.0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1"/>
      <c r="T195" s="71"/>
      <c r="U195" s="71"/>
      <c r="V195" s="72"/>
      <c r="W195" s="72"/>
      <c r="X195" s="73"/>
      <c r="Y195" s="73"/>
      <c r="Z195" s="73"/>
    </row>
    <row r="196" ht="12.0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1"/>
      <c r="T196" s="71"/>
      <c r="U196" s="71"/>
      <c r="V196" s="72"/>
      <c r="W196" s="72"/>
      <c r="X196" s="73"/>
      <c r="Y196" s="73"/>
      <c r="Z196" s="73"/>
    </row>
    <row r="197" ht="12.0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1"/>
      <c r="T197" s="71"/>
      <c r="U197" s="71"/>
      <c r="V197" s="72"/>
      <c r="W197" s="72"/>
      <c r="X197" s="73"/>
      <c r="Y197" s="73"/>
      <c r="Z197" s="73"/>
    </row>
    <row r="198" ht="12.0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1"/>
      <c r="T198" s="71"/>
      <c r="U198" s="71"/>
      <c r="V198" s="72"/>
      <c r="W198" s="72"/>
      <c r="X198" s="73"/>
      <c r="Y198" s="73"/>
      <c r="Z198" s="73"/>
    </row>
    <row r="199" ht="12.0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1"/>
      <c r="T199" s="71"/>
      <c r="U199" s="71"/>
      <c r="V199" s="72"/>
      <c r="W199" s="72"/>
      <c r="X199" s="73"/>
      <c r="Y199" s="73"/>
      <c r="Z199" s="73"/>
    </row>
    <row r="200" ht="12.0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1"/>
      <c r="T200" s="71"/>
      <c r="U200" s="71"/>
      <c r="V200" s="72"/>
      <c r="W200" s="72"/>
      <c r="X200" s="73"/>
      <c r="Y200" s="73"/>
      <c r="Z200" s="73"/>
    </row>
    <row r="201" ht="12.0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1"/>
      <c r="T201" s="71"/>
      <c r="U201" s="71"/>
      <c r="V201" s="72"/>
      <c r="W201" s="72"/>
      <c r="X201" s="73"/>
      <c r="Y201" s="73"/>
      <c r="Z201" s="73"/>
    </row>
    <row r="202" ht="12.0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1"/>
      <c r="T202" s="71"/>
      <c r="U202" s="71"/>
      <c r="V202" s="72"/>
      <c r="W202" s="72"/>
      <c r="X202" s="73"/>
      <c r="Y202" s="73"/>
      <c r="Z202" s="73"/>
    </row>
    <row r="203" ht="12.0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1"/>
      <c r="T203" s="71"/>
      <c r="U203" s="71"/>
      <c r="V203" s="72"/>
      <c r="W203" s="72"/>
      <c r="X203" s="73"/>
      <c r="Y203" s="73"/>
      <c r="Z203" s="73"/>
    </row>
    <row r="204" ht="12.0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1"/>
      <c r="T204" s="71"/>
      <c r="U204" s="71"/>
      <c r="V204" s="72"/>
      <c r="W204" s="72"/>
      <c r="X204" s="73"/>
      <c r="Y204" s="73"/>
      <c r="Z204" s="73"/>
    </row>
    <row r="205" ht="12.0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1"/>
      <c r="T205" s="71"/>
      <c r="U205" s="71"/>
      <c r="V205" s="72"/>
      <c r="W205" s="72"/>
      <c r="X205" s="73"/>
      <c r="Y205" s="73"/>
      <c r="Z205" s="73"/>
    </row>
    <row r="206" ht="12.0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1"/>
      <c r="T206" s="71"/>
      <c r="U206" s="71"/>
      <c r="V206" s="72"/>
      <c r="W206" s="72"/>
      <c r="X206" s="73"/>
      <c r="Y206" s="73"/>
      <c r="Z206" s="73"/>
    </row>
    <row r="207" ht="12.0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1"/>
      <c r="T207" s="71"/>
      <c r="U207" s="71"/>
      <c r="V207" s="72"/>
      <c r="W207" s="72"/>
      <c r="X207" s="73"/>
      <c r="Y207" s="73"/>
      <c r="Z207" s="73"/>
    </row>
    <row r="208" ht="12.0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1"/>
      <c r="T208" s="71"/>
      <c r="U208" s="71"/>
      <c r="V208" s="72"/>
      <c r="W208" s="72"/>
      <c r="X208" s="73"/>
      <c r="Y208" s="73"/>
      <c r="Z208" s="73"/>
    </row>
    <row r="209" ht="12.0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1"/>
      <c r="T209" s="71"/>
      <c r="U209" s="71"/>
      <c r="V209" s="72"/>
      <c r="W209" s="72"/>
      <c r="X209" s="73"/>
      <c r="Y209" s="73"/>
      <c r="Z209" s="73"/>
    </row>
    <row r="210" ht="12.0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1"/>
      <c r="T210" s="71"/>
      <c r="U210" s="71"/>
      <c r="V210" s="72"/>
      <c r="W210" s="72"/>
      <c r="X210" s="73"/>
      <c r="Y210" s="73"/>
      <c r="Z210" s="73"/>
    </row>
    <row r="211" ht="12.0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1"/>
      <c r="T211" s="71"/>
      <c r="U211" s="71"/>
      <c r="V211" s="72"/>
      <c r="W211" s="72"/>
      <c r="X211" s="73"/>
      <c r="Y211" s="73"/>
      <c r="Z211" s="73"/>
    </row>
    <row r="212" ht="12.0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1"/>
      <c r="T212" s="71"/>
      <c r="U212" s="71"/>
      <c r="V212" s="72"/>
      <c r="W212" s="72"/>
      <c r="X212" s="73"/>
      <c r="Y212" s="73"/>
      <c r="Z212" s="73"/>
    </row>
    <row r="213" ht="12.0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1"/>
      <c r="T213" s="71"/>
      <c r="U213" s="71"/>
      <c r="V213" s="72"/>
      <c r="W213" s="72"/>
      <c r="X213" s="73"/>
      <c r="Y213" s="73"/>
      <c r="Z213" s="73"/>
    </row>
    <row r="214" ht="12.0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1"/>
      <c r="T214" s="71"/>
      <c r="U214" s="71"/>
      <c r="V214" s="72"/>
      <c r="W214" s="72"/>
      <c r="X214" s="73"/>
      <c r="Y214" s="73"/>
      <c r="Z214" s="73"/>
    </row>
    <row r="215" ht="12.0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1"/>
      <c r="T215" s="71"/>
      <c r="U215" s="71"/>
      <c r="V215" s="72"/>
      <c r="W215" s="72"/>
      <c r="X215" s="73"/>
      <c r="Y215" s="73"/>
      <c r="Z215" s="73"/>
    </row>
    <row r="216" ht="12.0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1"/>
      <c r="T216" s="71"/>
      <c r="U216" s="71"/>
      <c r="V216" s="72"/>
      <c r="W216" s="72"/>
      <c r="X216" s="73"/>
      <c r="Y216" s="73"/>
      <c r="Z216" s="73"/>
    </row>
    <row r="217" ht="12.0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1"/>
      <c r="T217" s="71"/>
      <c r="U217" s="71"/>
      <c r="V217" s="72"/>
      <c r="W217" s="72"/>
      <c r="X217" s="73"/>
      <c r="Y217" s="73"/>
      <c r="Z217" s="73"/>
    </row>
    <row r="218" ht="12.0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1"/>
      <c r="T218" s="71"/>
      <c r="U218" s="71"/>
      <c r="V218" s="72"/>
      <c r="W218" s="72"/>
      <c r="X218" s="73"/>
      <c r="Y218" s="73"/>
      <c r="Z218" s="73"/>
    </row>
    <row r="219" ht="12.0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1"/>
      <c r="T219" s="71"/>
      <c r="U219" s="71"/>
      <c r="V219" s="72"/>
      <c r="W219" s="72"/>
      <c r="X219" s="73"/>
      <c r="Y219" s="73"/>
      <c r="Z219" s="73"/>
    </row>
    <row r="220" ht="12.0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1"/>
      <c r="T220" s="71"/>
      <c r="U220" s="71"/>
      <c r="V220" s="72"/>
      <c r="W220" s="72"/>
      <c r="X220" s="73"/>
      <c r="Y220" s="73"/>
      <c r="Z220" s="73"/>
    </row>
    <row r="221" ht="12.0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1"/>
      <c r="T221" s="71"/>
      <c r="U221" s="71"/>
      <c r="V221" s="72"/>
      <c r="W221" s="72"/>
      <c r="X221" s="73"/>
      <c r="Y221" s="73"/>
      <c r="Z221" s="73"/>
    </row>
    <row r="222" ht="12.0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1"/>
      <c r="T222" s="71"/>
      <c r="U222" s="71"/>
      <c r="V222" s="72"/>
      <c r="W222" s="72"/>
      <c r="X222" s="73"/>
      <c r="Y222" s="73"/>
      <c r="Z222" s="73"/>
    </row>
    <row r="223" ht="12.0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1"/>
      <c r="T223" s="71"/>
      <c r="U223" s="71"/>
      <c r="V223" s="72"/>
      <c r="W223" s="72"/>
      <c r="X223" s="73"/>
      <c r="Y223" s="73"/>
      <c r="Z223" s="73"/>
    </row>
    <row r="224" ht="12.0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1"/>
      <c r="T224" s="71"/>
      <c r="U224" s="71"/>
      <c r="V224" s="72"/>
      <c r="W224" s="72"/>
      <c r="X224" s="73"/>
      <c r="Y224" s="73"/>
      <c r="Z224" s="73"/>
    </row>
    <row r="225" ht="12.0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1"/>
      <c r="T225" s="71"/>
      <c r="U225" s="71"/>
      <c r="V225" s="72"/>
      <c r="W225" s="72"/>
      <c r="X225" s="73"/>
      <c r="Y225" s="73"/>
      <c r="Z225" s="73"/>
    </row>
    <row r="226" ht="12.0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1"/>
      <c r="T226" s="71"/>
      <c r="U226" s="71"/>
      <c r="V226" s="72"/>
      <c r="W226" s="72"/>
      <c r="X226" s="73"/>
      <c r="Y226" s="73"/>
      <c r="Z226" s="73"/>
    </row>
    <row r="227" ht="12.0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1"/>
      <c r="T227" s="71"/>
      <c r="U227" s="71"/>
      <c r="V227" s="72"/>
      <c r="W227" s="72"/>
      <c r="X227" s="73"/>
      <c r="Y227" s="73"/>
      <c r="Z227" s="73"/>
    </row>
    <row r="228" ht="12.0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1"/>
      <c r="T228" s="71"/>
      <c r="U228" s="71"/>
      <c r="V228" s="72"/>
      <c r="W228" s="72"/>
      <c r="X228" s="73"/>
      <c r="Y228" s="73"/>
      <c r="Z228" s="73"/>
    </row>
    <row r="229" ht="12.0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1"/>
      <c r="T229" s="71"/>
      <c r="U229" s="71"/>
      <c r="V229" s="72"/>
      <c r="W229" s="72"/>
      <c r="X229" s="73"/>
      <c r="Y229" s="73"/>
      <c r="Z229" s="73"/>
    </row>
    <row r="230" ht="12.0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1"/>
      <c r="T230" s="71"/>
      <c r="U230" s="71"/>
      <c r="V230" s="72"/>
      <c r="W230" s="72"/>
      <c r="X230" s="73"/>
      <c r="Y230" s="73"/>
      <c r="Z230" s="73"/>
    </row>
    <row r="231" ht="12.0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1"/>
      <c r="T231" s="71"/>
      <c r="U231" s="71"/>
      <c r="V231" s="72"/>
      <c r="W231" s="72"/>
      <c r="X231" s="73"/>
      <c r="Y231" s="73"/>
      <c r="Z231" s="73"/>
    </row>
    <row r="232" ht="12.0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1"/>
      <c r="T232" s="71"/>
      <c r="U232" s="71"/>
      <c r="V232" s="72"/>
      <c r="W232" s="72"/>
      <c r="X232" s="73"/>
      <c r="Y232" s="73"/>
      <c r="Z232" s="73"/>
    </row>
    <row r="233" ht="12.0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1"/>
      <c r="T233" s="71"/>
      <c r="U233" s="71"/>
      <c r="V233" s="72"/>
      <c r="W233" s="72"/>
      <c r="X233" s="73"/>
      <c r="Y233" s="73"/>
      <c r="Z233" s="73"/>
    </row>
    <row r="234" ht="12.0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1"/>
      <c r="T234" s="71"/>
      <c r="U234" s="71"/>
      <c r="V234" s="72"/>
      <c r="W234" s="72"/>
      <c r="X234" s="73"/>
      <c r="Y234" s="73"/>
      <c r="Z234" s="73"/>
    </row>
    <row r="235" ht="12.0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1"/>
      <c r="T235" s="71"/>
      <c r="U235" s="71"/>
      <c r="V235" s="72"/>
      <c r="W235" s="72"/>
      <c r="X235" s="73"/>
      <c r="Y235" s="73"/>
      <c r="Z235" s="73"/>
    </row>
    <row r="236" ht="12.0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1"/>
      <c r="T236" s="71"/>
      <c r="U236" s="71"/>
      <c r="V236" s="72"/>
      <c r="W236" s="72"/>
      <c r="X236" s="73"/>
      <c r="Y236" s="73"/>
      <c r="Z236" s="73"/>
    </row>
    <row r="237" ht="12.0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1"/>
      <c r="T237" s="71"/>
      <c r="U237" s="71"/>
      <c r="V237" s="72"/>
      <c r="W237" s="72"/>
      <c r="X237" s="73"/>
      <c r="Y237" s="73"/>
      <c r="Z237" s="73"/>
    </row>
    <row r="238" ht="12.0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1"/>
      <c r="T238" s="71"/>
      <c r="U238" s="71"/>
      <c r="V238" s="72"/>
      <c r="W238" s="72"/>
      <c r="X238" s="73"/>
      <c r="Y238" s="73"/>
      <c r="Z238" s="73"/>
    </row>
    <row r="239" ht="12.0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1"/>
      <c r="T239" s="71"/>
      <c r="U239" s="71"/>
      <c r="V239" s="72"/>
      <c r="W239" s="72"/>
      <c r="X239" s="73"/>
      <c r="Y239" s="73"/>
      <c r="Z239" s="73"/>
    </row>
    <row r="240" ht="12.0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1"/>
      <c r="T240" s="71"/>
      <c r="U240" s="71"/>
      <c r="V240" s="72"/>
      <c r="W240" s="72"/>
      <c r="X240" s="73"/>
      <c r="Y240" s="73"/>
      <c r="Z240" s="73"/>
    </row>
    <row r="241" ht="12.0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1"/>
      <c r="T241" s="71"/>
      <c r="U241" s="71"/>
      <c r="V241" s="72"/>
      <c r="W241" s="72"/>
      <c r="X241" s="73"/>
      <c r="Y241" s="73"/>
      <c r="Z241" s="73"/>
    </row>
    <row r="242" ht="12.0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1"/>
      <c r="T242" s="71"/>
      <c r="U242" s="71"/>
      <c r="V242" s="72"/>
      <c r="W242" s="72"/>
      <c r="X242" s="73"/>
      <c r="Y242" s="73"/>
      <c r="Z242" s="73"/>
    </row>
    <row r="243" ht="12.0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1"/>
      <c r="T243" s="71"/>
      <c r="U243" s="71"/>
      <c r="V243" s="72"/>
      <c r="W243" s="72"/>
      <c r="X243" s="73"/>
      <c r="Y243" s="73"/>
      <c r="Z243" s="73"/>
    </row>
    <row r="244" ht="12.0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1"/>
      <c r="T244" s="71"/>
      <c r="U244" s="71"/>
      <c r="V244" s="72"/>
      <c r="W244" s="72"/>
      <c r="X244" s="73"/>
      <c r="Y244" s="73"/>
      <c r="Z244" s="73"/>
    </row>
    <row r="245" ht="12.0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1"/>
      <c r="T245" s="71"/>
      <c r="U245" s="71"/>
      <c r="V245" s="72"/>
      <c r="W245" s="72"/>
      <c r="X245" s="73"/>
      <c r="Y245" s="73"/>
      <c r="Z245" s="73"/>
    </row>
    <row r="246" ht="12.0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1"/>
      <c r="T246" s="71"/>
      <c r="U246" s="71"/>
      <c r="V246" s="72"/>
      <c r="W246" s="72"/>
      <c r="X246" s="73"/>
      <c r="Y246" s="73"/>
      <c r="Z246" s="73"/>
    </row>
    <row r="247" ht="12.0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1"/>
      <c r="T247" s="71"/>
      <c r="U247" s="71"/>
      <c r="V247" s="72"/>
      <c r="W247" s="72"/>
      <c r="X247" s="73"/>
      <c r="Y247" s="73"/>
      <c r="Z247" s="73"/>
    </row>
    <row r="248" ht="12.0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1"/>
      <c r="T248" s="71"/>
      <c r="U248" s="71"/>
      <c r="V248" s="72"/>
      <c r="W248" s="72"/>
      <c r="X248" s="73"/>
      <c r="Y248" s="73"/>
      <c r="Z248" s="73"/>
    </row>
    <row r="249" ht="12.0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1"/>
      <c r="T249" s="71"/>
      <c r="U249" s="71"/>
      <c r="V249" s="72"/>
      <c r="W249" s="72"/>
      <c r="X249" s="73"/>
      <c r="Y249" s="73"/>
      <c r="Z249" s="73"/>
    </row>
    <row r="250" ht="12.0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1"/>
      <c r="T250" s="71"/>
      <c r="U250" s="71"/>
      <c r="V250" s="72"/>
      <c r="W250" s="72"/>
      <c r="X250" s="73"/>
      <c r="Y250" s="73"/>
      <c r="Z250" s="73"/>
    </row>
    <row r="251" ht="12.0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1"/>
      <c r="T251" s="71"/>
      <c r="U251" s="71"/>
      <c r="V251" s="72"/>
      <c r="W251" s="72"/>
      <c r="X251" s="73"/>
      <c r="Y251" s="73"/>
      <c r="Z251" s="73"/>
    </row>
    <row r="252" ht="12.0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1"/>
      <c r="T252" s="71"/>
      <c r="U252" s="71"/>
      <c r="V252" s="72"/>
      <c r="W252" s="72"/>
      <c r="X252" s="73"/>
      <c r="Y252" s="73"/>
      <c r="Z252" s="73"/>
    </row>
    <row r="253" ht="12.0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1"/>
      <c r="T253" s="71"/>
      <c r="U253" s="71"/>
      <c r="V253" s="72"/>
      <c r="W253" s="72"/>
      <c r="X253" s="73"/>
      <c r="Y253" s="73"/>
      <c r="Z253" s="73"/>
    </row>
    <row r="254" ht="12.0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1"/>
      <c r="T254" s="71"/>
      <c r="U254" s="71"/>
      <c r="V254" s="72"/>
      <c r="W254" s="72"/>
      <c r="X254" s="73"/>
      <c r="Y254" s="73"/>
      <c r="Z254" s="73"/>
    </row>
    <row r="255" ht="12.0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1"/>
      <c r="T255" s="71"/>
      <c r="U255" s="71"/>
      <c r="V255" s="72"/>
      <c r="W255" s="72"/>
      <c r="X255" s="73"/>
      <c r="Y255" s="73"/>
      <c r="Z255" s="73"/>
    </row>
    <row r="256" ht="12.0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1"/>
      <c r="T256" s="71"/>
      <c r="U256" s="71"/>
      <c r="V256" s="72"/>
      <c r="W256" s="72"/>
      <c r="X256" s="73"/>
      <c r="Y256" s="73"/>
      <c r="Z256" s="73"/>
    </row>
    <row r="257" ht="12.0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1"/>
      <c r="T257" s="71"/>
      <c r="U257" s="71"/>
      <c r="V257" s="72"/>
      <c r="W257" s="72"/>
      <c r="X257" s="73"/>
      <c r="Y257" s="73"/>
      <c r="Z257" s="73"/>
    </row>
    <row r="258" ht="12.0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1"/>
      <c r="T258" s="71"/>
      <c r="U258" s="71"/>
      <c r="V258" s="72"/>
      <c r="W258" s="72"/>
      <c r="X258" s="73"/>
      <c r="Y258" s="73"/>
      <c r="Z258" s="73"/>
    </row>
    <row r="259" ht="12.0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1"/>
      <c r="T259" s="71"/>
      <c r="U259" s="71"/>
      <c r="V259" s="72"/>
      <c r="W259" s="72"/>
      <c r="X259" s="73"/>
      <c r="Y259" s="73"/>
      <c r="Z259" s="73"/>
    </row>
    <row r="260" ht="12.0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1"/>
      <c r="T260" s="71"/>
      <c r="U260" s="71"/>
      <c r="V260" s="72"/>
      <c r="W260" s="72"/>
      <c r="X260" s="73"/>
      <c r="Y260" s="73"/>
      <c r="Z260" s="7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1"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K5:L5"/>
    <mergeCell ref="M5:N5"/>
    <mergeCell ref="A6:B7"/>
    <mergeCell ref="C6:E7"/>
    <mergeCell ref="F6:I7"/>
    <mergeCell ref="J6:J10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C22:C23"/>
    <mergeCell ref="D22:D23"/>
    <mergeCell ref="E22:E23"/>
    <mergeCell ref="F22:F23"/>
    <mergeCell ref="D25:E25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3:L53"/>
    <mergeCell ref="M53:O53"/>
    <mergeCell ref="K54:L54"/>
    <mergeCell ref="M54:O54"/>
    <mergeCell ref="K55:L55"/>
    <mergeCell ref="M55:O55"/>
    <mergeCell ref="M56:O56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D33:D36"/>
    <mergeCell ref="A46:A50"/>
    <mergeCell ref="B46:B50"/>
    <mergeCell ref="C46:D46"/>
    <mergeCell ref="C47:C50"/>
    <mergeCell ref="D47:D50"/>
    <mergeCell ref="E48:E50"/>
  </mergeCells>
  <conditionalFormatting sqref="B24:G24 B25:D25 B26:G32 B37:C45 C51:P59 E37:J45 F11:J19 F25:G25 I24:J32 O11:P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5511811023622047" footer="0.0" header="0.0" left="0.7874015748031497" right="0.5118110236220472" top="0.9448818897637796"/>
  <pageSetup orientation="portrait"/>
  <rowBreaks count="1" manualBreakCount="1">
    <brk id="60" man="1"/>
  </rowBreaks>
  <colBreaks count="1" manualBreakCount="1">
    <brk id="1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0" t="s">
        <v>75</v>
      </c>
      <c r="S1" s="71"/>
      <c r="T1" s="71"/>
      <c r="U1" s="71"/>
      <c r="V1" s="72"/>
      <c r="W1" s="72"/>
      <c r="X1" s="73"/>
      <c r="Y1" s="73"/>
      <c r="Z1" s="73"/>
    </row>
    <row r="2" ht="5.25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  <c r="T2" s="71"/>
      <c r="U2" s="71"/>
      <c r="V2" s="72"/>
      <c r="W2" s="72"/>
      <c r="X2" s="73"/>
      <c r="Y2" s="73"/>
      <c r="Z2" s="73"/>
    </row>
    <row r="3" ht="12.0" customHeight="1">
      <c r="A3" s="74" t="s">
        <v>150</v>
      </c>
      <c r="B3" s="75"/>
      <c r="C3" s="75"/>
      <c r="D3" s="76"/>
      <c r="E3" s="76"/>
      <c r="F3" s="76"/>
      <c r="G3" s="76"/>
      <c r="H3" s="76"/>
      <c r="I3" s="76"/>
      <c r="J3" s="76"/>
      <c r="K3" s="76"/>
      <c r="M3" s="76"/>
      <c r="O3" s="76"/>
      <c r="P3" s="76"/>
      <c r="Q3" s="76"/>
      <c r="S3" s="77"/>
      <c r="T3" s="77"/>
      <c r="U3" s="77"/>
      <c r="V3" s="78"/>
      <c r="W3" s="78"/>
      <c r="X3" s="79"/>
      <c r="Y3" s="79"/>
      <c r="Z3" s="79"/>
    </row>
    <row r="4" ht="12.0" customHeight="1">
      <c r="A4" s="80" t="s">
        <v>151</v>
      </c>
      <c r="B4" s="81"/>
      <c r="C4" s="81"/>
      <c r="D4" s="82"/>
      <c r="E4" s="82"/>
      <c r="F4" s="82"/>
      <c r="G4" s="82"/>
      <c r="H4" s="82"/>
      <c r="I4" s="82"/>
      <c r="J4" s="82"/>
      <c r="K4" s="82"/>
      <c r="M4" s="82"/>
      <c r="O4" s="82"/>
      <c r="P4" s="82"/>
      <c r="Q4" s="82"/>
      <c r="S4" s="77"/>
      <c r="T4" s="77"/>
      <c r="U4" s="77"/>
      <c r="V4" s="78"/>
      <c r="W4" s="78"/>
      <c r="X4" s="79"/>
      <c r="Y4" s="79"/>
      <c r="Z4" s="79"/>
    </row>
    <row r="5" ht="12.0" customHeight="1">
      <c r="A5" s="74" t="s">
        <v>78</v>
      </c>
      <c r="B5" s="82"/>
      <c r="C5" s="82"/>
      <c r="D5" s="82"/>
      <c r="E5" s="82"/>
      <c r="F5" s="82"/>
      <c r="G5" s="82"/>
      <c r="H5" s="82"/>
      <c r="I5" s="82"/>
      <c r="J5" s="82"/>
      <c r="K5" s="82"/>
      <c r="M5" s="82"/>
      <c r="O5" s="81"/>
      <c r="P5" s="81"/>
      <c r="Q5" s="83"/>
      <c r="R5" s="84"/>
      <c r="S5" s="77"/>
      <c r="T5" s="77"/>
      <c r="U5" s="77"/>
      <c r="V5" s="78"/>
      <c r="W5" s="78"/>
      <c r="X5" s="79"/>
      <c r="Y5" s="79"/>
      <c r="Z5" s="79"/>
    </row>
    <row r="6" ht="12.0" customHeight="1">
      <c r="A6" s="85" t="s">
        <v>79</v>
      </c>
      <c r="B6" s="86"/>
      <c r="C6" s="85" t="s">
        <v>152</v>
      </c>
      <c r="D6" s="87"/>
      <c r="E6" s="86"/>
      <c r="F6" s="85" t="s">
        <v>153</v>
      </c>
      <c r="G6" s="87"/>
      <c r="H6" s="87"/>
      <c r="I6" s="86"/>
      <c r="J6" s="88" t="s">
        <v>154</v>
      </c>
      <c r="K6" s="85" t="s">
        <v>155</v>
      </c>
      <c r="L6" s="86"/>
      <c r="M6" s="85" t="s">
        <v>84</v>
      </c>
      <c r="N6" s="86"/>
      <c r="O6" s="89" t="s">
        <v>156</v>
      </c>
      <c r="P6" s="86"/>
      <c r="Q6" s="85" t="s">
        <v>157</v>
      </c>
      <c r="R6" s="86"/>
      <c r="S6" s="71"/>
      <c r="T6" s="71"/>
      <c r="U6" s="71"/>
      <c r="V6" s="72"/>
      <c r="W6" s="72"/>
      <c r="X6" s="73"/>
      <c r="Y6" s="73"/>
      <c r="Z6" s="73"/>
    </row>
    <row r="7" ht="19.5" customHeight="1">
      <c r="A7" s="90"/>
      <c r="B7" s="91"/>
      <c r="C7" s="90"/>
      <c r="D7" s="84"/>
      <c r="E7" s="91"/>
      <c r="F7" s="90"/>
      <c r="G7" s="84"/>
      <c r="H7" s="84"/>
      <c r="I7" s="91"/>
      <c r="J7" s="92"/>
      <c r="K7" s="93"/>
      <c r="L7" s="94"/>
      <c r="M7" s="93"/>
      <c r="N7" s="94"/>
      <c r="O7" s="84"/>
      <c r="P7" s="91"/>
      <c r="Q7" s="93"/>
      <c r="R7" s="94"/>
      <c r="S7" s="95"/>
      <c r="T7" s="71"/>
      <c r="U7" s="71"/>
      <c r="V7" s="72"/>
      <c r="W7" s="72"/>
      <c r="X7" s="73"/>
      <c r="Y7" s="73"/>
      <c r="Z7" s="73"/>
    </row>
    <row r="8" ht="12.0" customHeight="1">
      <c r="A8" s="88" t="s">
        <v>87</v>
      </c>
      <c r="B8" s="88" t="s">
        <v>158</v>
      </c>
      <c r="C8" s="88" t="s">
        <v>159</v>
      </c>
      <c r="D8" s="88" t="s">
        <v>160</v>
      </c>
      <c r="E8" s="88" t="s">
        <v>161</v>
      </c>
      <c r="F8" s="88" t="s">
        <v>162</v>
      </c>
      <c r="G8" s="88" t="s">
        <v>163</v>
      </c>
      <c r="H8" s="88" t="s">
        <v>164</v>
      </c>
      <c r="I8" s="88" t="s">
        <v>165</v>
      </c>
      <c r="J8" s="92"/>
      <c r="K8" s="93"/>
      <c r="L8" s="94"/>
      <c r="M8" s="93"/>
      <c r="N8" s="94"/>
      <c r="O8" s="96" t="s">
        <v>96</v>
      </c>
      <c r="P8" s="88" t="s">
        <v>97</v>
      </c>
      <c r="Q8" s="93"/>
      <c r="R8" s="94"/>
      <c r="S8" s="95"/>
      <c r="T8" s="95"/>
      <c r="U8" s="95"/>
      <c r="V8" s="72"/>
      <c r="W8" s="72"/>
      <c r="X8" s="73"/>
      <c r="Y8" s="73"/>
      <c r="Z8" s="73"/>
    </row>
    <row r="9" ht="12.0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3"/>
      <c r="L9" s="94"/>
      <c r="M9" s="93"/>
      <c r="N9" s="94"/>
      <c r="O9" s="94"/>
      <c r="P9" s="92"/>
      <c r="Q9" s="93"/>
      <c r="R9" s="94"/>
      <c r="S9" s="95"/>
      <c r="T9" s="71"/>
      <c r="U9" s="95"/>
      <c r="V9" s="72"/>
      <c r="W9" s="72"/>
      <c r="X9" s="73"/>
      <c r="Y9" s="73"/>
      <c r="Z9" s="97"/>
    </row>
    <row r="10" ht="14.25" customHeight="1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0"/>
      <c r="L10" s="91"/>
      <c r="M10" s="90"/>
      <c r="N10" s="91"/>
      <c r="O10" s="91"/>
      <c r="P10" s="98"/>
      <c r="Q10" s="90"/>
      <c r="R10" s="91"/>
      <c r="S10" s="71" t="s">
        <v>98</v>
      </c>
      <c r="T10" s="71" t="s">
        <v>98</v>
      </c>
      <c r="U10" s="71" t="s">
        <v>98</v>
      </c>
      <c r="V10" s="72"/>
      <c r="W10" s="72"/>
      <c r="X10" s="73"/>
      <c r="Y10" s="73"/>
      <c r="Z10" s="97"/>
    </row>
    <row r="11" ht="12.0" customHeight="1">
      <c r="A11" s="99" t="s">
        <v>99</v>
      </c>
      <c r="B11" s="100" t="s">
        <v>54</v>
      </c>
      <c r="C11" s="101" t="s">
        <v>99</v>
      </c>
      <c r="D11" s="102" t="s">
        <v>99</v>
      </c>
      <c r="E11" s="101" t="s">
        <v>99</v>
      </c>
      <c r="F11" s="102">
        <v>345.0</v>
      </c>
      <c r="G11" s="101">
        <v>75.0</v>
      </c>
      <c r="H11" s="102">
        <v>90.0</v>
      </c>
      <c r="I11" s="101">
        <v>490.0</v>
      </c>
      <c r="J11" s="103" t="s">
        <v>99</v>
      </c>
      <c r="K11" s="104" t="s">
        <v>99</v>
      </c>
      <c r="M11" s="105">
        <v>0.18</v>
      </c>
      <c r="N11" s="94"/>
      <c r="O11" s="106" t="s">
        <v>99</v>
      </c>
      <c r="P11" s="107" t="s">
        <v>99</v>
      </c>
      <c r="Q11" s="103" t="s">
        <v>99</v>
      </c>
      <c r="R11" s="86"/>
      <c r="S11" s="108" t="s">
        <v>64</v>
      </c>
      <c r="T11" s="108" t="s">
        <v>64</v>
      </c>
      <c r="U11" s="108" t="s">
        <v>64</v>
      </c>
      <c r="V11" s="109" t="s">
        <v>64</v>
      </c>
      <c r="W11" s="110"/>
      <c r="X11" s="73"/>
      <c r="Y11" s="73"/>
      <c r="Z11" s="97"/>
    </row>
    <row r="12" ht="12.0" customHeight="1">
      <c r="A12" s="111" t="s">
        <v>99</v>
      </c>
      <c r="B12" s="112" t="s">
        <v>59</v>
      </c>
      <c r="C12" s="101" t="s">
        <v>99</v>
      </c>
      <c r="D12" s="113" t="s">
        <v>99</v>
      </c>
      <c r="E12" s="113" t="s">
        <v>99</v>
      </c>
      <c r="F12" s="101">
        <v>366.0</v>
      </c>
      <c r="G12" s="113">
        <v>67.0</v>
      </c>
      <c r="H12" s="101">
        <v>36.0</v>
      </c>
      <c r="I12" s="113">
        <v>531.0</v>
      </c>
      <c r="J12" s="101" t="s">
        <v>99</v>
      </c>
      <c r="K12" s="104" t="s">
        <v>99</v>
      </c>
      <c r="L12" s="94"/>
      <c r="M12" s="114">
        <v>0.07</v>
      </c>
      <c r="O12" s="115" t="s">
        <v>99</v>
      </c>
      <c r="P12" s="114" t="s">
        <v>99</v>
      </c>
      <c r="Q12" s="104" t="s">
        <v>99</v>
      </c>
      <c r="R12" s="94"/>
      <c r="S12" s="108" t="s">
        <v>64</v>
      </c>
      <c r="T12" s="108" t="s">
        <v>64</v>
      </c>
      <c r="U12" s="108" t="s">
        <v>64</v>
      </c>
      <c r="V12" s="109" t="s">
        <v>64</v>
      </c>
      <c r="W12" s="72"/>
      <c r="X12" s="73"/>
      <c r="Y12" s="73"/>
      <c r="Z12" s="97"/>
    </row>
    <row r="13" ht="12.0" customHeight="1">
      <c r="A13" s="111" t="s">
        <v>99</v>
      </c>
      <c r="B13" s="112" t="s">
        <v>99</v>
      </c>
      <c r="C13" s="101" t="s">
        <v>99</v>
      </c>
      <c r="D13" s="113" t="s">
        <v>99</v>
      </c>
      <c r="E13" s="113" t="s">
        <v>99</v>
      </c>
      <c r="F13" s="101" t="s">
        <v>99</v>
      </c>
      <c r="G13" s="113" t="s">
        <v>99</v>
      </c>
      <c r="H13" s="101" t="s">
        <v>99</v>
      </c>
      <c r="I13" s="113" t="s">
        <v>99</v>
      </c>
      <c r="J13" s="101" t="s">
        <v>99</v>
      </c>
      <c r="K13" s="104" t="s">
        <v>99</v>
      </c>
      <c r="L13" s="94"/>
      <c r="M13" s="114" t="s">
        <v>99</v>
      </c>
      <c r="O13" s="115" t="s">
        <v>99</v>
      </c>
      <c r="P13" s="114" t="s">
        <v>99</v>
      </c>
      <c r="Q13" s="104" t="s">
        <v>99</v>
      </c>
      <c r="R13" s="94"/>
      <c r="S13" s="108" t="s">
        <v>99</v>
      </c>
      <c r="T13" s="108" t="s">
        <v>99</v>
      </c>
      <c r="U13" s="108" t="s">
        <v>99</v>
      </c>
      <c r="V13" s="109" t="s">
        <v>99</v>
      </c>
      <c r="W13" s="72"/>
      <c r="X13" s="73"/>
      <c r="Y13" s="73"/>
      <c r="Z13" s="97"/>
    </row>
    <row r="14" ht="12.0" customHeight="1">
      <c r="A14" s="111" t="s">
        <v>99</v>
      </c>
      <c r="B14" s="112" t="s">
        <v>99</v>
      </c>
      <c r="C14" s="101" t="s">
        <v>99</v>
      </c>
      <c r="D14" s="113" t="s">
        <v>99</v>
      </c>
      <c r="E14" s="113" t="s">
        <v>99</v>
      </c>
      <c r="F14" s="101" t="s">
        <v>99</v>
      </c>
      <c r="G14" s="113" t="s">
        <v>99</v>
      </c>
      <c r="H14" s="101" t="s">
        <v>99</v>
      </c>
      <c r="I14" s="113" t="s">
        <v>99</v>
      </c>
      <c r="J14" s="101" t="s">
        <v>99</v>
      </c>
      <c r="K14" s="104" t="s">
        <v>99</v>
      </c>
      <c r="L14" s="94"/>
      <c r="M14" s="114" t="s">
        <v>99</v>
      </c>
      <c r="O14" s="115" t="s">
        <v>99</v>
      </c>
      <c r="P14" s="114" t="s">
        <v>99</v>
      </c>
      <c r="Q14" s="104" t="s">
        <v>99</v>
      </c>
      <c r="R14" s="94"/>
      <c r="S14" s="108" t="s">
        <v>99</v>
      </c>
      <c r="T14" s="108" t="s">
        <v>99</v>
      </c>
      <c r="U14" s="108" t="s">
        <v>99</v>
      </c>
      <c r="V14" s="109" t="s">
        <v>99</v>
      </c>
      <c r="W14" s="72"/>
      <c r="X14" s="73"/>
      <c r="Y14" s="73"/>
      <c r="Z14" s="97"/>
    </row>
    <row r="15" ht="12.0" customHeight="1">
      <c r="A15" s="111" t="s">
        <v>99</v>
      </c>
      <c r="B15" s="112" t="s">
        <v>99</v>
      </c>
      <c r="C15" s="101" t="s">
        <v>99</v>
      </c>
      <c r="D15" s="113" t="s">
        <v>99</v>
      </c>
      <c r="E15" s="113" t="s">
        <v>99</v>
      </c>
      <c r="F15" s="101" t="s">
        <v>99</v>
      </c>
      <c r="G15" s="113" t="s">
        <v>99</v>
      </c>
      <c r="H15" s="101" t="s">
        <v>99</v>
      </c>
      <c r="I15" s="113" t="s">
        <v>99</v>
      </c>
      <c r="J15" s="101" t="s">
        <v>99</v>
      </c>
      <c r="K15" s="104" t="s">
        <v>99</v>
      </c>
      <c r="L15" s="94"/>
      <c r="M15" s="114" t="s">
        <v>99</v>
      </c>
      <c r="O15" s="115" t="s">
        <v>99</v>
      </c>
      <c r="P15" s="114" t="s">
        <v>99</v>
      </c>
      <c r="Q15" s="104" t="s">
        <v>99</v>
      </c>
      <c r="R15" s="94"/>
      <c r="S15" s="108" t="s">
        <v>99</v>
      </c>
      <c r="T15" s="108" t="s">
        <v>99</v>
      </c>
      <c r="U15" s="108" t="s">
        <v>99</v>
      </c>
      <c r="V15" s="109" t="s">
        <v>99</v>
      </c>
      <c r="W15" s="72"/>
      <c r="X15" s="73"/>
      <c r="Y15" s="73"/>
      <c r="Z15" s="97"/>
    </row>
    <row r="16" ht="12.0" customHeight="1">
      <c r="A16" s="111" t="s">
        <v>99</v>
      </c>
      <c r="B16" s="112" t="s">
        <v>99</v>
      </c>
      <c r="C16" s="101" t="s">
        <v>99</v>
      </c>
      <c r="D16" s="113" t="s">
        <v>99</v>
      </c>
      <c r="E16" s="113" t="s">
        <v>99</v>
      </c>
      <c r="F16" s="101" t="s">
        <v>99</v>
      </c>
      <c r="G16" s="113" t="s">
        <v>99</v>
      </c>
      <c r="H16" s="101" t="s">
        <v>99</v>
      </c>
      <c r="I16" s="113" t="s">
        <v>99</v>
      </c>
      <c r="J16" s="101" t="s">
        <v>99</v>
      </c>
      <c r="K16" s="104" t="s">
        <v>99</v>
      </c>
      <c r="L16" s="94"/>
      <c r="M16" s="114" t="s">
        <v>99</v>
      </c>
      <c r="O16" s="115" t="s">
        <v>99</v>
      </c>
      <c r="P16" s="114" t="s">
        <v>99</v>
      </c>
      <c r="Q16" s="104" t="s">
        <v>99</v>
      </c>
      <c r="R16" s="94"/>
      <c r="S16" s="108" t="s">
        <v>99</v>
      </c>
      <c r="T16" s="108" t="s">
        <v>99</v>
      </c>
      <c r="U16" s="108" t="s">
        <v>99</v>
      </c>
      <c r="V16" s="109" t="s">
        <v>99</v>
      </c>
      <c r="W16" s="72"/>
      <c r="X16" s="73"/>
      <c r="Y16" s="73"/>
      <c r="Z16" s="97"/>
    </row>
    <row r="17" ht="12.0" customHeight="1">
      <c r="A17" s="111" t="s">
        <v>99</v>
      </c>
      <c r="B17" s="112" t="s">
        <v>99</v>
      </c>
      <c r="C17" s="114" t="s">
        <v>99</v>
      </c>
      <c r="D17" s="115" t="s">
        <v>99</v>
      </c>
      <c r="E17" s="115" t="s">
        <v>99</v>
      </c>
      <c r="F17" s="101" t="s">
        <v>99</v>
      </c>
      <c r="G17" s="113" t="s">
        <v>99</v>
      </c>
      <c r="H17" s="101" t="s">
        <v>99</v>
      </c>
      <c r="I17" s="113" t="s">
        <v>99</v>
      </c>
      <c r="J17" s="101" t="s">
        <v>99</v>
      </c>
      <c r="K17" s="104" t="s">
        <v>99</v>
      </c>
      <c r="L17" s="94"/>
      <c r="M17" s="114" t="s">
        <v>99</v>
      </c>
      <c r="O17" s="115" t="s">
        <v>99</v>
      </c>
      <c r="P17" s="114" t="s">
        <v>99</v>
      </c>
      <c r="Q17" s="104" t="s">
        <v>99</v>
      </c>
      <c r="R17" s="94"/>
      <c r="S17" s="108" t="s">
        <v>99</v>
      </c>
      <c r="T17" s="108" t="s">
        <v>99</v>
      </c>
      <c r="U17" s="108" t="s">
        <v>99</v>
      </c>
      <c r="V17" s="109" t="s">
        <v>99</v>
      </c>
      <c r="W17" s="72"/>
      <c r="X17" s="73"/>
      <c r="Y17" s="73"/>
      <c r="Z17" s="97"/>
    </row>
    <row r="18" ht="12.0" customHeight="1">
      <c r="A18" s="111" t="s">
        <v>99</v>
      </c>
      <c r="B18" s="112" t="s">
        <v>99</v>
      </c>
      <c r="C18" s="114" t="s">
        <v>99</v>
      </c>
      <c r="D18" s="115" t="s">
        <v>99</v>
      </c>
      <c r="E18" s="115" t="s">
        <v>99</v>
      </c>
      <c r="F18" s="101" t="s">
        <v>99</v>
      </c>
      <c r="G18" s="113" t="s">
        <v>99</v>
      </c>
      <c r="H18" s="101" t="s">
        <v>99</v>
      </c>
      <c r="I18" s="113" t="s">
        <v>99</v>
      </c>
      <c r="J18" s="101" t="s">
        <v>99</v>
      </c>
      <c r="K18" s="104" t="s">
        <v>99</v>
      </c>
      <c r="L18" s="94"/>
      <c r="M18" s="114" t="s">
        <v>99</v>
      </c>
      <c r="O18" s="115" t="s">
        <v>99</v>
      </c>
      <c r="P18" s="114" t="s">
        <v>99</v>
      </c>
      <c r="Q18" s="104" t="s">
        <v>99</v>
      </c>
      <c r="R18" s="94"/>
      <c r="S18" s="108" t="s">
        <v>99</v>
      </c>
      <c r="T18" s="108" t="s">
        <v>99</v>
      </c>
      <c r="U18" s="108" t="s">
        <v>99</v>
      </c>
      <c r="V18" s="109" t="s">
        <v>99</v>
      </c>
      <c r="W18" s="72"/>
      <c r="X18" s="73"/>
      <c r="Y18" s="73"/>
      <c r="Z18" s="97"/>
    </row>
    <row r="19" ht="12.0" customHeight="1">
      <c r="A19" s="142" t="s">
        <v>99</v>
      </c>
      <c r="B19" s="117" t="s">
        <v>99</v>
      </c>
      <c r="C19" s="118" t="s">
        <v>99</v>
      </c>
      <c r="D19" s="119" t="s">
        <v>99</v>
      </c>
      <c r="E19" s="118" t="s">
        <v>99</v>
      </c>
      <c r="F19" s="119" t="s">
        <v>99</v>
      </c>
      <c r="G19" s="118" t="s">
        <v>99</v>
      </c>
      <c r="H19" s="119" t="s">
        <v>99</v>
      </c>
      <c r="I19" s="118" t="s">
        <v>99</v>
      </c>
      <c r="J19" s="120" t="s">
        <v>99</v>
      </c>
      <c r="K19" s="121" t="s">
        <v>99</v>
      </c>
      <c r="L19" s="84"/>
      <c r="M19" s="120" t="s">
        <v>99</v>
      </c>
      <c r="N19" s="91"/>
      <c r="O19" s="122" t="s">
        <v>99</v>
      </c>
      <c r="P19" s="119" t="s">
        <v>99</v>
      </c>
      <c r="Q19" s="121" t="s">
        <v>99</v>
      </c>
      <c r="R19" s="91"/>
      <c r="S19" s="108" t="s">
        <v>99</v>
      </c>
      <c r="T19" s="108" t="s">
        <v>99</v>
      </c>
      <c r="U19" s="108" t="s">
        <v>99</v>
      </c>
      <c r="V19" s="109" t="s">
        <v>99</v>
      </c>
      <c r="W19" s="72"/>
      <c r="X19" s="73"/>
      <c r="Y19" s="73"/>
      <c r="Z19" s="97"/>
    </row>
    <row r="20" ht="12.0" customHeight="1">
      <c r="A20" s="88" t="s">
        <v>79</v>
      </c>
      <c r="B20" s="105" t="s">
        <v>166</v>
      </c>
      <c r="C20" s="94"/>
      <c r="D20" s="105" t="s">
        <v>167</v>
      </c>
      <c r="L20" s="94"/>
      <c r="M20" s="105" t="s">
        <v>168</v>
      </c>
      <c r="O20" s="94"/>
      <c r="P20" s="124" t="s">
        <v>169</v>
      </c>
      <c r="Q20" s="105" t="s">
        <v>170</v>
      </c>
      <c r="R20" s="94"/>
      <c r="S20" s="71"/>
      <c r="T20" s="71"/>
      <c r="U20" s="95"/>
      <c r="V20" s="72"/>
      <c r="W20" s="72"/>
      <c r="X20" s="73"/>
      <c r="Y20" s="73"/>
      <c r="Z20" s="97"/>
    </row>
    <row r="21" ht="9.75" customHeight="1">
      <c r="A21" s="92"/>
      <c r="B21" s="90"/>
      <c r="C21" s="91"/>
      <c r="D21" s="90"/>
      <c r="E21" s="84"/>
      <c r="F21" s="84"/>
      <c r="G21" s="84"/>
      <c r="H21" s="84"/>
      <c r="I21" s="84"/>
      <c r="J21" s="84"/>
      <c r="K21" s="84"/>
      <c r="L21" s="91"/>
      <c r="M21" s="93"/>
      <c r="O21" s="94"/>
      <c r="P21" s="92"/>
      <c r="Q21" s="93"/>
      <c r="R21" s="94"/>
      <c r="S21" s="71"/>
      <c r="T21" s="71"/>
      <c r="U21" s="95"/>
      <c r="V21" s="72"/>
      <c r="W21" s="72"/>
      <c r="X21" s="73"/>
      <c r="Y21" s="73"/>
      <c r="Z21" s="73"/>
    </row>
    <row r="22" ht="9.75" customHeight="1">
      <c r="A22" s="92"/>
      <c r="B22" s="107" t="s">
        <v>105</v>
      </c>
      <c r="C22" s="107" t="s">
        <v>171</v>
      </c>
      <c r="D22" s="107" t="s">
        <v>172</v>
      </c>
      <c r="E22" s="107" t="s">
        <v>173</v>
      </c>
      <c r="F22" s="107" t="s">
        <v>174</v>
      </c>
      <c r="G22" s="107" t="s">
        <v>175</v>
      </c>
      <c r="H22" s="107" t="s">
        <v>176</v>
      </c>
      <c r="I22" s="107" t="s">
        <v>177</v>
      </c>
      <c r="J22" s="107" t="s">
        <v>178</v>
      </c>
      <c r="K22" s="125" t="s">
        <v>114</v>
      </c>
      <c r="L22" s="86"/>
      <c r="M22" s="93"/>
      <c r="O22" s="94"/>
      <c r="P22" s="92"/>
      <c r="Q22" s="93"/>
      <c r="R22" s="94"/>
      <c r="S22" s="71"/>
      <c r="T22" s="71"/>
      <c r="U22" s="71"/>
      <c r="V22" s="72"/>
      <c r="W22" s="72"/>
      <c r="X22" s="73"/>
      <c r="Y22" s="73"/>
      <c r="Z22" s="97"/>
    </row>
    <row r="23" ht="11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0"/>
      <c r="L23" s="91"/>
      <c r="M23" s="90"/>
      <c r="N23" s="84"/>
      <c r="O23" s="91"/>
      <c r="P23" s="98"/>
      <c r="Q23" s="90"/>
      <c r="R23" s="91"/>
      <c r="S23" s="71" t="s">
        <v>98</v>
      </c>
      <c r="T23" s="71" t="s">
        <v>98</v>
      </c>
      <c r="U23" s="71"/>
      <c r="V23" s="72"/>
      <c r="W23" s="72"/>
      <c r="X23" s="73"/>
      <c r="Y23" s="73"/>
      <c r="Z23" s="97"/>
    </row>
    <row r="24" ht="12.0" customHeight="1">
      <c r="A24" s="126" t="s">
        <v>99</v>
      </c>
      <c r="B24" s="127">
        <v>4.3</v>
      </c>
      <c r="C24" s="128" t="s">
        <v>115</v>
      </c>
      <c r="D24" s="129">
        <v>0.2</v>
      </c>
      <c r="E24" s="94"/>
      <c r="F24" s="115">
        <v>0.06</v>
      </c>
      <c r="G24" s="115">
        <v>0.03</v>
      </c>
      <c r="H24" s="127">
        <v>0.3</v>
      </c>
      <c r="I24" s="128">
        <v>1.3</v>
      </c>
      <c r="J24" s="127">
        <v>6.9</v>
      </c>
      <c r="K24" s="129">
        <v>8.5</v>
      </c>
      <c r="L24" s="94"/>
      <c r="M24" s="130">
        <v>4.0</v>
      </c>
      <c r="O24" s="94"/>
      <c r="P24" s="131">
        <v>81.0</v>
      </c>
      <c r="Q24" s="104">
        <v>2.0</v>
      </c>
      <c r="R24" s="94"/>
      <c r="S24" s="71" t="s">
        <v>39</v>
      </c>
      <c r="T24" s="132">
        <v>0.3</v>
      </c>
      <c r="U24" s="71"/>
      <c r="V24" s="72" t="s">
        <v>61</v>
      </c>
      <c r="W24" s="72" t="str">
        <f t="shared" ref="W24:W32" si="1">IF(OR(H24="",I24="",I11="",M24=""),"",IF(1000*(H24+I24)/I11&gt;1.5,"",IF(C24&gt;=5,"ácrico",IF(C24-B24&gt;=0,"ácrico",""))))</f>
        <v/>
      </c>
      <c r="X24" s="73"/>
      <c r="Y24" s="73"/>
      <c r="Z24" s="97"/>
    </row>
    <row r="25" ht="12.0" customHeight="1">
      <c r="A25" s="126" t="s">
        <v>99</v>
      </c>
      <c r="B25" s="127">
        <v>4.4</v>
      </c>
      <c r="C25" s="128" t="s">
        <v>115</v>
      </c>
      <c r="D25" s="129">
        <v>0.0</v>
      </c>
      <c r="E25" s="94"/>
      <c r="F25" s="115">
        <v>0.03</v>
      </c>
      <c r="G25" s="115">
        <v>0.02</v>
      </c>
      <c r="H25" s="127">
        <v>0.0</v>
      </c>
      <c r="I25" s="128">
        <v>1.0</v>
      </c>
      <c r="J25" s="127">
        <v>5.5</v>
      </c>
      <c r="K25" s="129">
        <v>6.5</v>
      </c>
      <c r="L25" s="94"/>
      <c r="M25" s="130">
        <v>0.0</v>
      </c>
      <c r="O25" s="94"/>
      <c r="P25" s="131">
        <v>100.0</v>
      </c>
      <c r="Q25" s="104">
        <v>1.0</v>
      </c>
      <c r="R25" s="94"/>
      <c r="S25" s="71" t="s">
        <v>39</v>
      </c>
      <c r="T25" s="71">
        <v>0.0</v>
      </c>
      <c r="U25" s="71"/>
      <c r="V25" s="72" t="s">
        <v>61</v>
      </c>
      <c r="W25" s="72" t="str">
        <f t="shared" si="1"/>
        <v/>
      </c>
      <c r="X25" s="73"/>
      <c r="Y25" s="73"/>
      <c r="Z25" s="97"/>
    </row>
    <row r="26" ht="12.0" customHeight="1">
      <c r="A26" s="126" t="s">
        <v>99</v>
      </c>
      <c r="B26" s="127" t="s">
        <v>99</v>
      </c>
      <c r="C26" s="128" t="s">
        <v>99</v>
      </c>
      <c r="D26" s="127" t="s">
        <v>99</v>
      </c>
      <c r="E26" s="128" t="s">
        <v>99</v>
      </c>
      <c r="F26" s="115" t="s">
        <v>99</v>
      </c>
      <c r="G26" s="115" t="s">
        <v>99</v>
      </c>
      <c r="H26" s="127" t="s">
        <v>99</v>
      </c>
      <c r="I26" s="128" t="s">
        <v>99</v>
      </c>
      <c r="J26" s="127" t="s">
        <v>99</v>
      </c>
      <c r="K26" s="129" t="s">
        <v>99</v>
      </c>
      <c r="L26" s="94"/>
      <c r="M26" s="130" t="s">
        <v>99</v>
      </c>
      <c r="O26" s="94"/>
      <c r="P26" s="131" t="s">
        <v>99</v>
      </c>
      <c r="Q26" s="104" t="s">
        <v>99</v>
      </c>
      <c r="R26" s="94"/>
      <c r="S26" s="71" t="s">
        <v>99</v>
      </c>
      <c r="T26" s="71" t="s">
        <v>99</v>
      </c>
      <c r="U26" s="71"/>
      <c r="V26" s="72" t="s">
        <v>99</v>
      </c>
      <c r="W26" s="72" t="str">
        <f t="shared" si="1"/>
        <v/>
      </c>
      <c r="X26" s="73"/>
      <c r="Y26" s="73"/>
      <c r="Z26" s="97"/>
    </row>
    <row r="27" ht="12.0" customHeight="1">
      <c r="A27" s="126" t="s">
        <v>99</v>
      </c>
      <c r="B27" s="127" t="s">
        <v>99</v>
      </c>
      <c r="C27" s="128" t="s">
        <v>99</v>
      </c>
      <c r="D27" s="127" t="s">
        <v>99</v>
      </c>
      <c r="E27" s="128" t="s">
        <v>99</v>
      </c>
      <c r="F27" s="115" t="s">
        <v>99</v>
      </c>
      <c r="G27" s="115" t="s">
        <v>99</v>
      </c>
      <c r="H27" s="127" t="s">
        <v>99</v>
      </c>
      <c r="I27" s="128" t="s">
        <v>99</v>
      </c>
      <c r="J27" s="127" t="s">
        <v>99</v>
      </c>
      <c r="K27" s="129" t="s">
        <v>99</v>
      </c>
      <c r="L27" s="94"/>
      <c r="M27" s="130" t="s">
        <v>99</v>
      </c>
      <c r="O27" s="94"/>
      <c r="P27" s="131" t="s">
        <v>99</v>
      </c>
      <c r="Q27" s="104" t="s">
        <v>99</v>
      </c>
      <c r="R27" s="94"/>
      <c r="S27" s="71" t="s">
        <v>99</v>
      </c>
      <c r="T27" s="71" t="s">
        <v>99</v>
      </c>
      <c r="U27" s="71"/>
      <c r="V27" s="72" t="s">
        <v>99</v>
      </c>
      <c r="W27" s="72" t="str">
        <f t="shared" si="1"/>
        <v/>
      </c>
      <c r="X27" s="73"/>
      <c r="Y27" s="73"/>
      <c r="Z27" s="97"/>
    </row>
    <row r="28" ht="12.0" customHeight="1">
      <c r="A28" s="126" t="s">
        <v>99</v>
      </c>
      <c r="B28" s="127" t="s">
        <v>99</v>
      </c>
      <c r="C28" s="128" t="s">
        <v>99</v>
      </c>
      <c r="D28" s="127" t="s">
        <v>99</v>
      </c>
      <c r="E28" s="128" t="s">
        <v>99</v>
      </c>
      <c r="F28" s="115" t="s">
        <v>99</v>
      </c>
      <c r="G28" s="115" t="s">
        <v>99</v>
      </c>
      <c r="H28" s="127" t="s">
        <v>99</v>
      </c>
      <c r="I28" s="128" t="s">
        <v>99</v>
      </c>
      <c r="J28" s="127" t="s">
        <v>99</v>
      </c>
      <c r="K28" s="129" t="s">
        <v>99</v>
      </c>
      <c r="L28" s="94"/>
      <c r="M28" s="130" t="s">
        <v>99</v>
      </c>
      <c r="O28" s="94"/>
      <c r="P28" s="131" t="s">
        <v>99</v>
      </c>
      <c r="Q28" s="104" t="s">
        <v>99</v>
      </c>
      <c r="R28" s="94"/>
      <c r="S28" s="71" t="s">
        <v>99</v>
      </c>
      <c r="T28" s="71" t="s">
        <v>99</v>
      </c>
      <c r="U28" s="71"/>
      <c r="V28" s="72" t="s">
        <v>99</v>
      </c>
      <c r="W28" s="72" t="str">
        <f t="shared" si="1"/>
        <v/>
      </c>
      <c r="X28" s="73"/>
      <c r="Y28" s="73"/>
      <c r="Z28" s="97"/>
    </row>
    <row r="29" ht="12.0" customHeight="1">
      <c r="A29" s="126" t="s">
        <v>99</v>
      </c>
      <c r="B29" s="127" t="s">
        <v>99</v>
      </c>
      <c r="C29" s="128" t="s">
        <v>99</v>
      </c>
      <c r="D29" s="127" t="s">
        <v>99</v>
      </c>
      <c r="E29" s="128" t="s">
        <v>99</v>
      </c>
      <c r="F29" s="115" t="s">
        <v>99</v>
      </c>
      <c r="G29" s="115" t="s">
        <v>99</v>
      </c>
      <c r="H29" s="127" t="s">
        <v>99</v>
      </c>
      <c r="I29" s="128" t="s">
        <v>99</v>
      </c>
      <c r="J29" s="127" t="s">
        <v>99</v>
      </c>
      <c r="K29" s="129" t="s">
        <v>99</v>
      </c>
      <c r="L29" s="94"/>
      <c r="M29" s="130" t="s">
        <v>99</v>
      </c>
      <c r="O29" s="94"/>
      <c r="P29" s="131" t="s">
        <v>99</v>
      </c>
      <c r="Q29" s="104" t="s">
        <v>99</v>
      </c>
      <c r="R29" s="94"/>
      <c r="S29" s="71" t="s">
        <v>99</v>
      </c>
      <c r="T29" s="71" t="s">
        <v>99</v>
      </c>
      <c r="U29" s="71"/>
      <c r="V29" s="72" t="s">
        <v>99</v>
      </c>
      <c r="W29" s="72" t="str">
        <f t="shared" si="1"/>
        <v/>
      </c>
      <c r="X29" s="73"/>
      <c r="Y29" s="73"/>
      <c r="Z29" s="97"/>
    </row>
    <row r="30" ht="12.0" customHeight="1">
      <c r="A30" s="126" t="s">
        <v>99</v>
      </c>
      <c r="B30" s="127" t="s">
        <v>99</v>
      </c>
      <c r="C30" s="128" t="s">
        <v>99</v>
      </c>
      <c r="D30" s="127" t="s">
        <v>99</v>
      </c>
      <c r="E30" s="128" t="s">
        <v>99</v>
      </c>
      <c r="F30" s="115" t="s">
        <v>99</v>
      </c>
      <c r="G30" s="115" t="s">
        <v>99</v>
      </c>
      <c r="H30" s="127" t="s">
        <v>99</v>
      </c>
      <c r="I30" s="128" t="s">
        <v>99</v>
      </c>
      <c r="J30" s="127" t="s">
        <v>99</v>
      </c>
      <c r="K30" s="129" t="s">
        <v>99</v>
      </c>
      <c r="L30" s="94"/>
      <c r="M30" s="130" t="s">
        <v>99</v>
      </c>
      <c r="O30" s="94"/>
      <c r="P30" s="131" t="s">
        <v>99</v>
      </c>
      <c r="Q30" s="104" t="s">
        <v>99</v>
      </c>
      <c r="R30" s="94"/>
      <c r="S30" s="71" t="s">
        <v>99</v>
      </c>
      <c r="T30" s="71" t="s">
        <v>99</v>
      </c>
      <c r="U30" s="71"/>
      <c r="V30" s="72" t="s">
        <v>99</v>
      </c>
      <c r="W30" s="72" t="str">
        <f t="shared" si="1"/>
        <v/>
      </c>
      <c r="X30" s="73"/>
      <c r="Y30" s="73"/>
      <c r="Z30" s="97"/>
    </row>
    <row r="31" ht="12.0" customHeight="1">
      <c r="A31" s="126" t="s">
        <v>99</v>
      </c>
      <c r="B31" s="127" t="s">
        <v>99</v>
      </c>
      <c r="C31" s="128" t="s">
        <v>99</v>
      </c>
      <c r="D31" s="127" t="s">
        <v>99</v>
      </c>
      <c r="E31" s="128" t="s">
        <v>99</v>
      </c>
      <c r="F31" s="115" t="s">
        <v>99</v>
      </c>
      <c r="G31" s="115" t="s">
        <v>99</v>
      </c>
      <c r="H31" s="127" t="s">
        <v>99</v>
      </c>
      <c r="I31" s="128" t="s">
        <v>99</v>
      </c>
      <c r="J31" s="127" t="s">
        <v>99</v>
      </c>
      <c r="K31" s="129" t="s">
        <v>99</v>
      </c>
      <c r="L31" s="94"/>
      <c r="M31" s="130" t="s">
        <v>99</v>
      </c>
      <c r="O31" s="94"/>
      <c r="P31" s="131" t="s">
        <v>99</v>
      </c>
      <c r="Q31" s="104" t="s">
        <v>99</v>
      </c>
      <c r="R31" s="94"/>
      <c r="S31" s="71" t="s">
        <v>99</v>
      </c>
      <c r="T31" s="71" t="s">
        <v>99</v>
      </c>
      <c r="U31" s="71"/>
      <c r="V31" s="72" t="s">
        <v>99</v>
      </c>
      <c r="W31" s="72" t="str">
        <f t="shared" si="1"/>
        <v/>
      </c>
      <c r="X31" s="73"/>
      <c r="Y31" s="73"/>
      <c r="Z31" s="97"/>
    </row>
    <row r="32" ht="12.0" customHeight="1">
      <c r="A32" s="126" t="s">
        <v>99</v>
      </c>
      <c r="B32" s="127" t="s">
        <v>99</v>
      </c>
      <c r="C32" s="128" t="s">
        <v>99</v>
      </c>
      <c r="D32" s="127" t="s">
        <v>99</v>
      </c>
      <c r="E32" s="128" t="s">
        <v>99</v>
      </c>
      <c r="F32" s="115" t="s">
        <v>99</v>
      </c>
      <c r="G32" s="115" t="s">
        <v>99</v>
      </c>
      <c r="H32" s="127" t="s">
        <v>99</v>
      </c>
      <c r="I32" s="128" t="s">
        <v>99</v>
      </c>
      <c r="J32" s="127" t="s">
        <v>99</v>
      </c>
      <c r="K32" s="129" t="s">
        <v>99</v>
      </c>
      <c r="L32" s="94"/>
      <c r="M32" s="130" t="s">
        <v>99</v>
      </c>
      <c r="O32" s="94"/>
      <c r="P32" s="131" t="s">
        <v>99</v>
      </c>
      <c r="Q32" s="104" t="s">
        <v>99</v>
      </c>
      <c r="R32" s="94"/>
      <c r="S32" s="71" t="s">
        <v>99</v>
      </c>
      <c r="T32" s="71" t="s">
        <v>99</v>
      </c>
      <c r="U32" s="71"/>
      <c r="V32" s="72" t="s">
        <v>99</v>
      </c>
      <c r="W32" s="72" t="str">
        <f t="shared" si="1"/>
        <v/>
      </c>
      <c r="X32" s="73"/>
      <c r="Y32" s="73"/>
      <c r="Z32" s="97"/>
    </row>
    <row r="33" ht="12.0" customHeight="1">
      <c r="A33" s="88" t="s">
        <v>79</v>
      </c>
      <c r="B33" s="107" t="s">
        <v>179</v>
      </c>
      <c r="C33" s="107" t="s">
        <v>180</v>
      </c>
      <c r="D33" s="107" t="s">
        <v>40</v>
      </c>
      <c r="E33" s="125" t="s">
        <v>181</v>
      </c>
      <c r="F33" s="87"/>
      <c r="G33" s="87"/>
      <c r="H33" s="87"/>
      <c r="I33" s="87"/>
      <c r="J33" s="86"/>
      <c r="K33" s="125" t="s">
        <v>119</v>
      </c>
      <c r="L33" s="87"/>
      <c r="M33" s="87"/>
      <c r="N33" s="87"/>
      <c r="O33" s="86"/>
      <c r="P33" s="107" t="s">
        <v>182</v>
      </c>
      <c r="Q33" s="125" t="s">
        <v>183</v>
      </c>
      <c r="R33" s="86"/>
      <c r="S33" s="71"/>
      <c r="T33" s="71"/>
      <c r="U33" s="71"/>
      <c r="V33" s="72"/>
      <c r="W33" s="72"/>
      <c r="X33" s="73"/>
      <c r="Y33" s="73"/>
      <c r="Z33" s="97"/>
    </row>
    <row r="34" ht="8.25" customHeight="1">
      <c r="A34" s="92"/>
      <c r="B34" s="92"/>
      <c r="C34" s="92"/>
      <c r="D34" s="92"/>
      <c r="E34" s="90"/>
      <c r="F34" s="84"/>
      <c r="G34" s="84"/>
      <c r="H34" s="84"/>
      <c r="I34" s="84"/>
      <c r="J34" s="91"/>
      <c r="K34" s="90"/>
      <c r="L34" s="84"/>
      <c r="M34" s="84"/>
      <c r="N34" s="84"/>
      <c r="O34" s="91"/>
      <c r="P34" s="92"/>
      <c r="Q34" s="93"/>
      <c r="R34" s="94"/>
      <c r="S34" s="71"/>
      <c r="T34" s="71"/>
      <c r="U34" s="71"/>
      <c r="V34" s="72"/>
      <c r="W34" s="72"/>
      <c r="X34" s="73"/>
      <c r="Y34" s="73"/>
      <c r="Z34" s="97"/>
    </row>
    <row r="35" ht="10.5" customHeight="1">
      <c r="A35" s="92"/>
      <c r="B35" s="92"/>
      <c r="C35" s="92"/>
      <c r="D35" s="92"/>
      <c r="E35" s="107" t="s">
        <v>184</v>
      </c>
      <c r="F35" s="107" t="s">
        <v>185</v>
      </c>
      <c r="G35" s="107" t="s">
        <v>186</v>
      </c>
      <c r="H35" s="107" t="s">
        <v>187</v>
      </c>
      <c r="I35" s="107" t="s">
        <v>188</v>
      </c>
      <c r="J35" s="107" t="s">
        <v>127</v>
      </c>
      <c r="K35" s="107" t="s">
        <v>189</v>
      </c>
      <c r="L35" s="125" t="s">
        <v>190</v>
      </c>
      <c r="M35" s="86"/>
      <c r="N35" s="133" t="s">
        <v>191</v>
      </c>
      <c r="O35" s="86"/>
      <c r="P35" s="92"/>
      <c r="Q35" s="93"/>
      <c r="R35" s="94"/>
      <c r="S35" s="71"/>
      <c r="T35" s="71"/>
      <c r="U35" s="71"/>
      <c r="V35" s="72"/>
      <c r="W35" s="72"/>
      <c r="X35" s="73"/>
      <c r="Y35" s="73"/>
      <c r="Z35" s="73"/>
    </row>
    <row r="36" ht="21.0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0"/>
      <c r="M36" s="91"/>
      <c r="N36" s="90"/>
      <c r="O36" s="91"/>
      <c r="P36" s="98"/>
      <c r="Q36" s="90"/>
      <c r="R36" s="91"/>
      <c r="S36" s="71"/>
      <c r="T36" s="71"/>
      <c r="U36" s="71"/>
      <c r="V36" s="72"/>
      <c r="W36" s="72"/>
      <c r="X36" s="73"/>
      <c r="Y36" s="73"/>
      <c r="Z36" s="73"/>
    </row>
    <row r="37" ht="12.0" customHeight="1">
      <c r="A37" s="126" t="s">
        <v>99</v>
      </c>
      <c r="B37" s="127">
        <v>14.7</v>
      </c>
      <c r="C37" s="127">
        <v>1.4</v>
      </c>
      <c r="D37" s="113">
        <v>10.0</v>
      </c>
      <c r="E37" s="101" t="s">
        <v>99</v>
      </c>
      <c r="F37" s="113" t="s">
        <v>99</v>
      </c>
      <c r="G37" s="101" t="s">
        <v>99</v>
      </c>
      <c r="H37" s="127" t="s">
        <v>99</v>
      </c>
      <c r="I37" s="128" t="s">
        <v>99</v>
      </c>
      <c r="J37" s="127" t="s">
        <v>99</v>
      </c>
      <c r="K37" s="114" t="s">
        <v>99</v>
      </c>
      <c r="L37" s="125" t="s">
        <v>99</v>
      </c>
      <c r="M37" s="86"/>
      <c r="N37" s="105" t="s">
        <v>99</v>
      </c>
      <c r="O37" s="94"/>
      <c r="P37" s="115" t="s">
        <v>99</v>
      </c>
      <c r="Q37" s="105" t="s">
        <v>99</v>
      </c>
      <c r="R37" s="94"/>
      <c r="S37" s="71"/>
      <c r="T37" s="71"/>
      <c r="U37" s="71"/>
      <c r="V37" s="72" t="s">
        <v>99</v>
      </c>
      <c r="W37" s="72"/>
      <c r="X37" s="73"/>
      <c r="Y37" s="73"/>
      <c r="Z37" s="73"/>
    </row>
    <row r="38" ht="12.0" customHeight="1">
      <c r="A38" s="126" t="s">
        <v>99</v>
      </c>
      <c r="B38" s="127">
        <v>10.1</v>
      </c>
      <c r="C38" s="127">
        <v>1.0</v>
      </c>
      <c r="D38" s="113">
        <v>10.0</v>
      </c>
      <c r="E38" s="101" t="s">
        <v>99</v>
      </c>
      <c r="F38" s="113" t="s">
        <v>99</v>
      </c>
      <c r="G38" s="101" t="s">
        <v>99</v>
      </c>
      <c r="H38" s="127" t="s">
        <v>99</v>
      </c>
      <c r="I38" s="128" t="s">
        <v>99</v>
      </c>
      <c r="J38" s="127" t="s">
        <v>99</v>
      </c>
      <c r="K38" s="114" t="s">
        <v>99</v>
      </c>
      <c r="L38" s="105" t="s">
        <v>99</v>
      </c>
      <c r="M38" s="94"/>
      <c r="N38" s="114" t="s">
        <v>99</v>
      </c>
      <c r="O38" s="94"/>
      <c r="P38" s="115" t="s">
        <v>99</v>
      </c>
      <c r="Q38" s="105" t="s">
        <v>99</v>
      </c>
      <c r="R38" s="94"/>
      <c r="S38" s="71"/>
      <c r="T38" s="71"/>
      <c r="U38" s="71"/>
      <c r="V38" s="72" t="s">
        <v>99</v>
      </c>
      <c r="W38" s="72"/>
      <c r="X38" s="73"/>
      <c r="Y38" s="73"/>
      <c r="Z38" s="73"/>
    </row>
    <row r="39" ht="12.0" customHeight="1">
      <c r="A39" s="126" t="s">
        <v>99</v>
      </c>
      <c r="B39" s="127" t="s">
        <v>99</v>
      </c>
      <c r="C39" s="127" t="s">
        <v>99</v>
      </c>
      <c r="D39" s="113" t="s">
        <v>99</v>
      </c>
      <c r="E39" s="101" t="s">
        <v>99</v>
      </c>
      <c r="F39" s="113" t="s">
        <v>99</v>
      </c>
      <c r="G39" s="101" t="s">
        <v>99</v>
      </c>
      <c r="H39" s="127" t="s">
        <v>99</v>
      </c>
      <c r="I39" s="128" t="s">
        <v>99</v>
      </c>
      <c r="J39" s="127" t="s">
        <v>99</v>
      </c>
      <c r="K39" s="114" t="s">
        <v>99</v>
      </c>
      <c r="L39" s="105" t="s">
        <v>99</v>
      </c>
      <c r="M39" s="94"/>
      <c r="N39" s="114" t="s">
        <v>99</v>
      </c>
      <c r="O39" s="94"/>
      <c r="P39" s="115" t="s">
        <v>99</v>
      </c>
      <c r="Q39" s="105" t="s">
        <v>99</v>
      </c>
      <c r="R39" s="94"/>
      <c r="S39" s="71"/>
      <c r="T39" s="71"/>
      <c r="U39" s="71"/>
      <c r="V39" s="72" t="s">
        <v>99</v>
      </c>
      <c r="W39" s="72"/>
      <c r="X39" s="73"/>
      <c r="Y39" s="73"/>
      <c r="Z39" s="73"/>
    </row>
    <row r="40" ht="12.0" customHeight="1">
      <c r="A40" s="126" t="s">
        <v>99</v>
      </c>
      <c r="B40" s="127" t="s">
        <v>99</v>
      </c>
      <c r="C40" s="127" t="s">
        <v>99</v>
      </c>
      <c r="D40" s="113" t="s">
        <v>99</v>
      </c>
      <c r="E40" s="101" t="s">
        <v>99</v>
      </c>
      <c r="F40" s="113" t="s">
        <v>99</v>
      </c>
      <c r="G40" s="101" t="s">
        <v>99</v>
      </c>
      <c r="H40" s="127" t="s">
        <v>99</v>
      </c>
      <c r="I40" s="128" t="s">
        <v>99</v>
      </c>
      <c r="J40" s="127" t="s">
        <v>99</v>
      </c>
      <c r="K40" s="114" t="s">
        <v>99</v>
      </c>
      <c r="L40" s="105" t="s">
        <v>99</v>
      </c>
      <c r="M40" s="94"/>
      <c r="N40" s="114" t="s">
        <v>99</v>
      </c>
      <c r="O40" s="94"/>
      <c r="P40" s="115" t="s">
        <v>99</v>
      </c>
      <c r="Q40" s="105" t="s">
        <v>99</v>
      </c>
      <c r="R40" s="94"/>
      <c r="S40" s="71"/>
      <c r="T40" s="71"/>
      <c r="U40" s="71"/>
      <c r="V40" s="72" t="s">
        <v>99</v>
      </c>
      <c r="W40" s="72"/>
      <c r="X40" s="73"/>
      <c r="Y40" s="73"/>
      <c r="Z40" s="73"/>
    </row>
    <row r="41" ht="12.0" customHeight="1">
      <c r="A41" s="126" t="s">
        <v>99</v>
      </c>
      <c r="B41" s="127" t="s">
        <v>99</v>
      </c>
      <c r="C41" s="127" t="s">
        <v>99</v>
      </c>
      <c r="D41" s="113" t="s">
        <v>99</v>
      </c>
      <c r="E41" s="101" t="s">
        <v>99</v>
      </c>
      <c r="F41" s="113" t="s">
        <v>99</v>
      </c>
      <c r="G41" s="101" t="s">
        <v>99</v>
      </c>
      <c r="H41" s="127" t="s">
        <v>99</v>
      </c>
      <c r="I41" s="128" t="s">
        <v>99</v>
      </c>
      <c r="J41" s="127" t="s">
        <v>99</v>
      </c>
      <c r="K41" s="114" t="s">
        <v>99</v>
      </c>
      <c r="L41" s="105" t="s">
        <v>99</v>
      </c>
      <c r="M41" s="94"/>
      <c r="N41" s="114" t="s">
        <v>99</v>
      </c>
      <c r="O41" s="94"/>
      <c r="P41" s="115" t="s">
        <v>99</v>
      </c>
      <c r="Q41" s="105" t="s">
        <v>99</v>
      </c>
      <c r="R41" s="94"/>
      <c r="S41" s="71"/>
      <c r="T41" s="71"/>
      <c r="U41" s="71"/>
      <c r="V41" s="72" t="s">
        <v>99</v>
      </c>
      <c r="W41" s="72"/>
      <c r="X41" s="73"/>
      <c r="Y41" s="73"/>
      <c r="Z41" s="73"/>
    </row>
    <row r="42" ht="12.0" customHeight="1">
      <c r="A42" s="126" t="s">
        <v>99</v>
      </c>
      <c r="B42" s="127" t="s">
        <v>99</v>
      </c>
      <c r="C42" s="127" t="s">
        <v>99</v>
      </c>
      <c r="D42" s="113" t="s">
        <v>99</v>
      </c>
      <c r="E42" s="101" t="s">
        <v>99</v>
      </c>
      <c r="F42" s="113" t="s">
        <v>99</v>
      </c>
      <c r="G42" s="101" t="s">
        <v>99</v>
      </c>
      <c r="H42" s="127" t="s">
        <v>99</v>
      </c>
      <c r="I42" s="128" t="s">
        <v>99</v>
      </c>
      <c r="J42" s="127" t="s">
        <v>99</v>
      </c>
      <c r="K42" s="114" t="s">
        <v>99</v>
      </c>
      <c r="L42" s="105" t="s">
        <v>99</v>
      </c>
      <c r="M42" s="94"/>
      <c r="N42" s="114" t="s">
        <v>99</v>
      </c>
      <c r="O42" s="94"/>
      <c r="P42" s="115" t="s">
        <v>99</v>
      </c>
      <c r="Q42" s="105" t="s">
        <v>99</v>
      </c>
      <c r="R42" s="94"/>
      <c r="S42" s="71"/>
      <c r="T42" s="71"/>
      <c r="U42" s="71"/>
      <c r="V42" s="72" t="s">
        <v>99</v>
      </c>
      <c r="W42" s="72"/>
      <c r="X42" s="73"/>
      <c r="Y42" s="73"/>
      <c r="Z42" s="73"/>
    </row>
    <row r="43" ht="12.0" customHeight="1">
      <c r="A43" s="126" t="s">
        <v>99</v>
      </c>
      <c r="B43" s="127" t="s">
        <v>99</v>
      </c>
      <c r="C43" s="127" t="s">
        <v>99</v>
      </c>
      <c r="D43" s="113" t="s">
        <v>99</v>
      </c>
      <c r="E43" s="101" t="s">
        <v>99</v>
      </c>
      <c r="F43" s="113" t="s">
        <v>99</v>
      </c>
      <c r="G43" s="101" t="s">
        <v>99</v>
      </c>
      <c r="H43" s="127" t="s">
        <v>99</v>
      </c>
      <c r="I43" s="128" t="s">
        <v>99</v>
      </c>
      <c r="J43" s="127" t="s">
        <v>99</v>
      </c>
      <c r="K43" s="114" t="s">
        <v>99</v>
      </c>
      <c r="L43" s="105" t="s">
        <v>99</v>
      </c>
      <c r="M43" s="94"/>
      <c r="N43" s="114" t="s">
        <v>99</v>
      </c>
      <c r="O43" s="94"/>
      <c r="P43" s="115" t="s">
        <v>99</v>
      </c>
      <c r="Q43" s="105" t="s">
        <v>99</v>
      </c>
      <c r="R43" s="94"/>
      <c r="S43" s="71"/>
      <c r="T43" s="71"/>
      <c r="U43" s="71"/>
      <c r="V43" s="72" t="s">
        <v>99</v>
      </c>
      <c r="W43" s="72"/>
      <c r="X43" s="73"/>
      <c r="Y43" s="73"/>
      <c r="Z43" s="73"/>
    </row>
    <row r="44" ht="12.0" customHeight="1">
      <c r="A44" s="126" t="s">
        <v>99</v>
      </c>
      <c r="B44" s="127" t="s">
        <v>99</v>
      </c>
      <c r="C44" s="127" t="s">
        <v>99</v>
      </c>
      <c r="D44" s="113" t="s">
        <v>99</v>
      </c>
      <c r="E44" s="101" t="s">
        <v>99</v>
      </c>
      <c r="F44" s="113" t="s">
        <v>99</v>
      </c>
      <c r="G44" s="101" t="s">
        <v>99</v>
      </c>
      <c r="H44" s="127" t="s">
        <v>99</v>
      </c>
      <c r="I44" s="128" t="s">
        <v>99</v>
      </c>
      <c r="J44" s="127" t="s">
        <v>99</v>
      </c>
      <c r="K44" s="114" t="s">
        <v>99</v>
      </c>
      <c r="L44" s="105" t="s">
        <v>99</v>
      </c>
      <c r="M44" s="94"/>
      <c r="N44" s="114" t="s">
        <v>99</v>
      </c>
      <c r="O44" s="94"/>
      <c r="P44" s="115" t="s">
        <v>99</v>
      </c>
      <c r="Q44" s="105" t="s">
        <v>99</v>
      </c>
      <c r="R44" s="94"/>
      <c r="S44" s="71"/>
      <c r="T44" s="71"/>
      <c r="U44" s="71"/>
      <c r="V44" s="72" t="s">
        <v>99</v>
      </c>
      <c r="W44" s="72"/>
      <c r="X44" s="73"/>
      <c r="Y44" s="73"/>
      <c r="Z44" s="73"/>
    </row>
    <row r="45" ht="12.0" customHeight="1">
      <c r="A45" s="126" t="s">
        <v>99</v>
      </c>
      <c r="B45" s="127" t="s">
        <v>99</v>
      </c>
      <c r="C45" s="127" t="s">
        <v>99</v>
      </c>
      <c r="D45" s="113" t="s">
        <v>99</v>
      </c>
      <c r="E45" s="101" t="s">
        <v>99</v>
      </c>
      <c r="F45" s="113" t="s">
        <v>99</v>
      </c>
      <c r="G45" s="101" t="s">
        <v>99</v>
      </c>
      <c r="H45" s="127" t="s">
        <v>99</v>
      </c>
      <c r="I45" s="128" t="s">
        <v>99</v>
      </c>
      <c r="J45" s="127" t="s">
        <v>99</v>
      </c>
      <c r="K45" s="114" t="s">
        <v>99</v>
      </c>
      <c r="L45" s="105" t="s">
        <v>99</v>
      </c>
      <c r="M45" s="94"/>
      <c r="N45" s="105" t="s">
        <v>99</v>
      </c>
      <c r="O45" s="94"/>
      <c r="P45" s="115" t="s">
        <v>99</v>
      </c>
      <c r="Q45" s="105" t="s">
        <v>99</v>
      </c>
      <c r="R45" s="94"/>
      <c r="S45" s="71"/>
      <c r="T45" s="71"/>
      <c r="U45" s="71"/>
      <c r="V45" s="72" t="s">
        <v>99</v>
      </c>
      <c r="W45" s="72"/>
      <c r="X45" s="73"/>
      <c r="Y45" s="73"/>
      <c r="Z45" s="73"/>
    </row>
    <row r="46" ht="12.0" customHeight="1">
      <c r="A46" s="88" t="s">
        <v>79</v>
      </c>
      <c r="B46" s="134" t="s">
        <v>192</v>
      </c>
      <c r="C46" s="135" t="s">
        <v>132</v>
      </c>
      <c r="D46" s="136"/>
      <c r="E46" s="125" t="s">
        <v>193</v>
      </c>
      <c r="F46" s="87"/>
      <c r="G46" s="87"/>
      <c r="H46" s="87"/>
      <c r="I46" s="87"/>
      <c r="J46" s="87"/>
      <c r="K46" s="87"/>
      <c r="L46" s="86"/>
      <c r="M46" s="125" t="s">
        <v>194</v>
      </c>
      <c r="N46" s="87"/>
      <c r="O46" s="87"/>
      <c r="P46" s="87"/>
      <c r="Q46" s="87"/>
      <c r="R46" s="86"/>
      <c r="S46" s="71"/>
      <c r="T46" s="71"/>
      <c r="U46" s="71"/>
      <c r="V46" s="72"/>
      <c r="W46" s="72"/>
      <c r="X46" s="73"/>
      <c r="Y46" s="73"/>
      <c r="Z46" s="73"/>
    </row>
    <row r="47" ht="9.0" customHeight="1">
      <c r="A47" s="92"/>
      <c r="B47" s="92"/>
      <c r="C47" s="107" t="s">
        <v>195</v>
      </c>
      <c r="D47" s="107" t="s">
        <v>196</v>
      </c>
      <c r="E47" s="90"/>
      <c r="F47" s="84"/>
      <c r="G47" s="84"/>
      <c r="H47" s="84"/>
      <c r="I47" s="84"/>
      <c r="J47" s="84"/>
      <c r="K47" s="84"/>
      <c r="L47" s="91"/>
      <c r="M47" s="90"/>
      <c r="N47" s="84"/>
      <c r="O47" s="84"/>
      <c r="P47" s="84"/>
      <c r="Q47" s="84"/>
      <c r="R47" s="91"/>
      <c r="S47" s="71"/>
      <c r="T47" s="71"/>
      <c r="U47" s="71"/>
      <c r="V47" s="72"/>
      <c r="W47" s="72"/>
      <c r="X47" s="73"/>
      <c r="Y47" s="73"/>
      <c r="Z47" s="73"/>
    </row>
    <row r="48" ht="12.0" customHeight="1">
      <c r="A48" s="92"/>
      <c r="B48" s="92"/>
      <c r="C48" s="92"/>
      <c r="D48" s="92"/>
      <c r="E48" s="107" t="s">
        <v>197</v>
      </c>
      <c r="F48" s="107" t="s">
        <v>198</v>
      </c>
      <c r="G48" s="107" t="s">
        <v>199</v>
      </c>
      <c r="H48" s="107" t="s">
        <v>200</v>
      </c>
      <c r="I48" s="107" t="s">
        <v>201</v>
      </c>
      <c r="J48" s="107" t="s">
        <v>202</v>
      </c>
      <c r="K48" s="125" t="s">
        <v>203</v>
      </c>
      <c r="L48" s="86"/>
      <c r="M48" s="135" t="s">
        <v>144</v>
      </c>
      <c r="N48" s="137"/>
      <c r="O48" s="137"/>
      <c r="P48" s="136"/>
      <c r="Q48" s="125" t="s">
        <v>145</v>
      </c>
      <c r="R48" s="86"/>
      <c r="S48" s="71"/>
      <c r="T48" s="71"/>
      <c r="U48" s="71"/>
      <c r="V48" s="72"/>
      <c r="W48" s="72"/>
      <c r="X48" s="73"/>
      <c r="Y48" s="73"/>
      <c r="Z48" s="73"/>
    </row>
    <row r="49" ht="12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3"/>
      <c r="L49" s="94"/>
      <c r="M49" s="125" t="s">
        <v>146</v>
      </c>
      <c r="N49" s="87"/>
      <c r="O49" s="86"/>
      <c r="P49" s="107" t="s">
        <v>147</v>
      </c>
      <c r="Q49" s="93"/>
      <c r="R49" s="94"/>
      <c r="S49" s="71"/>
      <c r="T49" s="71"/>
      <c r="U49" s="71"/>
      <c r="V49" s="72"/>
      <c r="W49" s="72"/>
      <c r="X49" s="73"/>
      <c r="Y49" s="73"/>
      <c r="Z49" s="73"/>
    </row>
    <row r="50" ht="6.0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0"/>
      <c r="L50" s="91"/>
      <c r="M50" s="90"/>
      <c r="N50" s="84"/>
      <c r="O50" s="91"/>
      <c r="P50" s="98"/>
      <c r="Q50" s="90"/>
      <c r="R50" s="91"/>
      <c r="S50" s="71"/>
      <c r="T50" s="71"/>
      <c r="U50" s="71"/>
      <c r="V50" s="72"/>
      <c r="W50" s="72"/>
      <c r="X50" s="73"/>
      <c r="Y50" s="73"/>
      <c r="Z50" s="73"/>
    </row>
    <row r="51" ht="12.0" customHeight="1">
      <c r="A51" s="126" t="s">
        <v>99</v>
      </c>
      <c r="B51" s="115" t="s">
        <v>148</v>
      </c>
      <c r="C51" s="114" t="s">
        <v>99</v>
      </c>
      <c r="D51" s="113" t="s">
        <v>99</v>
      </c>
      <c r="E51" s="114" t="s">
        <v>99</v>
      </c>
      <c r="F51" s="115" t="s">
        <v>99</v>
      </c>
      <c r="G51" s="114" t="s">
        <v>99</v>
      </c>
      <c r="H51" s="115" t="s">
        <v>99</v>
      </c>
      <c r="I51" s="114" t="s">
        <v>99</v>
      </c>
      <c r="J51" s="115" t="s">
        <v>99</v>
      </c>
      <c r="K51" s="105" t="s">
        <v>99</v>
      </c>
      <c r="L51" s="94"/>
      <c r="M51" s="125" t="s">
        <v>99</v>
      </c>
      <c r="N51" s="87"/>
      <c r="O51" s="86"/>
      <c r="P51" s="105" t="s">
        <v>99</v>
      </c>
      <c r="Q51" s="125" t="s">
        <v>99</v>
      </c>
      <c r="R51" s="86"/>
      <c r="S51" s="71"/>
      <c r="T51" s="71"/>
      <c r="U51" s="71"/>
      <c r="V51" s="72" t="s">
        <v>99</v>
      </c>
      <c r="W51" s="72" t="str">
        <f t="shared" ref="W51:W59" si="2">IF(C51="","",IF(C51&gt;=7,"sálico",IF(C51&gt;=4,"salino","")))</f>
        <v/>
      </c>
      <c r="X51" s="73"/>
      <c r="Y51" s="73"/>
      <c r="Z51" s="73"/>
    </row>
    <row r="52" ht="12.0" customHeight="1">
      <c r="A52" s="126" t="s">
        <v>99</v>
      </c>
      <c r="B52" s="115" t="s">
        <v>148</v>
      </c>
      <c r="C52" s="114" t="s">
        <v>99</v>
      </c>
      <c r="D52" s="113" t="s">
        <v>99</v>
      </c>
      <c r="E52" s="114" t="s">
        <v>99</v>
      </c>
      <c r="F52" s="115" t="s">
        <v>99</v>
      </c>
      <c r="G52" s="114" t="s">
        <v>99</v>
      </c>
      <c r="H52" s="115" t="s">
        <v>99</v>
      </c>
      <c r="I52" s="114" t="s">
        <v>99</v>
      </c>
      <c r="J52" s="115" t="s">
        <v>99</v>
      </c>
      <c r="K52" s="105" t="s">
        <v>99</v>
      </c>
      <c r="M52" s="105" t="s">
        <v>99</v>
      </c>
      <c r="O52" s="94"/>
      <c r="P52" s="114" t="s">
        <v>99</v>
      </c>
      <c r="Q52" s="105" t="s">
        <v>99</v>
      </c>
      <c r="R52" s="94"/>
      <c r="S52" s="71"/>
      <c r="T52" s="71"/>
      <c r="U52" s="71"/>
      <c r="V52" s="72" t="s">
        <v>99</v>
      </c>
      <c r="W52" s="72" t="str">
        <f t="shared" si="2"/>
        <v/>
      </c>
      <c r="X52" s="73"/>
      <c r="Y52" s="73"/>
      <c r="Z52" s="73"/>
    </row>
    <row r="53" ht="12.0" customHeight="1">
      <c r="A53" s="126" t="s">
        <v>99</v>
      </c>
      <c r="B53" s="115" t="s">
        <v>99</v>
      </c>
      <c r="C53" s="114" t="s">
        <v>99</v>
      </c>
      <c r="D53" s="113" t="s">
        <v>99</v>
      </c>
      <c r="E53" s="114" t="s">
        <v>99</v>
      </c>
      <c r="F53" s="115" t="s">
        <v>99</v>
      </c>
      <c r="G53" s="114" t="s">
        <v>99</v>
      </c>
      <c r="H53" s="115" t="s">
        <v>99</v>
      </c>
      <c r="I53" s="114" t="s">
        <v>99</v>
      </c>
      <c r="J53" s="115" t="s">
        <v>99</v>
      </c>
      <c r="K53" s="105" t="s">
        <v>99</v>
      </c>
      <c r="M53" s="105" t="s">
        <v>99</v>
      </c>
      <c r="O53" s="94"/>
      <c r="P53" s="114" t="s">
        <v>99</v>
      </c>
      <c r="Q53" s="105" t="s">
        <v>99</v>
      </c>
      <c r="R53" s="94"/>
      <c r="S53" s="71"/>
      <c r="T53" s="71"/>
      <c r="U53" s="71"/>
      <c r="V53" s="72" t="s">
        <v>99</v>
      </c>
      <c r="W53" s="72" t="str">
        <f t="shared" si="2"/>
        <v/>
      </c>
      <c r="X53" s="73"/>
      <c r="Y53" s="73"/>
      <c r="Z53" s="73"/>
    </row>
    <row r="54" ht="12.0" customHeight="1">
      <c r="A54" s="126" t="s">
        <v>99</v>
      </c>
      <c r="B54" s="115" t="s">
        <v>99</v>
      </c>
      <c r="C54" s="114" t="s">
        <v>99</v>
      </c>
      <c r="D54" s="113" t="s">
        <v>99</v>
      </c>
      <c r="E54" s="114" t="s">
        <v>99</v>
      </c>
      <c r="F54" s="115" t="s">
        <v>99</v>
      </c>
      <c r="G54" s="114" t="s">
        <v>99</v>
      </c>
      <c r="H54" s="115" t="s">
        <v>99</v>
      </c>
      <c r="I54" s="114" t="s">
        <v>99</v>
      </c>
      <c r="J54" s="115" t="s">
        <v>99</v>
      </c>
      <c r="K54" s="105" t="s">
        <v>99</v>
      </c>
      <c r="M54" s="105" t="s">
        <v>99</v>
      </c>
      <c r="O54" s="94"/>
      <c r="P54" s="114" t="s">
        <v>99</v>
      </c>
      <c r="Q54" s="105" t="s">
        <v>99</v>
      </c>
      <c r="R54" s="94"/>
      <c r="S54" s="71"/>
      <c r="T54" s="71"/>
      <c r="U54" s="71"/>
      <c r="V54" s="72" t="s">
        <v>99</v>
      </c>
      <c r="W54" s="72" t="str">
        <f t="shared" si="2"/>
        <v/>
      </c>
      <c r="X54" s="73"/>
      <c r="Y54" s="73"/>
      <c r="Z54" s="73"/>
    </row>
    <row r="55" ht="12.0" customHeight="1">
      <c r="A55" s="126" t="s">
        <v>99</v>
      </c>
      <c r="B55" s="115" t="s">
        <v>99</v>
      </c>
      <c r="C55" s="114" t="s">
        <v>99</v>
      </c>
      <c r="D55" s="113" t="s">
        <v>99</v>
      </c>
      <c r="E55" s="114" t="s">
        <v>99</v>
      </c>
      <c r="F55" s="115" t="s">
        <v>99</v>
      </c>
      <c r="G55" s="114" t="s">
        <v>99</v>
      </c>
      <c r="H55" s="115" t="s">
        <v>99</v>
      </c>
      <c r="I55" s="114" t="s">
        <v>99</v>
      </c>
      <c r="J55" s="115" t="s">
        <v>99</v>
      </c>
      <c r="K55" s="105" t="s">
        <v>99</v>
      </c>
      <c r="M55" s="105" t="s">
        <v>99</v>
      </c>
      <c r="O55" s="94"/>
      <c r="P55" s="114" t="s">
        <v>99</v>
      </c>
      <c r="Q55" s="105" t="s">
        <v>99</v>
      </c>
      <c r="R55" s="94"/>
      <c r="S55" s="71"/>
      <c r="T55" s="71"/>
      <c r="U55" s="71"/>
      <c r="V55" s="72" t="s">
        <v>99</v>
      </c>
      <c r="W55" s="72" t="str">
        <f t="shared" si="2"/>
        <v/>
      </c>
      <c r="X55" s="73"/>
      <c r="Y55" s="73"/>
      <c r="Z55" s="73"/>
    </row>
    <row r="56" ht="12.0" customHeight="1">
      <c r="A56" s="126" t="s">
        <v>99</v>
      </c>
      <c r="B56" s="115" t="s">
        <v>99</v>
      </c>
      <c r="C56" s="114" t="s">
        <v>99</v>
      </c>
      <c r="D56" s="113" t="s">
        <v>99</v>
      </c>
      <c r="E56" s="114" t="s">
        <v>99</v>
      </c>
      <c r="F56" s="115" t="s">
        <v>99</v>
      </c>
      <c r="G56" s="114" t="s">
        <v>99</v>
      </c>
      <c r="H56" s="115" t="s">
        <v>99</v>
      </c>
      <c r="I56" s="114" t="s">
        <v>99</v>
      </c>
      <c r="J56" s="115" t="s">
        <v>99</v>
      </c>
      <c r="K56" s="105" t="s">
        <v>99</v>
      </c>
      <c r="M56" s="105" t="s">
        <v>99</v>
      </c>
      <c r="O56" s="94"/>
      <c r="P56" s="114" t="s">
        <v>99</v>
      </c>
      <c r="Q56" s="105" t="s">
        <v>99</v>
      </c>
      <c r="R56" s="94"/>
      <c r="S56" s="71"/>
      <c r="T56" s="71"/>
      <c r="U56" s="71"/>
      <c r="V56" s="72" t="s">
        <v>99</v>
      </c>
      <c r="W56" s="72" t="str">
        <f t="shared" si="2"/>
        <v/>
      </c>
      <c r="X56" s="73"/>
      <c r="Y56" s="73"/>
      <c r="Z56" s="73"/>
    </row>
    <row r="57" ht="12.0" customHeight="1">
      <c r="A57" s="126" t="s">
        <v>99</v>
      </c>
      <c r="B57" s="115" t="s">
        <v>99</v>
      </c>
      <c r="C57" s="114" t="s">
        <v>99</v>
      </c>
      <c r="D57" s="113" t="s">
        <v>99</v>
      </c>
      <c r="E57" s="114" t="s">
        <v>99</v>
      </c>
      <c r="F57" s="115" t="s">
        <v>99</v>
      </c>
      <c r="G57" s="114" t="s">
        <v>99</v>
      </c>
      <c r="H57" s="115" t="s">
        <v>99</v>
      </c>
      <c r="I57" s="114" t="s">
        <v>99</v>
      </c>
      <c r="J57" s="115" t="s">
        <v>99</v>
      </c>
      <c r="K57" s="105" t="s">
        <v>99</v>
      </c>
      <c r="M57" s="105" t="s">
        <v>99</v>
      </c>
      <c r="O57" s="94"/>
      <c r="P57" s="114" t="s">
        <v>99</v>
      </c>
      <c r="Q57" s="105" t="s">
        <v>99</v>
      </c>
      <c r="R57" s="94"/>
      <c r="S57" s="71"/>
      <c r="T57" s="71"/>
      <c r="U57" s="71"/>
      <c r="V57" s="72" t="s">
        <v>99</v>
      </c>
      <c r="W57" s="72" t="str">
        <f t="shared" si="2"/>
        <v/>
      </c>
      <c r="X57" s="73"/>
      <c r="Y57" s="73"/>
      <c r="Z57" s="73"/>
    </row>
    <row r="58" ht="12.0" customHeight="1">
      <c r="A58" s="126" t="s">
        <v>99</v>
      </c>
      <c r="B58" s="115" t="s">
        <v>99</v>
      </c>
      <c r="C58" s="114" t="s">
        <v>99</v>
      </c>
      <c r="D58" s="113" t="s">
        <v>99</v>
      </c>
      <c r="E58" s="114" t="s">
        <v>99</v>
      </c>
      <c r="F58" s="115" t="s">
        <v>99</v>
      </c>
      <c r="G58" s="114" t="s">
        <v>99</v>
      </c>
      <c r="H58" s="115" t="s">
        <v>99</v>
      </c>
      <c r="I58" s="114" t="s">
        <v>99</v>
      </c>
      <c r="J58" s="115" t="s">
        <v>99</v>
      </c>
      <c r="K58" s="105" t="s">
        <v>99</v>
      </c>
      <c r="M58" s="105" t="s">
        <v>99</v>
      </c>
      <c r="O58" s="94"/>
      <c r="P58" s="114" t="s">
        <v>99</v>
      </c>
      <c r="Q58" s="105" t="s">
        <v>99</v>
      </c>
      <c r="R58" s="94"/>
      <c r="S58" s="71"/>
      <c r="T58" s="71"/>
      <c r="U58" s="71"/>
      <c r="V58" s="72" t="s">
        <v>99</v>
      </c>
      <c r="W58" s="72" t="str">
        <f t="shared" si="2"/>
        <v/>
      </c>
      <c r="X58" s="73"/>
      <c r="Y58" s="73"/>
      <c r="Z58" s="73"/>
    </row>
    <row r="59" ht="12.0" customHeight="1">
      <c r="A59" s="138" t="s">
        <v>99</v>
      </c>
      <c r="B59" s="119" t="s">
        <v>99</v>
      </c>
      <c r="C59" s="118" t="s">
        <v>99</v>
      </c>
      <c r="D59" s="139" t="s">
        <v>99</v>
      </c>
      <c r="E59" s="118" t="s">
        <v>99</v>
      </c>
      <c r="F59" s="119" t="s">
        <v>99</v>
      </c>
      <c r="G59" s="118" t="s">
        <v>99</v>
      </c>
      <c r="H59" s="119" t="s">
        <v>99</v>
      </c>
      <c r="I59" s="118" t="s">
        <v>99</v>
      </c>
      <c r="J59" s="119" t="s">
        <v>99</v>
      </c>
      <c r="K59" s="120" t="s">
        <v>99</v>
      </c>
      <c r="L59" s="91"/>
      <c r="M59" s="120" t="s">
        <v>99</v>
      </c>
      <c r="N59" s="84"/>
      <c r="O59" s="91"/>
      <c r="P59" s="120" t="s">
        <v>99</v>
      </c>
      <c r="Q59" s="120" t="s">
        <v>99</v>
      </c>
      <c r="R59" s="91"/>
      <c r="S59" s="71"/>
      <c r="T59" s="71"/>
      <c r="U59" s="71"/>
      <c r="V59" s="72" t="s">
        <v>99</v>
      </c>
      <c r="W59" s="72" t="str">
        <f t="shared" si="2"/>
        <v/>
      </c>
      <c r="X59" s="73"/>
      <c r="Y59" s="73"/>
      <c r="Z59" s="73"/>
    </row>
    <row r="60" ht="12.0" customHeight="1">
      <c r="A60" s="140" t="s">
        <v>149</v>
      </c>
      <c r="B60" s="141"/>
      <c r="C60" s="97"/>
      <c r="D60" s="97"/>
      <c r="E60" s="97"/>
      <c r="F60" s="97"/>
      <c r="G60" s="97"/>
      <c r="H60" s="97"/>
      <c r="I60" s="97"/>
      <c r="J60" s="97"/>
      <c r="K60" s="97"/>
      <c r="M60" s="97"/>
      <c r="P60" s="97"/>
      <c r="Q60" s="97"/>
      <c r="S60" s="71"/>
      <c r="T60" s="71"/>
      <c r="U60" s="71"/>
      <c r="V60" s="72"/>
      <c r="W60" s="72"/>
      <c r="X60" s="73"/>
      <c r="Y60" s="73"/>
      <c r="Z60" s="73"/>
    </row>
    <row r="61" ht="12.0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M61" s="73"/>
      <c r="P61" s="73"/>
      <c r="Q61" s="73"/>
      <c r="S61" s="71"/>
      <c r="T61" s="71"/>
      <c r="U61" s="71"/>
      <c r="V61" s="72"/>
      <c r="W61" s="72"/>
      <c r="X61" s="73"/>
      <c r="Y61" s="73"/>
      <c r="Z61" s="73"/>
    </row>
    <row r="62" ht="12.0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M62" s="73"/>
      <c r="P62" s="73"/>
      <c r="Q62" s="73"/>
      <c r="S62" s="71"/>
      <c r="T62" s="71"/>
      <c r="U62" s="71"/>
      <c r="V62" s="72"/>
      <c r="W62" s="72"/>
      <c r="X62" s="73"/>
      <c r="Y62" s="73"/>
      <c r="Z62" s="73"/>
    </row>
    <row r="63" ht="12.0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M63" s="73"/>
      <c r="P63" s="73"/>
      <c r="Q63" s="73"/>
      <c r="S63" s="71"/>
      <c r="T63" s="71"/>
      <c r="U63" s="71"/>
      <c r="V63" s="72"/>
      <c r="W63" s="72"/>
      <c r="X63" s="73"/>
      <c r="Y63" s="73"/>
      <c r="Z63" s="73"/>
    </row>
    <row r="64" ht="12.0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1"/>
      <c r="T64" s="71"/>
      <c r="U64" s="71"/>
      <c r="V64" s="72"/>
      <c r="W64" s="72"/>
      <c r="X64" s="73"/>
      <c r="Y64" s="73"/>
      <c r="Z64" s="73"/>
    </row>
    <row r="65" ht="12.0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1"/>
      <c r="T65" s="71"/>
      <c r="U65" s="71"/>
      <c r="V65" s="72"/>
      <c r="W65" s="72"/>
      <c r="X65" s="73"/>
      <c r="Y65" s="73"/>
      <c r="Z65" s="73"/>
    </row>
    <row r="66" ht="12.0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1"/>
      <c r="T66" s="71"/>
      <c r="U66" s="71"/>
      <c r="V66" s="72"/>
      <c r="W66" s="72"/>
      <c r="X66" s="73"/>
      <c r="Y66" s="73"/>
      <c r="Z66" s="73"/>
    </row>
    <row r="67" ht="12.0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1"/>
      <c r="T67" s="71"/>
      <c r="U67" s="71"/>
      <c r="V67" s="72"/>
      <c r="W67" s="72"/>
      <c r="X67" s="73"/>
      <c r="Y67" s="73"/>
      <c r="Z67" s="73"/>
    </row>
    <row r="68" ht="12.0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1"/>
      <c r="T68" s="71"/>
      <c r="U68" s="71"/>
      <c r="V68" s="72"/>
      <c r="W68" s="72"/>
      <c r="X68" s="73"/>
      <c r="Y68" s="73"/>
      <c r="Z68" s="73"/>
    </row>
    <row r="69" ht="12.0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1"/>
      <c r="T69" s="71"/>
      <c r="U69" s="71"/>
      <c r="V69" s="72"/>
      <c r="W69" s="72"/>
      <c r="X69" s="73"/>
      <c r="Y69" s="73"/>
      <c r="Z69" s="73"/>
    </row>
    <row r="70" ht="12.0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1"/>
      <c r="T70" s="71"/>
      <c r="U70" s="71"/>
      <c r="V70" s="72"/>
      <c r="W70" s="72"/>
      <c r="X70" s="73"/>
      <c r="Y70" s="73"/>
      <c r="Z70" s="73"/>
    </row>
    <row r="71" ht="12.0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1"/>
      <c r="T71" s="71"/>
      <c r="U71" s="71"/>
      <c r="V71" s="72"/>
      <c r="W71" s="72"/>
      <c r="X71" s="73"/>
      <c r="Y71" s="73"/>
      <c r="Z71" s="73"/>
    </row>
    <row r="72" ht="12.0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1"/>
      <c r="T72" s="71"/>
      <c r="U72" s="71"/>
      <c r="V72" s="72"/>
      <c r="W72" s="72"/>
      <c r="X72" s="73"/>
      <c r="Y72" s="73"/>
      <c r="Z72" s="73"/>
    </row>
    <row r="73" ht="12.0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1"/>
      <c r="T73" s="71"/>
      <c r="U73" s="71"/>
      <c r="V73" s="72"/>
      <c r="W73" s="72"/>
      <c r="X73" s="73"/>
      <c r="Y73" s="73"/>
      <c r="Z73" s="73"/>
    </row>
    <row r="74" ht="12.0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1"/>
      <c r="T74" s="71"/>
      <c r="U74" s="71"/>
      <c r="V74" s="72"/>
      <c r="W74" s="72"/>
      <c r="X74" s="73"/>
      <c r="Y74" s="73"/>
      <c r="Z74" s="73"/>
    </row>
    <row r="75" ht="12.0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1"/>
      <c r="T75" s="71"/>
      <c r="U75" s="71"/>
      <c r="V75" s="72"/>
      <c r="W75" s="72"/>
      <c r="X75" s="73"/>
      <c r="Y75" s="73"/>
      <c r="Z75" s="73"/>
    </row>
    <row r="76" ht="12.0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1"/>
      <c r="T76" s="71"/>
      <c r="U76" s="71"/>
      <c r="V76" s="72"/>
      <c r="W76" s="72"/>
      <c r="X76" s="73"/>
      <c r="Y76" s="73"/>
      <c r="Z76" s="73"/>
    </row>
    <row r="77" ht="12.0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1"/>
      <c r="T77" s="71"/>
      <c r="U77" s="71"/>
      <c r="V77" s="72"/>
      <c r="W77" s="72"/>
      <c r="X77" s="73"/>
      <c r="Y77" s="73"/>
      <c r="Z77" s="73"/>
    </row>
    <row r="78" ht="12.0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1"/>
      <c r="T78" s="71"/>
      <c r="U78" s="71"/>
      <c r="V78" s="72"/>
      <c r="W78" s="72"/>
      <c r="X78" s="73"/>
      <c r="Y78" s="73"/>
      <c r="Z78" s="73"/>
    </row>
    <row r="79" ht="12.0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1"/>
      <c r="T79" s="71"/>
      <c r="U79" s="71"/>
      <c r="V79" s="72"/>
      <c r="W79" s="72"/>
      <c r="X79" s="73"/>
      <c r="Y79" s="73"/>
      <c r="Z79" s="73"/>
    </row>
    <row r="80" ht="12.0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1"/>
      <c r="T80" s="71"/>
      <c r="U80" s="71"/>
      <c r="V80" s="72"/>
      <c r="W80" s="72"/>
      <c r="X80" s="73"/>
      <c r="Y80" s="73"/>
      <c r="Z80" s="73"/>
    </row>
    <row r="81" ht="12.0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1"/>
      <c r="T81" s="71"/>
      <c r="U81" s="71"/>
      <c r="V81" s="72"/>
      <c r="W81" s="72"/>
      <c r="X81" s="73"/>
      <c r="Y81" s="73"/>
      <c r="Z81" s="73"/>
    </row>
    <row r="82" ht="12.0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1"/>
      <c r="T82" s="71"/>
      <c r="U82" s="71"/>
      <c r="V82" s="72"/>
      <c r="W82" s="72"/>
      <c r="X82" s="73"/>
      <c r="Y82" s="73"/>
      <c r="Z82" s="73"/>
    </row>
    <row r="83" ht="12.0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1"/>
      <c r="T83" s="71"/>
      <c r="U83" s="71"/>
      <c r="V83" s="72"/>
      <c r="W83" s="72"/>
      <c r="X83" s="73"/>
      <c r="Y83" s="73"/>
      <c r="Z83" s="73"/>
    </row>
    <row r="84" ht="12.0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1"/>
      <c r="T84" s="71"/>
      <c r="U84" s="71"/>
      <c r="V84" s="72"/>
      <c r="W84" s="72"/>
      <c r="X84" s="73"/>
      <c r="Y84" s="73"/>
      <c r="Z84" s="73"/>
    </row>
    <row r="85" ht="12.0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1"/>
      <c r="T85" s="71"/>
      <c r="U85" s="71"/>
      <c r="V85" s="72"/>
      <c r="W85" s="72"/>
      <c r="X85" s="73"/>
      <c r="Y85" s="73"/>
      <c r="Z85" s="73"/>
    </row>
    <row r="86" ht="12.0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1"/>
      <c r="T86" s="71"/>
      <c r="U86" s="71"/>
      <c r="V86" s="72"/>
      <c r="W86" s="72"/>
      <c r="X86" s="73"/>
      <c r="Y86" s="73"/>
      <c r="Z86" s="73"/>
    </row>
    <row r="87" ht="12.0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1"/>
      <c r="T87" s="71"/>
      <c r="U87" s="71"/>
      <c r="V87" s="72"/>
      <c r="W87" s="72"/>
      <c r="X87" s="73"/>
      <c r="Y87" s="73"/>
      <c r="Z87" s="73"/>
    </row>
    <row r="88" ht="12.0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1"/>
      <c r="T88" s="71"/>
      <c r="U88" s="71"/>
      <c r="V88" s="72"/>
      <c r="W88" s="72"/>
      <c r="X88" s="73"/>
      <c r="Y88" s="73"/>
      <c r="Z88" s="73"/>
    </row>
    <row r="89" ht="12.0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1"/>
      <c r="T89" s="71"/>
      <c r="U89" s="71"/>
      <c r="V89" s="72"/>
      <c r="W89" s="72"/>
      <c r="X89" s="73"/>
      <c r="Y89" s="73"/>
      <c r="Z89" s="73"/>
    </row>
    <row r="90" ht="12.0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1"/>
      <c r="T90" s="71"/>
      <c r="U90" s="71"/>
      <c r="V90" s="72"/>
      <c r="W90" s="72"/>
      <c r="X90" s="73"/>
      <c r="Y90" s="73"/>
      <c r="Z90" s="73"/>
    </row>
    <row r="91" ht="12.0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1"/>
      <c r="T91" s="71"/>
      <c r="U91" s="71"/>
      <c r="V91" s="72"/>
      <c r="W91" s="72"/>
      <c r="X91" s="73"/>
      <c r="Y91" s="73"/>
      <c r="Z91" s="73"/>
    </row>
    <row r="92" ht="12.0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1"/>
      <c r="T92" s="71"/>
      <c r="U92" s="71"/>
      <c r="V92" s="72"/>
      <c r="W92" s="72"/>
      <c r="X92" s="73"/>
      <c r="Y92" s="73"/>
      <c r="Z92" s="73"/>
    </row>
    <row r="93" ht="12.0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1"/>
      <c r="T93" s="71"/>
      <c r="U93" s="71"/>
      <c r="V93" s="72"/>
      <c r="W93" s="72"/>
      <c r="X93" s="73"/>
      <c r="Y93" s="73"/>
      <c r="Z93" s="73"/>
    </row>
    <row r="94" ht="12.0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1"/>
      <c r="T94" s="71"/>
      <c r="U94" s="71"/>
      <c r="V94" s="72"/>
      <c r="W94" s="72"/>
      <c r="X94" s="73"/>
      <c r="Y94" s="73"/>
      <c r="Z94" s="73"/>
    </row>
    <row r="95" ht="12.0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1"/>
      <c r="T95" s="71"/>
      <c r="U95" s="71"/>
      <c r="V95" s="72"/>
      <c r="W95" s="72"/>
      <c r="X95" s="73"/>
      <c r="Y95" s="73"/>
      <c r="Z95" s="73"/>
    </row>
    <row r="96" ht="12.0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1"/>
      <c r="T96" s="71"/>
      <c r="U96" s="71"/>
      <c r="V96" s="72"/>
      <c r="W96" s="72"/>
      <c r="X96" s="73"/>
      <c r="Y96" s="73"/>
      <c r="Z96" s="73"/>
    </row>
    <row r="97" ht="12.0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1"/>
      <c r="T97" s="71"/>
      <c r="U97" s="71"/>
      <c r="V97" s="72"/>
      <c r="W97" s="72"/>
      <c r="X97" s="73"/>
      <c r="Y97" s="73"/>
      <c r="Z97" s="73"/>
    </row>
    <row r="98" ht="12.0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1"/>
      <c r="T98" s="71"/>
      <c r="U98" s="71"/>
      <c r="V98" s="72"/>
      <c r="W98" s="72"/>
      <c r="X98" s="73"/>
      <c r="Y98" s="73"/>
      <c r="Z98" s="73"/>
    </row>
    <row r="99" ht="12.0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1"/>
      <c r="T99" s="71"/>
      <c r="U99" s="71"/>
      <c r="V99" s="72"/>
      <c r="W99" s="72"/>
      <c r="X99" s="73"/>
      <c r="Y99" s="73"/>
      <c r="Z99" s="73"/>
    </row>
    <row r="100" ht="12.0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1"/>
      <c r="T100" s="71"/>
      <c r="U100" s="71"/>
      <c r="V100" s="72"/>
      <c r="W100" s="72"/>
      <c r="X100" s="73"/>
      <c r="Y100" s="73"/>
      <c r="Z100" s="73"/>
    </row>
    <row r="101" ht="12.0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1"/>
      <c r="T101" s="71"/>
      <c r="U101" s="71"/>
      <c r="V101" s="72"/>
      <c r="W101" s="72"/>
      <c r="X101" s="73"/>
      <c r="Y101" s="73"/>
      <c r="Z101" s="73"/>
    </row>
    <row r="102" ht="12.0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1"/>
      <c r="T102" s="71"/>
      <c r="U102" s="71"/>
      <c r="V102" s="72"/>
      <c r="W102" s="72"/>
      <c r="X102" s="73"/>
      <c r="Y102" s="73"/>
      <c r="Z102" s="73"/>
    </row>
    <row r="103" ht="12.0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1"/>
      <c r="T103" s="71"/>
      <c r="U103" s="71"/>
      <c r="V103" s="72"/>
      <c r="W103" s="72"/>
      <c r="X103" s="73"/>
      <c r="Y103" s="73"/>
      <c r="Z103" s="73"/>
    </row>
    <row r="104" ht="12.0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1"/>
      <c r="T104" s="71"/>
      <c r="U104" s="71"/>
      <c r="V104" s="72"/>
      <c r="W104" s="72"/>
      <c r="X104" s="73"/>
      <c r="Y104" s="73"/>
      <c r="Z104" s="73"/>
    </row>
    <row r="105" ht="12.0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1"/>
      <c r="T105" s="71"/>
      <c r="U105" s="71"/>
      <c r="V105" s="72"/>
      <c r="W105" s="72"/>
      <c r="X105" s="73"/>
      <c r="Y105" s="73"/>
      <c r="Z105" s="73"/>
    </row>
    <row r="106" ht="12.0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1"/>
      <c r="T106" s="71"/>
      <c r="U106" s="71"/>
      <c r="V106" s="72"/>
      <c r="W106" s="72"/>
      <c r="X106" s="73"/>
      <c r="Y106" s="73"/>
      <c r="Z106" s="73"/>
    </row>
    <row r="107" ht="12.0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1"/>
      <c r="T107" s="71"/>
      <c r="U107" s="71"/>
      <c r="V107" s="72"/>
      <c r="W107" s="72"/>
      <c r="X107" s="73"/>
      <c r="Y107" s="73"/>
      <c r="Z107" s="73"/>
    </row>
    <row r="108" ht="12.0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1"/>
      <c r="T108" s="71"/>
      <c r="U108" s="71"/>
      <c r="V108" s="72"/>
      <c r="W108" s="72"/>
      <c r="X108" s="73"/>
      <c r="Y108" s="73"/>
      <c r="Z108" s="73"/>
    </row>
    <row r="109" ht="12.0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1"/>
      <c r="T109" s="71"/>
      <c r="U109" s="71"/>
      <c r="V109" s="72"/>
      <c r="W109" s="72"/>
      <c r="X109" s="73"/>
      <c r="Y109" s="73"/>
      <c r="Z109" s="73"/>
    </row>
    <row r="110" ht="12.0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1"/>
      <c r="T110" s="71"/>
      <c r="U110" s="71"/>
      <c r="V110" s="72"/>
      <c r="W110" s="72"/>
      <c r="X110" s="73"/>
      <c r="Y110" s="73"/>
      <c r="Z110" s="73"/>
    </row>
    <row r="111" ht="12.0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1"/>
      <c r="T111" s="71"/>
      <c r="U111" s="71"/>
      <c r="V111" s="72"/>
      <c r="W111" s="72"/>
      <c r="X111" s="73"/>
      <c r="Y111" s="73"/>
      <c r="Z111" s="73"/>
    </row>
    <row r="112" ht="12.0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1"/>
      <c r="T112" s="71"/>
      <c r="U112" s="71"/>
      <c r="V112" s="72"/>
      <c r="W112" s="72"/>
      <c r="X112" s="73"/>
      <c r="Y112" s="73"/>
      <c r="Z112" s="73"/>
    </row>
    <row r="113" ht="12.0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1"/>
      <c r="T113" s="71"/>
      <c r="U113" s="71"/>
      <c r="V113" s="72"/>
      <c r="W113" s="72"/>
      <c r="X113" s="73"/>
      <c r="Y113" s="73"/>
      <c r="Z113" s="73"/>
    </row>
    <row r="114" ht="12.0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1"/>
      <c r="T114" s="71"/>
      <c r="U114" s="71"/>
      <c r="V114" s="72"/>
      <c r="W114" s="72"/>
      <c r="X114" s="73"/>
      <c r="Y114" s="73"/>
      <c r="Z114" s="73"/>
    </row>
    <row r="115" ht="12.0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1"/>
      <c r="T115" s="71"/>
      <c r="U115" s="71"/>
      <c r="V115" s="72"/>
      <c r="W115" s="72"/>
      <c r="X115" s="73"/>
      <c r="Y115" s="73"/>
      <c r="Z115" s="73"/>
    </row>
    <row r="116" ht="12.0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1"/>
      <c r="T116" s="71"/>
      <c r="U116" s="71"/>
      <c r="V116" s="72"/>
      <c r="W116" s="72"/>
      <c r="X116" s="73"/>
      <c r="Y116" s="73"/>
      <c r="Z116" s="73"/>
    </row>
    <row r="117" ht="12.0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1"/>
      <c r="T117" s="71"/>
      <c r="U117" s="71"/>
      <c r="V117" s="72"/>
      <c r="W117" s="72"/>
      <c r="X117" s="73"/>
      <c r="Y117" s="73"/>
      <c r="Z117" s="73"/>
    </row>
    <row r="118" ht="12.0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1"/>
      <c r="T118" s="71"/>
      <c r="U118" s="71"/>
      <c r="V118" s="72"/>
      <c r="W118" s="72"/>
      <c r="X118" s="73"/>
      <c r="Y118" s="73"/>
      <c r="Z118" s="73"/>
    </row>
    <row r="119" ht="12.0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1"/>
      <c r="T119" s="71"/>
      <c r="U119" s="71"/>
      <c r="V119" s="72"/>
      <c r="W119" s="72"/>
      <c r="X119" s="73"/>
      <c r="Y119" s="73"/>
      <c r="Z119" s="73"/>
    </row>
    <row r="120" ht="12.0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1"/>
      <c r="T120" s="71"/>
      <c r="U120" s="71"/>
      <c r="V120" s="72"/>
      <c r="W120" s="72"/>
      <c r="X120" s="73"/>
      <c r="Y120" s="73"/>
      <c r="Z120" s="73"/>
    </row>
    <row r="121" ht="12.0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1"/>
      <c r="T121" s="71"/>
      <c r="U121" s="71"/>
      <c r="V121" s="72"/>
      <c r="W121" s="72"/>
      <c r="X121" s="73"/>
      <c r="Y121" s="73"/>
      <c r="Z121" s="73"/>
    </row>
    <row r="122" ht="12.0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1"/>
      <c r="T122" s="71"/>
      <c r="U122" s="71"/>
      <c r="V122" s="72"/>
      <c r="W122" s="72"/>
      <c r="X122" s="73"/>
      <c r="Y122" s="73"/>
      <c r="Z122" s="73"/>
    </row>
    <row r="123" ht="12.0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1"/>
      <c r="T123" s="71"/>
      <c r="U123" s="71"/>
      <c r="V123" s="72"/>
      <c r="W123" s="72"/>
      <c r="X123" s="73"/>
      <c r="Y123" s="73"/>
      <c r="Z123" s="73"/>
    </row>
    <row r="124" ht="12.0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1"/>
      <c r="T124" s="71"/>
      <c r="U124" s="71"/>
      <c r="V124" s="72"/>
      <c r="W124" s="72"/>
      <c r="X124" s="73"/>
      <c r="Y124" s="73"/>
      <c r="Z124" s="73"/>
    </row>
    <row r="125" ht="12.0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1"/>
      <c r="T125" s="71"/>
      <c r="U125" s="71"/>
      <c r="V125" s="72"/>
      <c r="W125" s="72"/>
      <c r="X125" s="73"/>
      <c r="Y125" s="73"/>
      <c r="Z125" s="73"/>
    </row>
    <row r="126" ht="12.0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1"/>
      <c r="T126" s="71"/>
      <c r="U126" s="71"/>
      <c r="V126" s="72"/>
      <c r="W126" s="72"/>
      <c r="X126" s="73"/>
      <c r="Y126" s="73"/>
      <c r="Z126" s="73"/>
    </row>
    <row r="127" ht="12.0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1"/>
      <c r="T127" s="71"/>
      <c r="U127" s="71"/>
      <c r="V127" s="72"/>
      <c r="W127" s="72"/>
      <c r="X127" s="73"/>
      <c r="Y127" s="73"/>
      <c r="Z127" s="73"/>
    </row>
    <row r="128" ht="12.0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1"/>
      <c r="T128" s="71"/>
      <c r="U128" s="71"/>
      <c r="V128" s="72"/>
      <c r="W128" s="72"/>
      <c r="X128" s="73"/>
      <c r="Y128" s="73"/>
      <c r="Z128" s="73"/>
    </row>
    <row r="129" ht="12.0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1"/>
      <c r="T129" s="71"/>
      <c r="U129" s="71"/>
      <c r="V129" s="72"/>
      <c r="W129" s="72"/>
      <c r="X129" s="73"/>
      <c r="Y129" s="73"/>
      <c r="Z129" s="73"/>
    </row>
    <row r="130" ht="12.0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1"/>
      <c r="T130" s="71"/>
      <c r="U130" s="71"/>
      <c r="V130" s="72"/>
      <c r="W130" s="72"/>
      <c r="X130" s="73"/>
      <c r="Y130" s="73"/>
      <c r="Z130" s="73"/>
    </row>
    <row r="131" ht="12.0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1"/>
      <c r="T131" s="71"/>
      <c r="U131" s="71"/>
      <c r="V131" s="72"/>
      <c r="W131" s="72"/>
      <c r="X131" s="73"/>
      <c r="Y131" s="73"/>
      <c r="Z131" s="73"/>
    </row>
    <row r="132" ht="12.0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1"/>
      <c r="T132" s="71"/>
      <c r="U132" s="71"/>
      <c r="V132" s="72"/>
      <c r="W132" s="72"/>
      <c r="X132" s="73"/>
      <c r="Y132" s="73"/>
      <c r="Z132" s="73"/>
    </row>
    <row r="133" ht="12.0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1"/>
      <c r="T133" s="71"/>
      <c r="U133" s="71"/>
      <c r="V133" s="72"/>
      <c r="W133" s="72"/>
      <c r="X133" s="73"/>
      <c r="Y133" s="73"/>
      <c r="Z133" s="73"/>
    </row>
    <row r="134" ht="12.0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1"/>
      <c r="T134" s="71"/>
      <c r="U134" s="71"/>
      <c r="V134" s="72"/>
      <c r="W134" s="72"/>
      <c r="X134" s="73"/>
      <c r="Y134" s="73"/>
      <c r="Z134" s="73"/>
    </row>
    <row r="135" ht="12.0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1"/>
      <c r="T135" s="71"/>
      <c r="U135" s="71"/>
      <c r="V135" s="72"/>
      <c r="W135" s="72"/>
      <c r="X135" s="73"/>
      <c r="Y135" s="73"/>
      <c r="Z135" s="73"/>
    </row>
    <row r="136" ht="12.0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1"/>
      <c r="T136" s="71"/>
      <c r="U136" s="71"/>
      <c r="V136" s="72"/>
      <c r="W136" s="72"/>
      <c r="X136" s="73"/>
      <c r="Y136" s="73"/>
      <c r="Z136" s="73"/>
    </row>
    <row r="137" ht="12.0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1"/>
      <c r="T137" s="71"/>
      <c r="U137" s="71"/>
      <c r="V137" s="72"/>
      <c r="W137" s="72"/>
      <c r="X137" s="73"/>
      <c r="Y137" s="73"/>
      <c r="Z137" s="73"/>
    </row>
    <row r="138" ht="12.0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1"/>
      <c r="T138" s="71"/>
      <c r="U138" s="71"/>
      <c r="V138" s="72"/>
      <c r="W138" s="72"/>
      <c r="X138" s="73"/>
      <c r="Y138" s="73"/>
      <c r="Z138" s="73"/>
    </row>
    <row r="139" ht="12.0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1"/>
      <c r="T139" s="71"/>
      <c r="U139" s="71"/>
      <c r="V139" s="72"/>
      <c r="W139" s="72"/>
      <c r="X139" s="73"/>
      <c r="Y139" s="73"/>
      <c r="Z139" s="73"/>
    </row>
    <row r="140" ht="12.0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1"/>
      <c r="T140" s="71"/>
      <c r="U140" s="71"/>
      <c r="V140" s="72"/>
      <c r="W140" s="72"/>
      <c r="X140" s="73"/>
      <c r="Y140" s="73"/>
      <c r="Z140" s="73"/>
    </row>
    <row r="141" ht="12.0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1"/>
      <c r="T141" s="71"/>
      <c r="U141" s="71"/>
      <c r="V141" s="72"/>
      <c r="W141" s="72"/>
      <c r="X141" s="73"/>
      <c r="Y141" s="73"/>
      <c r="Z141" s="73"/>
    </row>
    <row r="142" ht="12.0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1"/>
      <c r="T142" s="71"/>
      <c r="U142" s="71"/>
      <c r="V142" s="72"/>
      <c r="W142" s="72"/>
      <c r="X142" s="73"/>
      <c r="Y142" s="73"/>
      <c r="Z142" s="73"/>
    </row>
    <row r="143" ht="12.0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1"/>
      <c r="T143" s="71"/>
      <c r="U143" s="71"/>
      <c r="V143" s="72"/>
      <c r="W143" s="72"/>
      <c r="X143" s="73"/>
      <c r="Y143" s="73"/>
      <c r="Z143" s="73"/>
    </row>
    <row r="144" ht="12.0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1"/>
      <c r="T144" s="71"/>
      <c r="U144" s="71"/>
      <c r="V144" s="72"/>
      <c r="W144" s="72"/>
      <c r="X144" s="73"/>
      <c r="Y144" s="73"/>
      <c r="Z144" s="73"/>
    </row>
    <row r="145" ht="12.0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1"/>
      <c r="T145" s="71"/>
      <c r="U145" s="71"/>
      <c r="V145" s="72"/>
      <c r="W145" s="72"/>
      <c r="X145" s="73"/>
      <c r="Y145" s="73"/>
      <c r="Z145" s="73"/>
    </row>
    <row r="146" ht="12.0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1"/>
      <c r="T146" s="71"/>
      <c r="U146" s="71"/>
      <c r="V146" s="72"/>
      <c r="W146" s="72"/>
      <c r="X146" s="73"/>
      <c r="Y146" s="73"/>
      <c r="Z146" s="73"/>
    </row>
    <row r="147" ht="12.0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1"/>
      <c r="T147" s="71"/>
      <c r="U147" s="71"/>
      <c r="V147" s="72"/>
      <c r="W147" s="72"/>
      <c r="X147" s="73"/>
      <c r="Y147" s="73"/>
      <c r="Z147" s="73"/>
    </row>
    <row r="148" ht="12.0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1"/>
      <c r="T148" s="71"/>
      <c r="U148" s="71"/>
      <c r="V148" s="72"/>
      <c r="W148" s="72"/>
      <c r="X148" s="73"/>
      <c r="Y148" s="73"/>
      <c r="Z148" s="73"/>
    </row>
    <row r="149" ht="12.0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1"/>
      <c r="T149" s="71"/>
      <c r="U149" s="71"/>
      <c r="V149" s="72"/>
      <c r="W149" s="72"/>
      <c r="X149" s="73"/>
      <c r="Y149" s="73"/>
      <c r="Z149" s="73"/>
    </row>
    <row r="150" ht="12.0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1"/>
      <c r="T150" s="71"/>
      <c r="U150" s="71"/>
      <c r="V150" s="72"/>
      <c r="W150" s="72"/>
      <c r="X150" s="73"/>
      <c r="Y150" s="73"/>
      <c r="Z150" s="73"/>
    </row>
    <row r="151" ht="12.0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1"/>
      <c r="T151" s="71"/>
      <c r="U151" s="71"/>
      <c r="V151" s="72"/>
      <c r="W151" s="72"/>
      <c r="X151" s="73"/>
      <c r="Y151" s="73"/>
      <c r="Z151" s="73"/>
    </row>
    <row r="152" ht="12.0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1"/>
      <c r="T152" s="71"/>
      <c r="U152" s="71"/>
      <c r="V152" s="72"/>
      <c r="W152" s="72"/>
      <c r="X152" s="73"/>
      <c r="Y152" s="73"/>
      <c r="Z152" s="73"/>
    </row>
    <row r="153" ht="12.0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1"/>
      <c r="T153" s="71"/>
      <c r="U153" s="71"/>
      <c r="V153" s="72"/>
      <c r="W153" s="72"/>
      <c r="X153" s="73"/>
      <c r="Y153" s="73"/>
      <c r="Z153" s="73"/>
    </row>
    <row r="154" ht="12.0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1"/>
      <c r="T154" s="71"/>
      <c r="U154" s="71"/>
      <c r="V154" s="72"/>
      <c r="W154" s="72"/>
      <c r="X154" s="73"/>
      <c r="Y154" s="73"/>
      <c r="Z154" s="73"/>
    </row>
    <row r="155" ht="12.0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1"/>
      <c r="T155" s="71"/>
      <c r="U155" s="71"/>
      <c r="V155" s="72"/>
      <c r="W155" s="72"/>
      <c r="X155" s="73"/>
      <c r="Y155" s="73"/>
      <c r="Z155" s="73"/>
    </row>
    <row r="156" ht="12.0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1"/>
      <c r="T156" s="71"/>
      <c r="U156" s="71"/>
      <c r="V156" s="72"/>
      <c r="W156" s="72"/>
      <c r="X156" s="73"/>
      <c r="Y156" s="73"/>
      <c r="Z156" s="73"/>
    </row>
    <row r="157" ht="12.0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1"/>
      <c r="T157" s="71"/>
      <c r="U157" s="71"/>
      <c r="V157" s="72"/>
      <c r="W157" s="72"/>
      <c r="X157" s="73"/>
      <c r="Y157" s="73"/>
      <c r="Z157" s="73"/>
    </row>
    <row r="158" ht="12.0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1"/>
      <c r="T158" s="71"/>
      <c r="U158" s="71"/>
      <c r="V158" s="72"/>
      <c r="W158" s="72"/>
      <c r="X158" s="73"/>
      <c r="Y158" s="73"/>
      <c r="Z158" s="73"/>
    </row>
    <row r="159" ht="12.0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1"/>
      <c r="T159" s="71"/>
      <c r="U159" s="71"/>
      <c r="V159" s="72"/>
      <c r="W159" s="72"/>
      <c r="X159" s="73"/>
      <c r="Y159" s="73"/>
      <c r="Z159" s="73"/>
    </row>
    <row r="160" ht="12.0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1"/>
      <c r="T160" s="71"/>
      <c r="U160" s="71"/>
      <c r="V160" s="72"/>
      <c r="W160" s="72"/>
      <c r="X160" s="73"/>
      <c r="Y160" s="73"/>
      <c r="Z160" s="73"/>
    </row>
    <row r="161" ht="12.0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1"/>
      <c r="T161" s="71"/>
      <c r="U161" s="71"/>
      <c r="V161" s="72"/>
      <c r="W161" s="72"/>
      <c r="X161" s="73"/>
      <c r="Y161" s="73"/>
      <c r="Z161" s="73"/>
    </row>
    <row r="162" ht="12.0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1"/>
      <c r="T162" s="71"/>
      <c r="U162" s="71"/>
      <c r="V162" s="72"/>
      <c r="W162" s="72"/>
      <c r="X162" s="73"/>
      <c r="Y162" s="73"/>
      <c r="Z162" s="73"/>
    </row>
    <row r="163" ht="12.0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1"/>
      <c r="T163" s="71"/>
      <c r="U163" s="71"/>
      <c r="V163" s="72"/>
      <c r="W163" s="72"/>
      <c r="X163" s="73"/>
      <c r="Y163" s="73"/>
      <c r="Z163" s="73"/>
    </row>
    <row r="164" ht="12.0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1"/>
      <c r="T164" s="71"/>
      <c r="U164" s="71"/>
      <c r="V164" s="72"/>
      <c r="W164" s="72"/>
      <c r="X164" s="73"/>
      <c r="Y164" s="73"/>
      <c r="Z164" s="73"/>
    </row>
    <row r="165" ht="12.0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1"/>
      <c r="T165" s="71"/>
      <c r="U165" s="71"/>
      <c r="V165" s="72"/>
      <c r="W165" s="72"/>
      <c r="X165" s="73"/>
      <c r="Y165" s="73"/>
      <c r="Z165" s="73"/>
    </row>
    <row r="166" ht="12.0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1"/>
      <c r="T166" s="71"/>
      <c r="U166" s="71"/>
      <c r="V166" s="72"/>
      <c r="W166" s="72"/>
      <c r="X166" s="73"/>
      <c r="Y166" s="73"/>
      <c r="Z166" s="73"/>
    </row>
    <row r="167" ht="12.0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1"/>
      <c r="T167" s="71"/>
      <c r="U167" s="71"/>
      <c r="V167" s="72"/>
      <c r="W167" s="72"/>
      <c r="X167" s="73"/>
      <c r="Y167" s="73"/>
      <c r="Z167" s="73"/>
    </row>
    <row r="168" ht="12.0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1"/>
      <c r="T168" s="71"/>
      <c r="U168" s="71"/>
      <c r="V168" s="72"/>
      <c r="W168" s="72"/>
      <c r="X168" s="73"/>
      <c r="Y168" s="73"/>
      <c r="Z168" s="73"/>
    </row>
    <row r="169" ht="12.0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1"/>
      <c r="T169" s="71"/>
      <c r="U169" s="71"/>
      <c r="V169" s="72"/>
      <c r="W169" s="72"/>
      <c r="X169" s="73"/>
      <c r="Y169" s="73"/>
      <c r="Z169" s="73"/>
    </row>
    <row r="170" ht="12.0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1"/>
      <c r="T170" s="71"/>
      <c r="U170" s="71"/>
      <c r="V170" s="72"/>
      <c r="W170" s="72"/>
      <c r="X170" s="73"/>
      <c r="Y170" s="73"/>
      <c r="Z170" s="73"/>
    </row>
    <row r="171" ht="12.0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1"/>
      <c r="T171" s="71"/>
      <c r="U171" s="71"/>
      <c r="V171" s="72"/>
      <c r="W171" s="72"/>
      <c r="X171" s="73"/>
      <c r="Y171" s="73"/>
      <c r="Z171" s="73"/>
    </row>
    <row r="172" ht="12.0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1"/>
      <c r="T172" s="71"/>
      <c r="U172" s="71"/>
      <c r="V172" s="72"/>
      <c r="W172" s="72"/>
      <c r="X172" s="73"/>
      <c r="Y172" s="73"/>
      <c r="Z172" s="73"/>
    </row>
    <row r="173" ht="12.0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1"/>
      <c r="T173" s="71"/>
      <c r="U173" s="71"/>
      <c r="V173" s="72"/>
      <c r="W173" s="72"/>
      <c r="X173" s="73"/>
      <c r="Y173" s="73"/>
      <c r="Z173" s="73"/>
    </row>
    <row r="174" ht="12.0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1"/>
      <c r="T174" s="71"/>
      <c r="U174" s="71"/>
      <c r="V174" s="72"/>
      <c r="W174" s="72"/>
      <c r="X174" s="73"/>
      <c r="Y174" s="73"/>
      <c r="Z174" s="73"/>
    </row>
    <row r="175" ht="12.0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1"/>
      <c r="T175" s="71"/>
      <c r="U175" s="71"/>
      <c r="V175" s="72"/>
      <c r="W175" s="72"/>
      <c r="X175" s="73"/>
      <c r="Y175" s="73"/>
      <c r="Z175" s="73"/>
    </row>
    <row r="176" ht="12.0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1"/>
      <c r="T176" s="71"/>
      <c r="U176" s="71"/>
      <c r="V176" s="72"/>
      <c r="W176" s="72"/>
      <c r="X176" s="73"/>
      <c r="Y176" s="73"/>
      <c r="Z176" s="73"/>
    </row>
    <row r="177" ht="12.0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1"/>
      <c r="T177" s="71"/>
      <c r="U177" s="71"/>
      <c r="V177" s="72"/>
      <c r="W177" s="72"/>
      <c r="X177" s="73"/>
      <c r="Y177" s="73"/>
      <c r="Z177" s="73"/>
    </row>
    <row r="178" ht="12.0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1"/>
      <c r="T178" s="71"/>
      <c r="U178" s="71"/>
      <c r="V178" s="72"/>
      <c r="W178" s="72"/>
      <c r="X178" s="73"/>
      <c r="Y178" s="73"/>
      <c r="Z178" s="73"/>
    </row>
    <row r="179" ht="12.0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1"/>
      <c r="T179" s="71"/>
      <c r="U179" s="71"/>
      <c r="V179" s="72"/>
      <c r="W179" s="72"/>
      <c r="X179" s="73"/>
      <c r="Y179" s="73"/>
      <c r="Z179" s="73"/>
    </row>
    <row r="180" ht="12.0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1"/>
      <c r="T180" s="71"/>
      <c r="U180" s="71"/>
      <c r="V180" s="72"/>
      <c r="W180" s="72"/>
      <c r="X180" s="73"/>
      <c r="Y180" s="73"/>
      <c r="Z180" s="73"/>
    </row>
    <row r="181" ht="12.0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1"/>
      <c r="T181" s="71"/>
      <c r="U181" s="71"/>
      <c r="V181" s="72"/>
      <c r="W181" s="72"/>
      <c r="X181" s="73"/>
      <c r="Y181" s="73"/>
      <c r="Z181" s="73"/>
    </row>
    <row r="182" ht="12.0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1"/>
      <c r="T182" s="71"/>
      <c r="U182" s="71"/>
      <c r="V182" s="72"/>
      <c r="W182" s="72"/>
      <c r="X182" s="73"/>
      <c r="Y182" s="73"/>
      <c r="Z182" s="73"/>
    </row>
    <row r="183" ht="12.0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1"/>
      <c r="T183" s="71"/>
      <c r="U183" s="71"/>
      <c r="V183" s="72"/>
      <c r="W183" s="72"/>
      <c r="X183" s="73"/>
      <c r="Y183" s="73"/>
      <c r="Z183" s="73"/>
    </row>
    <row r="184" ht="12.0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1"/>
      <c r="T184" s="71"/>
      <c r="U184" s="71"/>
      <c r="V184" s="72"/>
      <c r="W184" s="72"/>
      <c r="X184" s="73"/>
      <c r="Y184" s="73"/>
      <c r="Z184" s="73"/>
    </row>
    <row r="185" ht="12.0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1"/>
      <c r="T185" s="71"/>
      <c r="U185" s="71"/>
      <c r="V185" s="72"/>
      <c r="W185" s="72"/>
      <c r="X185" s="73"/>
      <c r="Y185" s="73"/>
      <c r="Z185" s="73"/>
    </row>
    <row r="186" ht="12.0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1"/>
      <c r="T186" s="71"/>
      <c r="U186" s="71"/>
      <c r="V186" s="72"/>
      <c r="W186" s="72"/>
      <c r="X186" s="73"/>
      <c r="Y186" s="73"/>
      <c r="Z186" s="73"/>
    </row>
    <row r="187" ht="12.0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1"/>
      <c r="T187" s="71"/>
      <c r="U187" s="71"/>
      <c r="V187" s="72"/>
      <c r="W187" s="72"/>
      <c r="X187" s="73"/>
      <c r="Y187" s="73"/>
      <c r="Z187" s="73"/>
    </row>
    <row r="188" ht="12.0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1"/>
      <c r="T188" s="71"/>
      <c r="U188" s="71"/>
      <c r="V188" s="72"/>
      <c r="W188" s="72"/>
      <c r="X188" s="73"/>
      <c r="Y188" s="73"/>
      <c r="Z188" s="73"/>
    </row>
    <row r="189" ht="12.0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1"/>
      <c r="T189" s="71"/>
      <c r="U189" s="71"/>
      <c r="V189" s="72"/>
      <c r="W189" s="72"/>
      <c r="X189" s="73"/>
      <c r="Y189" s="73"/>
      <c r="Z189" s="73"/>
    </row>
    <row r="190" ht="12.0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1"/>
      <c r="T190" s="71"/>
      <c r="U190" s="71"/>
      <c r="V190" s="72"/>
      <c r="W190" s="72"/>
      <c r="X190" s="73"/>
      <c r="Y190" s="73"/>
      <c r="Z190" s="73"/>
    </row>
    <row r="191" ht="12.0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1"/>
      <c r="T191" s="71"/>
      <c r="U191" s="71"/>
      <c r="V191" s="72"/>
      <c r="W191" s="72"/>
      <c r="X191" s="73"/>
      <c r="Y191" s="73"/>
      <c r="Z191" s="73"/>
    </row>
    <row r="192" ht="12.0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1"/>
      <c r="T192" s="71"/>
      <c r="U192" s="71"/>
      <c r="V192" s="72"/>
      <c r="W192" s="72"/>
      <c r="X192" s="73"/>
      <c r="Y192" s="73"/>
      <c r="Z192" s="73"/>
    </row>
    <row r="193" ht="12.0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1"/>
      <c r="T193" s="71"/>
      <c r="U193" s="71"/>
      <c r="V193" s="72"/>
      <c r="W193" s="72"/>
      <c r="X193" s="73"/>
      <c r="Y193" s="73"/>
      <c r="Z193" s="73"/>
    </row>
    <row r="194" ht="12.0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1"/>
      <c r="T194" s="71"/>
      <c r="U194" s="71"/>
      <c r="V194" s="72"/>
      <c r="W194" s="72"/>
      <c r="X194" s="73"/>
      <c r="Y194" s="73"/>
      <c r="Z194" s="73"/>
    </row>
    <row r="195" ht="12.0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1"/>
      <c r="T195" s="71"/>
      <c r="U195" s="71"/>
      <c r="V195" s="72"/>
      <c r="W195" s="72"/>
      <c r="X195" s="73"/>
      <c r="Y195" s="73"/>
      <c r="Z195" s="73"/>
    </row>
    <row r="196" ht="12.0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1"/>
      <c r="T196" s="71"/>
      <c r="U196" s="71"/>
      <c r="V196" s="72"/>
      <c r="W196" s="72"/>
      <c r="X196" s="73"/>
      <c r="Y196" s="73"/>
      <c r="Z196" s="73"/>
    </row>
    <row r="197" ht="12.0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1"/>
      <c r="T197" s="71"/>
      <c r="U197" s="71"/>
      <c r="V197" s="72"/>
      <c r="W197" s="72"/>
      <c r="X197" s="73"/>
      <c r="Y197" s="73"/>
      <c r="Z197" s="73"/>
    </row>
    <row r="198" ht="12.0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1"/>
      <c r="T198" s="71"/>
      <c r="U198" s="71"/>
      <c r="V198" s="72"/>
      <c r="W198" s="72"/>
      <c r="X198" s="73"/>
      <c r="Y198" s="73"/>
      <c r="Z198" s="73"/>
    </row>
    <row r="199" ht="12.0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1"/>
      <c r="T199" s="71"/>
      <c r="U199" s="71"/>
      <c r="V199" s="72"/>
      <c r="W199" s="72"/>
      <c r="X199" s="73"/>
      <c r="Y199" s="73"/>
      <c r="Z199" s="73"/>
    </row>
    <row r="200" ht="12.0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1"/>
      <c r="T200" s="71"/>
      <c r="U200" s="71"/>
      <c r="V200" s="72"/>
      <c r="W200" s="72"/>
      <c r="X200" s="73"/>
      <c r="Y200" s="73"/>
      <c r="Z200" s="73"/>
    </row>
    <row r="201" ht="12.0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1"/>
      <c r="T201" s="71"/>
      <c r="U201" s="71"/>
      <c r="V201" s="72"/>
      <c r="W201" s="72"/>
      <c r="X201" s="73"/>
      <c r="Y201" s="73"/>
      <c r="Z201" s="73"/>
    </row>
    <row r="202" ht="12.0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1"/>
      <c r="T202" s="71"/>
      <c r="U202" s="71"/>
      <c r="V202" s="72"/>
      <c r="W202" s="72"/>
      <c r="X202" s="73"/>
      <c r="Y202" s="73"/>
      <c r="Z202" s="73"/>
    </row>
    <row r="203" ht="12.0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1"/>
      <c r="T203" s="71"/>
      <c r="U203" s="71"/>
      <c r="V203" s="72"/>
      <c r="W203" s="72"/>
      <c r="X203" s="73"/>
      <c r="Y203" s="73"/>
      <c r="Z203" s="73"/>
    </row>
    <row r="204" ht="12.0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1"/>
      <c r="T204" s="71"/>
      <c r="U204" s="71"/>
      <c r="V204" s="72"/>
      <c r="W204" s="72"/>
      <c r="X204" s="73"/>
      <c r="Y204" s="73"/>
      <c r="Z204" s="73"/>
    </row>
    <row r="205" ht="12.0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1"/>
      <c r="T205" s="71"/>
      <c r="U205" s="71"/>
      <c r="V205" s="72"/>
      <c r="W205" s="72"/>
      <c r="X205" s="73"/>
      <c r="Y205" s="73"/>
      <c r="Z205" s="73"/>
    </row>
    <row r="206" ht="12.0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1"/>
      <c r="T206" s="71"/>
      <c r="U206" s="71"/>
      <c r="V206" s="72"/>
      <c r="W206" s="72"/>
      <c r="X206" s="73"/>
      <c r="Y206" s="73"/>
      <c r="Z206" s="73"/>
    </row>
    <row r="207" ht="12.0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1"/>
      <c r="T207" s="71"/>
      <c r="U207" s="71"/>
      <c r="V207" s="72"/>
      <c r="W207" s="72"/>
      <c r="X207" s="73"/>
      <c r="Y207" s="73"/>
      <c r="Z207" s="73"/>
    </row>
    <row r="208" ht="12.0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1"/>
      <c r="T208" s="71"/>
      <c r="U208" s="71"/>
      <c r="V208" s="72"/>
      <c r="W208" s="72"/>
      <c r="X208" s="73"/>
      <c r="Y208" s="73"/>
      <c r="Z208" s="73"/>
    </row>
    <row r="209" ht="12.0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1"/>
      <c r="T209" s="71"/>
      <c r="U209" s="71"/>
      <c r="V209" s="72"/>
      <c r="W209" s="72"/>
      <c r="X209" s="73"/>
      <c r="Y209" s="73"/>
      <c r="Z209" s="73"/>
    </row>
    <row r="210" ht="12.0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1"/>
      <c r="T210" s="71"/>
      <c r="U210" s="71"/>
      <c r="V210" s="72"/>
      <c r="W210" s="72"/>
      <c r="X210" s="73"/>
      <c r="Y210" s="73"/>
      <c r="Z210" s="73"/>
    </row>
    <row r="211" ht="12.0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1"/>
      <c r="T211" s="71"/>
      <c r="U211" s="71"/>
      <c r="V211" s="72"/>
      <c r="W211" s="72"/>
      <c r="X211" s="73"/>
      <c r="Y211" s="73"/>
      <c r="Z211" s="73"/>
    </row>
    <row r="212" ht="12.0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1"/>
      <c r="T212" s="71"/>
      <c r="U212" s="71"/>
      <c r="V212" s="72"/>
      <c r="W212" s="72"/>
      <c r="X212" s="73"/>
      <c r="Y212" s="73"/>
      <c r="Z212" s="73"/>
    </row>
    <row r="213" ht="12.0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1"/>
      <c r="T213" s="71"/>
      <c r="U213" s="71"/>
      <c r="V213" s="72"/>
      <c r="W213" s="72"/>
      <c r="X213" s="73"/>
      <c r="Y213" s="73"/>
      <c r="Z213" s="73"/>
    </row>
    <row r="214" ht="12.0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1"/>
      <c r="T214" s="71"/>
      <c r="U214" s="71"/>
      <c r="V214" s="72"/>
      <c r="W214" s="72"/>
      <c r="X214" s="73"/>
      <c r="Y214" s="73"/>
      <c r="Z214" s="73"/>
    </row>
    <row r="215" ht="12.0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1"/>
      <c r="T215" s="71"/>
      <c r="U215" s="71"/>
      <c r="V215" s="72"/>
      <c r="W215" s="72"/>
      <c r="X215" s="73"/>
      <c r="Y215" s="73"/>
      <c r="Z215" s="73"/>
    </row>
    <row r="216" ht="12.0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1"/>
      <c r="T216" s="71"/>
      <c r="U216" s="71"/>
      <c r="V216" s="72"/>
      <c r="W216" s="72"/>
      <c r="X216" s="73"/>
      <c r="Y216" s="73"/>
      <c r="Z216" s="73"/>
    </row>
    <row r="217" ht="12.0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1"/>
      <c r="T217" s="71"/>
      <c r="U217" s="71"/>
      <c r="V217" s="72"/>
      <c r="W217" s="72"/>
      <c r="X217" s="73"/>
      <c r="Y217" s="73"/>
      <c r="Z217" s="73"/>
    </row>
    <row r="218" ht="12.0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1"/>
      <c r="T218" s="71"/>
      <c r="U218" s="71"/>
      <c r="V218" s="72"/>
      <c r="W218" s="72"/>
      <c r="X218" s="73"/>
      <c r="Y218" s="73"/>
      <c r="Z218" s="73"/>
    </row>
    <row r="219" ht="12.0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1"/>
      <c r="T219" s="71"/>
      <c r="U219" s="71"/>
      <c r="V219" s="72"/>
      <c r="W219" s="72"/>
      <c r="X219" s="73"/>
      <c r="Y219" s="73"/>
      <c r="Z219" s="73"/>
    </row>
    <row r="220" ht="12.0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1"/>
      <c r="T220" s="71"/>
      <c r="U220" s="71"/>
      <c r="V220" s="72"/>
      <c r="W220" s="72"/>
      <c r="X220" s="73"/>
      <c r="Y220" s="73"/>
      <c r="Z220" s="73"/>
    </row>
    <row r="221" ht="12.0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1"/>
      <c r="T221" s="71"/>
      <c r="U221" s="71"/>
      <c r="V221" s="72"/>
      <c r="W221" s="72"/>
      <c r="X221" s="73"/>
      <c r="Y221" s="73"/>
      <c r="Z221" s="73"/>
    </row>
    <row r="222" ht="12.0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1"/>
      <c r="T222" s="71"/>
      <c r="U222" s="71"/>
      <c r="V222" s="72"/>
      <c r="W222" s="72"/>
      <c r="X222" s="73"/>
      <c r="Y222" s="73"/>
      <c r="Z222" s="73"/>
    </row>
    <row r="223" ht="12.0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1"/>
      <c r="T223" s="71"/>
      <c r="U223" s="71"/>
      <c r="V223" s="72"/>
      <c r="W223" s="72"/>
      <c r="X223" s="73"/>
      <c r="Y223" s="73"/>
      <c r="Z223" s="73"/>
    </row>
    <row r="224" ht="12.0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1"/>
      <c r="T224" s="71"/>
      <c r="U224" s="71"/>
      <c r="V224" s="72"/>
      <c r="W224" s="72"/>
      <c r="X224" s="73"/>
      <c r="Y224" s="73"/>
      <c r="Z224" s="73"/>
    </row>
    <row r="225" ht="12.0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1"/>
      <c r="T225" s="71"/>
      <c r="U225" s="71"/>
      <c r="V225" s="72"/>
      <c r="W225" s="72"/>
      <c r="X225" s="73"/>
      <c r="Y225" s="73"/>
      <c r="Z225" s="73"/>
    </row>
    <row r="226" ht="12.0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1"/>
      <c r="T226" s="71"/>
      <c r="U226" s="71"/>
      <c r="V226" s="72"/>
      <c r="W226" s="72"/>
      <c r="X226" s="73"/>
      <c r="Y226" s="73"/>
      <c r="Z226" s="73"/>
    </row>
    <row r="227" ht="12.0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1"/>
      <c r="T227" s="71"/>
      <c r="U227" s="71"/>
      <c r="V227" s="72"/>
      <c r="W227" s="72"/>
      <c r="X227" s="73"/>
      <c r="Y227" s="73"/>
      <c r="Z227" s="73"/>
    </row>
    <row r="228" ht="12.0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1"/>
      <c r="T228" s="71"/>
      <c r="U228" s="71"/>
      <c r="V228" s="72"/>
      <c r="W228" s="72"/>
      <c r="X228" s="73"/>
      <c r="Y228" s="73"/>
      <c r="Z228" s="73"/>
    </row>
    <row r="229" ht="12.0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1"/>
      <c r="T229" s="71"/>
      <c r="U229" s="71"/>
      <c r="V229" s="72"/>
      <c r="W229" s="72"/>
      <c r="X229" s="73"/>
      <c r="Y229" s="73"/>
      <c r="Z229" s="73"/>
    </row>
    <row r="230" ht="12.0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1"/>
      <c r="T230" s="71"/>
      <c r="U230" s="71"/>
      <c r="V230" s="72"/>
      <c r="W230" s="72"/>
      <c r="X230" s="73"/>
      <c r="Y230" s="73"/>
      <c r="Z230" s="73"/>
    </row>
    <row r="231" ht="12.0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1"/>
      <c r="T231" s="71"/>
      <c r="U231" s="71"/>
      <c r="V231" s="72"/>
      <c r="W231" s="72"/>
      <c r="X231" s="73"/>
      <c r="Y231" s="73"/>
      <c r="Z231" s="73"/>
    </row>
    <row r="232" ht="12.0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1"/>
      <c r="T232" s="71"/>
      <c r="U232" s="71"/>
      <c r="V232" s="72"/>
      <c r="W232" s="72"/>
      <c r="X232" s="73"/>
      <c r="Y232" s="73"/>
      <c r="Z232" s="73"/>
    </row>
    <row r="233" ht="12.0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1"/>
      <c r="T233" s="71"/>
      <c r="U233" s="71"/>
      <c r="V233" s="72"/>
      <c r="W233" s="72"/>
      <c r="X233" s="73"/>
      <c r="Y233" s="73"/>
      <c r="Z233" s="73"/>
    </row>
    <row r="234" ht="12.0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1"/>
      <c r="T234" s="71"/>
      <c r="U234" s="71"/>
      <c r="V234" s="72"/>
      <c r="W234" s="72"/>
      <c r="X234" s="73"/>
      <c r="Y234" s="73"/>
      <c r="Z234" s="73"/>
    </row>
    <row r="235" ht="12.0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1"/>
      <c r="T235" s="71"/>
      <c r="U235" s="71"/>
      <c r="V235" s="72"/>
      <c r="W235" s="72"/>
      <c r="X235" s="73"/>
      <c r="Y235" s="73"/>
      <c r="Z235" s="73"/>
    </row>
    <row r="236" ht="12.0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1"/>
      <c r="T236" s="71"/>
      <c r="U236" s="71"/>
      <c r="V236" s="72"/>
      <c r="W236" s="72"/>
      <c r="X236" s="73"/>
      <c r="Y236" s="73"/>
      <c r="Z236" s="73"/>
    </row>
    <row r="237" ht="12.0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1"/>
      <c r="T237" s="71"/>
      <c r="U237" s="71"/>
      <c r="V237" s="72"/>
      <c r="W237" s="72"/>
      <c r="X237" s="73"/>
      <c r="Y237" s="73"/>
      <c r="Z237" s="73"/>
    </row>
    <row r="238" ht="12.0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1"/>
      <c r="T238" s="71"/>
      <c r="U238" s="71"/>
      <c r="V238" s="72"/>
      <c r="W238" s="72"/>
      <c r="X238" s="73"/>
      <c r="Y238" s="73"/>
      <c r="Z238" s="73"/>
    </row>
    <row r="239" ht="12.0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1"/>
      <c r="T239" s="71"/>
      <c r="U239" s="71"/>
      <c r="V239" s="72"/>
      <c r="W239" s="72"/>
      <c r="X239" s="73"/>
      <c r="Y239" s="73"/>
      <c r="Z239" s="73"/>
    </row>
    <row r="240" ht="12.0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1"/>
      <c r="T240" s="71"/>
      <c r="U240" s="71"/>
      <c r="V240" s="72"/>
      <c r="W240" s="72"/>
      <c r="X240" s="73"/>
      <c r="Y240" s="73"/>
      <c r="Z240" s="73"/>
    </row>
    <row r="241" ht="12.0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1"/>
      <c r="T241" s="71"/>
      <c r="U241" s="71"/>
      <c r="V241" s="72"/>
      <c r="W241" s="72"/>
      <c r="X241" s="73"/>
      <c r="Y241" s="73"/>
      <c r="Z241" s="73"/>
    </row>
    <row r="242" ht="12.0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1"/>
      <c r="T242" s="71"/>
      <c r="U242" s="71"/>
      <c r="V242" s="72"/>
      <c r="W242" s="72"/>
      <c r="X242" s="73"/>
      <c r="Y242" s="73"/>
      <c r="Z242" s="73"/>
    </row>
    <row r="243" ht="12.0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1"/>
      <c r="T243" s="71"/>
      <c r="U243" s="71"/>
      <c r="V243" s="72"/>
      <c r="W243" s="72"/>
      <c r="X243" s="73"/>
      <c r="Y243" s="73"/>
      <c r="Z243" s="73"/>
    </row>
    <row r="244" ht="12.0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1"/>
      <c r="T244" s="71"/>
      <c r="U244" s="71"/>
      <c r="V244" s="72"/>
      <c r="W244" s="72"/>
      <c r="X244" s="73"/>
      <c r="Y244" s="73"/>
      <c r="Z244" s="73"/>
    </row>
    <row r="245" ht="12.0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1"/>
      <c r="T245" s="71"/>
      <c r="U245" s="71"/>
      <c r="V245" s="72"/>
      <c r="W245" s="72"/>
      <c r="X245" s="73"/>
      <c r="Y245" s="73"/>
      <c r="Z245" s="73"/>
    </row>
    <row r="246" ht="12.0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1"/>
      <c r="T246" s="71"/>
      <c r="U246" s="71"/>
      <c r="V246" s="72"/>
      <c r="W246" s="72"/>
      <c r="X246" s="73"/>
      <c r="Y246" s="73"/>
      <c r="Z246" s="73"/>
    </row>
    <row r="247" ht="12.0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1"/>
      <c r="T247" s="71"/>
      <c r="U247" s="71"/>
      <c r="V247" s="72"/>
      <c r="W247" s="72"/>
      <c r="X247" s="73"/>
      <c r="Y247" s="73"/>
      <c r="Z247" s="73"/>
    </row>
    <row r="248" ht="12.0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1"/>
      <c r="T248" s="71"/>
      <c r="U248" s="71"/>
      <c r="V248" s="72"/>
      <c r="W248" s="72"/>
      <c r="X248" s="73"/>
      <c r="Y248" s="73"/>
      <c r="Z248" s="73"/>
    </row>
    <row r="249" ht="12.0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1"/>
      <c r="T249" s="71"/>
      <c r="U249" s="71"/>
      <c r="V249" s="72"/>
      <c r="W249" s="72"/>
      <c r="X249" s="73"/>
      <c r="Y249" s="73"/>
      <c r="Z249" s="73"/>
    </row>
    <row r="250" ht="12.0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1"/>
      <c r="T250" s="71"/>
      <c r="U250" s="71"/>
      <c r="V250" s="72"/>
      <c r="W250" s="72"/>
      <c r="X250" s="73"/>
      <c r="Y250" s="73"/>
      <c r="Z250" s="73"/>
    </row>
    <row r="251" ht="12.0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1"/>
      <c r="T251" s="71"/>
      <c r="U251" s="71"/>
      <c r="V251" s="72"/>
      <c r="W251" s="72"/>
      <c r="X251" s="73"/>
      <c r="Y251" s="73"/>
      <c r="Z251" s="73"/>
    </row>
    <row r="252" ht="12.0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1"/>
      <c r="T252" s="71"/>
      <c r="U252" s="71"/>
      <c r="V252" s="72"/>
      <c r="W252" s="72"/>
      <c r="X252" s="73"/>
      <c r="Y252" s="73"/>
      <c r="Z252" s="73"/>
    </row>
    <row r="253" ht="12.0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1"/>
      <c r="T253" s="71"/>
      <c r="U253" s="71"/>
      <c r="V253" s="72"/>
      <c r="W253" s="72"/>
      <c r="X253" s="73"/>
      <c r="Y253" s="73"/>
      <c r="Z253" s="73"/>
    </row>
    <row r="254" ht="12.0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1"/>
      <c r="T254" s="71"/>
      <c r="U254" s="71"/>
      <c r="V254" s="72"/>
      <c r="W254" s="72"/>
      <c r="X254" s="73"/>
      <c r="Y254" s="73"/>
      <c r="Z254" s="73"/>
    </row>
    <row r="255" ht="12.0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1"/>
      <c r="T255" s="71"/>
      <c r="U255" s="71"/>
      <c r="V255" s="72"/>
      <c r="W255" s="72"/>
      <c r="X255" s="73"/>
      <c r="Y255" s="73"/>
      <c r="Z255" s="73"/>
    </row>
    <row r="256" ht="12.0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1"/>
      <c r="T256" s="71"/>
      <c r="U256" s="71"/>
      <c r="V256" s="72"/>
      <c r="W256" s="72"/>
      <c r="X256" s="73"/>
      <c r="Y256" s="73"/>
      <c r="Z256" s="73"/>
    </row>
    <row r="257" ht="12.0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1"/>
      <c r="T257" s="71"/>
      <c r="U257" s="71"/>
      <c r="V257" s="72"/>
      <c r="W257" s="72"/>
      <c r="X257" s="73"/>
      <c r="Y257" s="73"/>
      <c r="Z257" s="73"/>
    </row>
    <row r="258" ht="12.0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1"/>
      <c r="T258" s="71"/>
      <c r="U258" s="71"/>
      <c r="V258" s="72"/>
      <c r="W258" s="72"/>
      <c r="X258" s="73"/>
      <c r="Y258" s="73"/>
      <c r="Z258" s="73"/>
    </row>
    <row r="259" ht="12.0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1"/>
      <c r="T259" s="71"/>
      <c r="U259" s="71"/>
      <c r="V259" s="72"/>
      <c r="W259" s="72"/>
      <c r="X259" s="73"/>
      <c r="Y259" s="73"/>
      <c r="Z259" s="73"/>
    </row>
    <row r="260" ht="12.0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1"/>
      <c r="T260" s="71"/>
      <c r="U260" s="71"/>
      <c r="V260" s="72"/>
      <c r="W260" s="72"/>
      <c r="X260" s="73"/>
      <c r="Y260" s="73"/>
      <c r="Z260" s="7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2"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K5:L5"/>
    <mergeCell ref="M5:N5"/>
    <mergeCell ref="A6:B7"/>
    <mergeCell ref="C6:E7"/>
    <mergeCell ref="F6:I7"/>
    <mergeCell ref="J6:J10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C22:C23"/>
    <mergeCell ref="D22:D23"/>
    <mergeCell ref="E22:E23"/>
    <mergeCell ref="F22:F23"/>
    <mergeCell ref="D24:E24"/>
    <mergeCell ref="D25:E25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3:L53"/>
    <mergeCell ref="M53:O53"/>
    <mergeCell ref="K54:L54"/>
    <mergeCell ref="M54:O54"/>
    <mergeCell ref="K55:L55"/>
    <mergeCell ref="M55:O55"/>
    <mergeCell ref="M56:O56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D33:D36"/>
    <mergeCell ref="A46:A50"/>
    <mergeCell ref="B46:B50"/>
    <mergeCell ref="C46:D46"/>
    <mergeCell ref="C47:C50"/>
    <mergeCell ref="D47:D50"/>
    <mergeCell ref="E48:E50"/>
  </mergeCells>
  <conditionalFormatting sqref="B24:C25 B26:G32 B37:C45 C51:P59 E37:J45 F11:J19 F24:G25 I24:J32 O11:R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conditionalFormatting sqref="D24">
    <cfRule type="cellIs" dxfId="0" priority="5" stopIfTrue="1" operator="lessThan">
      <formula>0</formula>
    </cfRule>
  </conditionalFormatting>
  <conditionalFormatting sqref="D25">
    <cfRule type="cellIs" dxfId="0" priority="6" stopIfTrue="1" operator="lessThan">
      <formula>0</formula>
    </cfRule>
  </conditionalFormatting>
  <printOptions/>
  <pageMargins bottom="0.5511811023622047" footer="0.0" header="0.0" left="0.7874015748031497" right="0.5118110236220472" top="0.9448818897637796"/>
  <pageSetup orientation="portrait"/>
  <rowBreaks count="1" manualBreakCount="1">
    <brk id="60" man="1"/>
  </rowBreaks>
  <colBreaks count="1" manualBreakCount="1">
    <brk id="1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0" t="s">
        <v>75</v>
      </c>
      <c r="S1" s="71"/>
      <c r="T1" s="71"/>
      <c r="U1" s="71"/>
      <c r="V1" s="72"/>
      <c r="W1" s="72"/>
      <c r="X1" s="73"/>
      <c r="Y1" s="73"/>
      <c r="Z1" s="73"/>
    </row>
    <row r="2" ht="5.25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  <c r="T2" s="71"/>
      <c r="U2" s="71"/>
      <c r="V2" s="72"/>
      <c r="W2" s="72"/>
      <c r="X2" s="73"/>
      <c r="Y2" s="73"/>
      <c r="Z2" s="73"/>
    </row>
    <row r="3" ht="12.0" customHeight="1">
      <c r="A3" s="74" t="s">
        <v>204</v>
      </c>
      <c r="B3" s="75"/>
      <c r="C3" s="75"/>
      <c r="D3" s="76"/>
      <c r="E3" s="76"/>
      <c r="F3" s="76"/>
      <c r="G3" s="76"/>
      <c r="H3" s="76"/>
      <c r="I3" s="76"/>
      <c r="J3" s="76"/>
      <c r="K3" s="76"/>
      <c r="M3" s="76"/>
      <c r="O3" s="76"/>
      <c r="P3" s="76"/>
      <c r="Q3" s="76"/>
      <c r="S3" s="77"/>
      <c r="T3" s="77"/>
      <c r="U3" s="77"/>
      <c r="V3" s="78"/>
      <c r="W3" s="78"/>
      <c r="X3" s="79"/>
      <c r="Y3" s="79"/>
      <c r="Z3" s="79"/>
    </row>
    <row r="4" ht="12.0" customHeight="1">
      <c r="A4" s="80" t="s">
        <v>205</v>
      </c>
      <c r="B4" s="81"/>
      <c r="C4" s="81"/>
      <c r="D4" s="82"/>
      <c r="E4" s="82"/>
      <c r="F4" s="82"/>
      <c r="G4" s="82"/>
      <c r="H4" s="82"/>
      <c r="I4" s="82"/>
      <c r="J4" s="82"/>
      <c r="K4" s="82"/>
      <c r="M4" s="82"/>
      <c r="O4" s="82"/>
      <c r="P4" s="82"/>
      <c r="Q4" s="82"/>
      <c r="S4" s="77"/>
      <c r="T4" s="77"/>
      <c r="U4" s="77"/>
      <c r="V4" s="78"/>
      <c r="W4" s="78"/>
      <c r="X4" s="79"/>
      <c r="Y4" s="79"/>
      <c r="Z4" s="79"/>
    </row>
    <row r="5" ht="12.0" customHeight="1">
      <c r="A5" s="74" t="s">
        <v>78</v>
      </c>
      <c r="B5" s="82"/>
      <c r="C5" s="82"/>
      <c r="D5" s="82"/>
      <c r="E5" s="82"/>
      <c r="F5" s="82"/>
      <c r="G5" s="82"/>
      <c r="H5" s="82"/>
      <c r="I5" s="82"/>
      <c r="J5" s="82"/>
      <c r="K5" s="82"/>
      <c r="M5" s="82"/>
      <c r="O5" s="81"/>
      <c r="P5" s="81"/>
      <c r="Q5" s="83"/>
      <c r="R5" s="84"/>
      <c r="S5" s="77"/>
      <c r="T5" s="77"/>
      <c r="U5" s="77"/>
      <c r="V5" s="78"/>
      <c r="W5" s="78"/>
      <c r="X5" s="79"/>
      <c r="Y5" s="79"/>
      <c r="Z5" s="79"/>
    </row>
    <row r="6" ht="12.0" customHeight="1">
      <c r="A6" s="85" t="s">
        <v>79</v>
      </c>
      <c r="B6" s="86"/>
      <c r="C6" s="85" t="s">
        <v>206</v>
      </c>
      <c r="D6" s="87"/>
      <c r="E6" s="86"/>
      <c r="F6" s="85" t="s">
        <v>207</v>
      </c>
      <c r="G6" s="87"/>
      <c r="H6" s="87"/>
      <c r="I6" s="86"/>
      <c r="J6" s="88" t="s">
        <v>208</v>
      </c>
      <c r="K6" s="85" t="s">
        <v>209</v>
      </c>
      <c r="L6" s="86"/>
      <c r="M6" s="85" t="s">
        <v>84</v>
      </c>
      <c r="N6" s="86"/>
      <c r="O6" s="89" t="s">
        <v>210</v>
      </c>
      <c r="P6" s="86"/>
      <c r="Q6" s="85" t="s">
        <v>211</v>
      </c>
      <c r="R6" s="86"/>
      <c r="S6" s="71"/>
      <c r="T6" s="71"/>
      <c r="U6" s="71"/>
      <c r="V6" s="72"/>
      <c r="W6" s="72"/>
      <c r="X6" s="73"/>
      <c r="Y6" s="73"/>
      <c r="Z6" s="73"/>
    </row>
    <row r="7" ht="19.5" customHeight="1">
      <c r="A7" s="90"/>
      <c r="B7" s="91"/>
      <c r="C7" s="90"/>
      <c r="D7" s="84"/>
      <c r="E7" s="91"/>
      <c r="F7" s="90"/>
      <c r="G7" s="84"/>
      <c r="H7" s="84"/>
      <c r="I7" s="91"/>
      <c r="J7" s="92"/>
      <c r="K7" s="93"/>
      <c r="L7" s="94"/>
      <c r="M7" s="93"/>
      <c r="N7" s="94"/>
      <c r="O7" s="84"/>
      <c r="P7" s="91"/>
      <c r="Q7" s="93"/>
      <c r="R7" s="94"/>
      <c r="S7" s="95"/>
      <c r="T7" s="71"/>
      <c r="U7" s="71"/>
      <c r="V7" s="72"/>
      <c r="W7" s="72"/>
      <c r="X7" s="73"/>
      <c r="Y7" s="73"/>
      <c r="Z7" s="73"/>
    </row>
    <row r="8" ht="12.0" customHeight="1">
      <c r="A8" s="88" t="s">
        <v>87</v>
      </c>
      <c r="B8" s="88" t="s">
        <v>212</v>
      </c>
      <c r="C8" s="88" t="s">
        <v>213</v>
      </c>
      <c r="D8" s="88" t="s">
        <v>214</v>
      </c>
      <c r="E8" s="88" t="s">
        <v>215</v>
      </c>
      <c r="F8" s="88" t="s">
        <v>216</v>
      </c>
      <c r="G8" s="88" t="s">
        <v>217</v>
      </c>
      <c r="H8" s="88" t="s">
        <v>218</v>
      </c>
      <c r="I8" s="88" t="s">
        <v>219</v>
      </c>
      <c r="J8" s="92"/>
      <c r="K8" s="93"/>
      <c r="L8" s="94"/>
      <c r="M8" s="93"/>
      <c r="N8" s="94"/>
      <c r="O8" s="96" t="s">
        <v>96</v>
      </c>
      <c r="P8" s="88" t="s">
        <v>97</v>
      </c>
      <c r="Q8" s="93"/>
      <c r="R8" s="94"/>
      <c r="S8" s="95"/>
      <c r="T8" s="95"/>
      <c r="U8" s="95"/>
      <c r="V8" s="72"/>
      <c r="W8" s="72"/>
      <c r="X8" s="73"/>
      <c r="Y8" s="73"/>
      <c r="Z8" s="73"/>
    </row>
    <row r="9" ht="12.0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3"/>
      <c r="L9" s="94"/>
      <c r="M9" s="93"/>
      <c r="N9" s="94"/>
      <c r="O9" s="94"/>
      <c r="P9" s="92"/>
      <c r="Q9" s="93"/>
      <c r="R9" s="94"/>
      <c r="S9" s="95"/>
      <c r="T9" s="71"/>
      <c r="U9" s="95"/>
      <c r="V9" s="72"/>
      <c r="W9" s="72"/>
      <c r="X9" s="73"/>
      <c r="Y9" s="73"/>
      <c r="Z9" s="97"/>
    </row>
    <row r="10" ht="14.25" customHeight="1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0"/>
      <c r="L10" s="91"/>
      <c r="M10" s="90"/>
      <c r="N10" s="91"/>
      <c r="O10" s="91"/>
      <c r="P10" s="98"/>
      <c r="Q10" s="90"/>
      <c r="R10" s="91"/>
      <c r="S10" s="71" t="s">
        <v>98</v>
      </c>
      <c r="T10" s="71" t="s">
        <v>98</v>
      </c>
      <c r="U10" s="71" t="s">
        <v>98</v>
      </c>
      <c r="V10" s="72"/>
      <c r="W10" s="72"/>
      <c r="X10" s="73"/>
      <c r="Y10" s="73"/>
      <c r="Z10" s="97"/>
    </row>
    <row r="11" ht="12.0" customHeight="1">
      <c r="A11" s="99" t="s">
        <v>99</v>
      </c>
      <c r="B11" s="100" t="s">
        <v>54</v>
      </c>
      <c r="C11" s="101" t="s">
        <v>99</v>
      </c>
      <c r="D11" s="102" t="s">
        <v>99</v>
      </c>
      <c r="E11" s="101" t="s">
        <v>99</v>
      </c>
      <c r="F11" s="102">
        <v>377.0</v>
      </c>
      <c r="G11" s="101">
        <v>214.0</v>
      </c>
      <c r="H11" s="102">
        <v>144.0</v>
      </c>
      <c r="I11" s="101">
        <v>265.0</v>
      </c>
      <c r="J11" s="103" t="s">
        <v>99</v>
      </c>
      <c r="K11" s="104" t="s">
        <v>99</v>
      </c>
      <c r="M11" s="105">
        <v>0.54</v>
      </c>
      <c r="N11" s="94"/>
      <c r="O11" s="106" t="s">
        <v>99</v>
      </c>
      <c r="P11" s="107" t="s">
        <v>99</v>
      </c>
      <c r="Q11" s="103" t="s">
        <v>99</v>
      </c>
      <c r="R11" s="86"/>
      <c r="S11" s="108">
        <v>1.0</v>
      </c>
      <c r="T11" s="108" t="s">
        <v>55</v>
      </c>
      <c r="U11" s="108" t="s">
        <v>55</v>
      </c>
      <c r="V11" s="109" t="s">
        <v>55</v>
      </c>
      <c r="W11" s="110"/>
      <c r="X11" s="73"/>
      <c r="Y11" s="73"/>
      <c r="Z11" s="97"/>
    </row>
    <row r="12" ht="12.0" customHeight="1">
      <c r="A12" s="142" t="s">
        <v>99</v>
      </c>
      <c r="B12" s="112" t="s">
        <v>59</v>
      </c>
      <c r="C12" s="101" t="s">
        <v>99</v>
      </c>
      <c r="D12" s="113" t="s">
        <v>99</v>
      </c>
      <c r="E12" s="113" t="s">
        <v>99</v>
      </c>
      <c r="F12" s="101">
        <v>439.0</v>
      </c>
      <c r="G12" s="113">
        <v>185.0</v>
      </c>
      <c r="H12" s="101">
        <v>132.0</v>
      </c>
      <c r="I12" s="113">
        <v>244.0</v>
      </c>
      <c r="J12" s="101" t="s">
        <v>99</v>
      </c>
      <c r="K12" s="104" t="s">
        <v>99</v>
      </c>
      <c r="L12" s="94"/>
      <c r="M12" s="114">
        <v>0.54</v>
      </c>
      <c r="O12" s="115" t="s">
        <v>99</v>
      </c>
      <c r="P12" s="114" t="s">
        <v>99</v>
      </c>
      <c r="Q12" s="104" t="s">
        <v>99</v>
      </c>
      <c r="R12" s="94"/>
      <c r="S12" s="108">
        <v>1.0</v>
      </c>
      <c r="T12" s="108" t="s">
        <v>55</v>
      </c>
      <c r="U12" s="108" t="s">
        <v>55</v>
      </c>
      <c r="V12" s="109" t="s">
        <v>55</v>
      </c>
      <c r="W12" s="72"/>
      <c r="X12" s="73"/>
      <c r="Y12" s="73"/>
      <c r="Z12" s="97"/>
    </row>
    <row r="13" ht="12.0" customHeight="1">
      <c r="A13" s="142" t="s">
        <v>99</v>
      </c>
      <c r="B13" s="112" t="s">
        <v>99</v>
      </c>
      <c r="C13" s="101" t="s">
        <v>99</v>
      </c>
      <c r="D13" s="113" t="s">
        <v>99</v>
      </c>
      <c r="E13" s="113" t="s">
        <v>99</v>
      </c>
      <c r="F13" s="101" t="s">
        <v>99</v>
      </c>
      <c r="G13" s="113" t="s">
        <v>99</v>
      </c>
      <c r="H13" s="101" t="s">
        <v>99</v>
      </c>
      <c r="I13" s="113" t="s">
        <v>99</v>
      </c>
      <c r="J13" s="101" t="s">
        <v>99</v>
      </c>
      <c r="K13" s="104" t="s">
        <v>99</v>
      </c>
      <c r="L13" s="94"/>
      <c r="M13" s="114" t="s">
        <v>99</v>
      </c>
      <c r="O13" s="115" t="s">
        <v>99</v>
      </c>
      <c r="P13" s="114" t="s">
        <v>99</v>
      </c>
      <c r="Q13" s="104" t="s">
        <v>99</v>
      </c>
      <c r="R13" s="94"/>
      <c r="S13" s="108" t="s">
        <v>99</v>
      </c>
      <c r="T13" s="108" t="s">
        <v>99</v>
      </c>
      <c r="U13" s="108" t="s">
        <v>99</v>
      </c>
      <c r="V13" s="109" t="s">
        <v>99</v>
      </c>
      <c r="W13" s="72"/>
      <c r="X13" s="73"/>
      <c r="Y13" s="73"/>
      <c r="Z13" s="97"/>
    </row>
    <row r="14" ht="12.0" customHeight="1">
      <c r="A14" s="142" t="s">
        <v>99</v>
      </c>
      <c r="B14" s="112" t="s">
        <v>99</v>
      </c>
      <c r="C14" s="101" t="s">
        <v>99</v>
      </c>
      <c r="D14" s="113" t="s">
        <v>99</v>
      </c>
      <c r="E14" s="113" t="s">
        <v>99</v>
      </c>
      <c r="F14" s="101" t="s">
        <v>99</v>
      </c>
      <c r="G14" s="113" t="s">
        <v>99</v>
      </c>
      <c r="H14" s="101" t="s">
        <v>99</v>
      </c>
      <c r="I14" s="113" t="s">
        <v>99</v>
      </c>
      <c r="J14" s="101" t="s">
        <v>99</v>
      </c>
      <c r="K14" s="104" t="s">
        <v>99</v>
      </c>
      <c r="L14" s="94"/>
      <c r="M14" s="114" t="s">
        <v>99</v>
      </c>
      <c r="O14" s="115" t="s">
        <v>99</v>
      </c>
      <c r="P14" s="114" t="s">
        <v>99</v>
      </c>
      <c r="Q14" s="104" t="s">
        <v>99</v>
      </c>
      <c r="R14" s="94"/>
      <c r="S14" s="108" t="s">
        <v>99</v>
      </c>
      <c r="T14" s="108" t="s">
        <v>99</v>
      </c>
      <c r="U14" s="108" t="s">
        <v>99</v>
      </c>
      <c r="V14" s="109" t="s">
        <v>99</v>
      </c>
      <c r="W14" s="72"/>
      <c r="X14" s="73"/>
      <c r="Y14" s="73"/>
      <c r="Z14" s="97"/>
    </row>
    <row r="15" ht="12.0" customHeight="1">
      <c r="A15" s="142" t="s">
        <v>99</v>
      </c>
      <c r="B15" s="112" t="s">
        <v>99</v>
      </c>
      <c r="C15" s="101" t="s">
        <v>99</v>
      </c>
      <c r="D15" s="113" t="s">
        <v>99</v>
      </c>
      <c r="E15" s="113" t="s">
        <v>99</v>
      </c>
      <c r="F15" s="101" t="s">
        <v>99</v>
      </c>
      <c r="G15" s="113" t="s">
        <v>99</v>
      </c>
      <c r="H15" s="101" t="s">
        <v>99</v>
      </c>
      <c r="I15" s="113" t="s">
        <v>99</v>
      </c>
      <c r="J15" s="101" t="s">
        <v>99</v>
      </c>
      <c r="K15" s="104" t="s">
        <v>99</v>
      </c>
      <c r="L15" s="94"/>
      <c r="M15" s="114" t="s">
        <v>99</v>
      </c>
      <c r="O15" s="115" t="s">
        <v>99</v>
      </c>
      <c r="P15" s="114" t="s">
        <v>99</v>
      </c>
      <c r="Q15" s="104" t="s">
        <v>99</v>
      </c>
      <c r="R15" s="94"/>
      <c r="S15" s="108" t="s">
        <v>99</v>
      </c>
      <c r="T15" s="108" t="s">
        <v>99</v>
      </c>
      <c r="U15" s="108" t="s">
        <v>99</v>
      </c>
      <c r="V15" s="109" t="s">
        <v>99</v>
      </c>
      <c r="W15" s="72"/>
      <c r="X15" s="73"/>
      <c r="Y15" s="73"/>
      <c r="Z15" s="97"/>
    </row>
    <row r="16" ht="12.0" customHeight="1">
      <c r="A16" s="142" t="s">
        <v>99</v>
      </c>
      <c r="B16" s="112" t="s">
        <v>99</v>
      </c>
      <c r="C16" s="101" t="s">
        <v>99</v>
      </c>
      <c r="D16" s="113" t="s">
        <v>99</v>
      </c>
      <c r="E16" s="113" t="s">
        <v>99</v>
      </c>
      <c r="F16" s="101" t="s">
        <v>99</v>
      </c>
      <c r="G16" s="113" t="s">
        <v>99</v>
      </c>
      <c r="H16" s="101" t="s">
        <v>99</v>
      </c>
      <c r="I16" s="113" t="s">
        <v>99</v>
      </c>
      <c r="J16" s="101" t="s">
        <v>99</v>
      </c>
      <c r="K16" s="104" t="s">
        <v>99</v>
      </c>
      <c r="L16" s="94"/>
      <c r="M16" s="114" t="s">
        <v>99</v>
      </c>
      <c r="O16" s="115" t="s">
        <v>99</v>
      </c>
      <c r="P16" s="114" t="s">
        <v>99</v>
      </c>
      <c r="Q16" s="104" t="s">
        <v>99</v>
      </c>
      <c r="R16" s="94"/>
      <c r="S16" s="108" t="s">
        <v>99</v>
      </c>
      <c r="T16" s="108" t="s">
        <v>99</v>
      </c>
      <c r="U16" s="108" t="s">
        <v>99</v>
      </c>
      <c r="V16" s="109" t="s">
        <v>99</v>
      </c>
      <c r="W16" s="72"/>
      <c r="X16" s="73"/>
      <c r="Y16" s="73"/>
      <c r="Z16" s="97"/>
    </row>
    <row r="17" ht="12.0" customHeight="1">
      <c r="A17" s="142" t="s">
        <v>99</v>
      </c>
      <c r="B17" s="112" t="s">
        <v>99</v>
      </c>
      <c r="C17" s="114" t="s">
        <v>99</v>
      </c>
      <c r="D17" s="115" t="s">
        <v>99</v>
      </c>
      <c r="E17" s="115" t="s">
        <v>99</v>
      </c>
      <c r="F17" s="114" t="s">
        <v>99</v>
      </c>
      <c r="G17" s="115" t="s">
        <v>99</v>
      </c>
      <c r="H17" s="114" t="s">
        <v>99</v>
      </c>
      <c r="I17" s="115" t="s">
        <v>99</v>
      </c>
      <c r="J17" s="114" t="s">
        <v>99</v>
      </c>
      <c r="K17" s="104" t="s">
        <v>99</v>
      </c>
      <c r="L17" s="94"/>
      <c r="M17" s="114" t="s">
        <v>99</v>
      </c>
      <c r="O17" s="115" t="s">
        <v>99</v>
      </c>
      <c r="P17" s="114" t="s">
        <v>99</v>
      </c>
      <c r="Q17" s="104" t="s">
        <v>99</v>
      </c>
      <c r="R17" s="94"/>
      <c r="S17" s="108" t="s">
        <v>99</v>
      </c>
      <c r="T17" s="108" t="s">
        <v>99</v>
      </c>
      <c r="U17" s="108" t="s">
        <v>99</v>
      </c>
      <c r="V17" s="109" t="s">
        <v>99</v>
      </c>
      <c r="W17" s="72"/>
      <c r="X17" s="73"/>
      <c r="Y17" s="73"/>
      <c r="Z17" s="97"/>
    </row>
    <row r="18" ht="12.0" customHeight="1">
      <c r="A18" s="142" t="s">
        <v>99</v>
      </c>
      <c r="B18" s="112" t="s">
        <v>99</v>
      </c>
      <c r="C18" s="114" t="s">
        <v>99</v>
      </c>
      <c r="D18" s="115" t="s">
        <v>99</v>
      </c>
      <c r="E18" s="115" t="s">
        <v>99</v>
      </c>
      <c r="F18" s="114" t="s">
        <v>99</v>
      </c>
      <c r="G18" s="115" t="s">
        <v>99</v>
      </c>
      <c r="H18" s="114" t="s">
        <v>99</v>
      </c>
      <c r="I18" s="115" t="s">
        <v>99</v>
      </c>
      <c r="J18" s="114" t="s">
        <v>99</v>
      </c>
      <c r="K18" s="104" t="s">
        <v>99</v>
      </c>
      <c r="L18" s="94"/>
      <c r="M18" s="114" t="s">
        <v>99</v>
      </c>
      <c r="O18" s="115" t="s">
        <v>99</v>
      </c>
      <c r="P18" s="114" t="s">
        <v>99</v>
      </c>
      <c r="Q18" s="104" t="s">
        <v>99</v>
      </c>
      <c r="R18" s="94"/>
      <c r="S18" s="108" t="s">
        <v>99</v>
      </c>
      <c r="T18" s="108" t="s">
        <v>99</v>
      </c>
      <c r="U18" s="108" t="s">
        <v>99</v>
      </c>
      <c r="V18" s="109" t="s">
        <v>99</v>
      </c>
      <c r="W18" s="72"/>
      <c r="X18" s="73"/>
      <c r="Y18" s="73"/>
      <c r="Z18" s="97"/>
    </row>
    <row r="19" ht="12.0" customHeight="1">
      <c r="A19" s="116" t="s">
        <v>99</v>
      </c>
      <c r="B19" s="117" t="s">
        <v>99</v>
      </c>
      <c r="C19" s="118" t="s">
        <v>99</v>
      </c>
      <c r="D19" s="119" t="s">
        <v>99</v>
      </c>
      <c r="E19" s="118" t="s">
        <v>99</v>
      </c>
      <c r="F19" s="119" t="s">
        <v>99</v>
      </c>
      <c r="G19" s="118" t="s">
        <v>99</v>
      </c>
      <c r="H19" s="119" t="s">
        <v>99</v>
      </c>
      <c r="I19" s="118" t="s">
        <v>99</v>
      </c>
      <c r="J19" s="120" t="s">
        <v>99</v>
      </c>
      <c r="K19" s="121" t="s">
        <v>99</v>
      </c>
      <c r="L19" s="84"/>
      <c r="M19" s="120" t="s">
        <v>99</v>
      </c>
      <c r="N19" s="91"/>
      <c r="O19" s="122" t="s">
        <v>99</v>
      </c>
      <c r="P19" s="119" t="s">
        <v>99</v>
      </c>
      <c r="Q19" s="121" t="s">
        <v>99</v>
      </c>
      <c r="R19" s="91"/>
      <c r="S19" s="108" t="s">
        <v>99</v>
      </c>
      <c r="T19" s="108" t="s">
        <v>99</v>
      </c>
      <c r="U19" s="108" t="s">
        <v>99</v>
      </c>
      <c r="V19" s="109" t="s">
        <v>99</v>
      </c>
      <c r="W19" s="72"/>
      <c r="X19" s="73"/>
      <c r="Y19" s="73"/>
      <c r="Z19" s="97"/>
    </row>
    <row r="20" ht="12.0" customHeight="1">
      <c r="A20" s="123" t="s">
        <v>79</v>
      </c>
      <c r="B20" s="105" t="s">
        <v>220</v>
      </c>
      <c r="C20" s="94"/>
      <c r="D20" s="105" t="s">
        <v>221</v>
      </c>
      <c r="L20" s="94"/>
      <c r="M20" s="105" t="s">
        <v>222</v>
      </c>
      <c r="O20" s="94"/>
      <c r="P20" s="124" t="s">
        <v>223</v>
      </c>
      <c r="Q20" s="105" t="s">
        <v>224</v>
      </c>
      <c r="R20" s="94"/>
      <c r="S20" s="71"/>
      <c r="T20" s="71"/>
      <c r="U20" s="95"/>
      <c r="V20" s="72"/>
      <c r="W20" s="72"/>
      <c r="X20" s="73"/>
      <c r="Y20" s="73"/>
      <c r="Z20" s="97"/>
    </row>
    <row r="21" ht="9.75" customHeight="1">
      <c r="A21" s="92"/>
      <c r="B21" s="90"/>
      <c r="C21" s="91"/>
      <c r="D21" s="90"/>
      <c r="E21" s="84"/>
      <c r="F21" s="84"/>
      <c r="G21" s="84"/>
      <c r="H21" s="84"/>
      <c r="I21" s="84"/>
      <c r="J21" s="84"/>
      <c r="K21" s="84"/>
      <c r="L21" s="91"/>
      <c r="M21" s="93"/>
      <c r="O21" s="94"/>
      <c r="P21" s="92"/>
      <c r="Q21" s="93"/>
      <c r="R21" s="94"/>
      <c r="S21" s="71"/>
      <c r="T21" s="71"/>
      <c r="U21" s="95"/>
      <c r="V21" s="72"/>
      <c r="W21" s="72"/>
      <c r="X21" s="73"/>
      <c r="Y21" s="73"/>
      <c r="Z21" s="73"/>
    </row>
    <row r="22" ht="9.75" customHeight="1">
      <c r="A22" s="92"/>
      <c r="B22" s="107" t="s">
        <v>105</v>
      </c>
      <c r="C22" s="107" t="s">
        <v>225</v>
      </c>
      <c r="D22" s="107" t="s">
        <v>226</v>
      </c>
      <c r="E22" s="107" t="s">
        <v>227</v>
      </c>
      <c r="F22" s="107" t="s">
        <v>228</v>
      </c>
      <c r="G22" s="107" t="s">
        <v>229</v>
      </c>
      <c r="H22" s="107" t="s">
        <v>230</v>
      </c>
      <c r="I22" s="107" t="s">
        <v>231</v>
      </c>
      <c r="J22" s="107" t="s">
        <v>232</v>
      </c>
      <c r="K22" s="125" t="s">
        <v>114</v>
      </c>
      <c r="L22" s="86"/>
      <c r="M22" s="93"/>
      <c r="O22" s="94"/>
      <c r="P22" s="92"/>
      <c r="Q22" s="93"/>
      <c r="R22" s="94"/>
      <c r="S22" s="71"/>
      <c r="T22" s="71"/>
      <c r="U22" s="71"/>
      <c r="V22" s="72"/>
      <c r="W22" s="72"/>
      <c r="X22" s="73"/>
      <c r="Y22" s="73"/>
      <c r="Z22" s="97"/>
    </row>
    <row r="23" ht="11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0"/>
      <c r="L23" s="91"/>
      <c r="M23" s="90"/>
      <c r="N23" s="84"/>
      <c r="O23" s="91"/>
      <c r="P23" s="98"/>
      <c r="Q23" s="90"/>
      <c r="R23" s="91"/>
      <c r="S23" s="71" t="s">
        <v>98</v>
      </c>
      <c r="T23" s="71" t="s">
        <v>98</v>
      </c>
      <c r="U23" s="71"/>
      <c r="V23" s="72"/>
      <c r="W23" s="72"/>
      <c r="X23" s="73"/>
      <c r="Y23" s="73"/>
      <c r="Z23" s="97"/>
    </row>
    <row r="24" ht="12.0" customHeight="1">
      <c r="A24" s="126" t="s">
        <v>99</v>
      </c>
      <c r="B24" s="127">
        <v>4.6</v>
      </c>
      <c r="C24" s="128" t="s">
        <v>115</v>
      </c>
      <c r="D24" s="127">
        <v>0.8</v>
      </c>
      <c r="E24" s="128">
        <v>0.3</v>
      </c>
      <c r="F24" s="115">
        <v>0.22</v>
      </c>
      <c r="G24" s="115">
        <v>0.06</v>
      </c>
      <c r="H24" s="127">
        <v>1.4</v>
      </c>
      <c r="I24" s="128">
        <v>0.9</v>
      </c>
      <c r="J24" s="127">
        <v>4.8</v>
      </c>
      <c r="K24" s="129">
        <v>7.1</v>
      </c>
      <c r="L24" s="94"/>
      <c r="M24" s="130">
        <v>20.0</v>
      </c>
      <c r="O24" s="94"/>
      <c r="P24" s="131">
        <v>39.0</v>
      </c>
      <c r="Q24" s="104">
        <v>2.0</v>
      </c>
      <c r="R24" s="94"/>
      <c r="S24" s="132">
        <v>1.4</v>
      </c>
      <c r="T24" s="132">
        <v>1.4</v>
      </c>
      <c r="U24" s="71"/>
      <c r="V24" s="72" t="s">
        <v>56</v>
      </c>
      <c r="W24" s="72" t="str">
        <f t="shared" ref="W24:W32" si="1">IF(OR(H24="",I24="",I11="",M24=""),"",IF(1000*(H24+I24)/I11&gt;1.5,"",IF(C24&gt;=5,"ácrico",IF(C24-B24&gt;=0,"ácrico",""))))</f>
        <v/>
      </c>
      <c r="X24" s="73"/>
      <c r="Y24" s="73"/>
      <c r="Z24" s="97"/>
    </row>
    <row r="25" ht="12.0" customHeight="1">
      <c r="A25" s="126" t="s">
        <v>99</v>
      </c>
      <c r="B25" s="127">
        <v>4.8</v>
      </c>
      <c r="C25" s="128" t="s">
        <v>115</v>
      </c>
      <c r="D25" s="127">
        <v>0.7</v>
      </c>
      <c r="E25" s="128">
        <v>0.3</v>
      </c>
      <c r="F25" s="115">
        <v>0.2</v>
      </c>
      <c r="G25" s="115">
        <v>0.05</v>
      </c>
      <c r="H25" s="127">
        <v>1.2</v>
      </c>
      <c r="I25" s="128">
        <v>0.8</v>
      </c>
      <c r="J25" s="127">
        <v>4.3</v>
      </c>
      <c r="K25" s="129">
        <v>6.3</v>
      </c>
      <c r="L25" s="94"/>
      <c r="M25" s="130">
        <v>19.0</v>
      </c>
      <c r="O25" s="94"/>
      <c r="P25" s="131">
        <v>40.0</v>
      </c>
      <c r="Q25" s="104">
        <v>2.0</v>
      </c>
      <c r="R25" s="94"/>
      <c r="S25" s="71">
        <v>1.2</v>
      </c>
      <c r="T25" s="71">
        <v>1.2</v>
      </c>
      <c r="U25" s="71"/>
      <c r="V25" s="72" t="s">
        <v>56</v>
      </c>
      <c r="W25" s="72" t="str">
        <f t="shared" si="1"/>
        <v/>
      </c>
      <c r="X25" s="73"/>
      <c r="Y25" s="73"/>
      <c r="Z25" s="97"/>
    </row>
    <row r="26" ht="12.0" customHeight="1">
      <c r="A26" s="126" t="s">
        <v>99</v>
      </c>
      <c r="B26" s="127" t="s">
        <v>99</v>
      </c>
      <c r="C26" s="128" t="s">
        <v>99</v>
      </c>
      <c r="D26" s="127" t="s">
        <v>99</v>
      </c>
      <c r="E26" s="128" t="s">
        <v>99</v>
      </c>
      <c r="F26" s="115" t="s">
        <v>99</v>
      </c>
      <c r="G26" s="115" t="s">
        <v>99</v>
      </c>
      <c r="H26" s="127" t="s">
        <v>99</v>
      </c>
      <c r="I26" s="128" t="s">
        <v>99</v>
      </c>
      <c r="J26" s="127" t="s">
        <v>99</v>
      </c>
      <c r="K26" s="129" t="s">
        <v>99</v>
      </c>
      <c r="L26" s="94"/>
      <c r="M26" s="130" t="s">
        <v>99</v>
      </c>
      <c r="O26" s="94"/>
      <c r="P26" s="131" t="s">
        <v>99</v>
      </c>
      <c r="Q26" s="104" t="s">
        <v>99</v>
      </c>
      <c r="R26" s="94"/>
      <c r="S26" s="71" t="s">
        <v>99</v>
      </c>
      <c r="T26" s="71" t="s">
        <v>99</v>
      </c>
      <c r="U26" s="71"/>
      <c r="V26" s="72" t="s">
        <v>99</v>
      </c>
      <c r="W26" s="72" t="str">
        <f t="shared" si="1"/>
        <v/>
      </c>
      <c r="X26" s="73"/>
      <c r="Y26" s="73"/>
      <c r="Z26" s="97"/>
    </row>
    <row r="27" ht="12.0" customHeight="1">
      <c r="A27" s="126" t="s">
        <v>99</v>
      </c>
      <c r="B27" s="127" t="s">
        <v>99</v>
      </c>
      <c r="C27" s="128" t="s">
        <v>99</v>
      </c>
      <c r="D27" s="127" t="s">
        <v>99</v>
      </c>
      <c r="E27" s="128" t="s">
        <v>99</v>
      </c>
      <c r="F27" s="115" t="s">
        <v>99</v>
      </c>
      <c r="G27" s="115" t="s">
        <v>99</v>
      </c>
      <c r="H27" s="127" t="s">
        <v>99</v>
      </c>
      <c r="I27" s="128" t="s">
        <v>99</v>
      </c>
      <c r="J27" s="127" t="s">
        <v>99</v>
      </c>
      <c r="K27" s="129" t="s">
        <v>99</v>
      </c>
      <c r="L27" s="94"/>
      <c r="M27" s="130" t="s">
        <v>99</v>
      </c>
      <c r="O27" s="94"/>
      <c r="P27" s="131" t="s">
        <v>99</v>
      </c>
      <c r="Q27" s="104" t="s">
        <v>99</v>
      </c>
      <c r="R27" s="94"/>
      <c r="S27" s="71" t="s">
        <v>99</v>
      </c>
      <c r="T27" s="71" t="s">
        <v>99</v>
      </c>
      <c r="U27" s="71"/>
      <c r="V27" s="72" t="s">
        <v>99</v>
      </c>
      <c r="W27" s="72" t="str">
        <f t="shared" si="1"/>
        <v/>
      </c>
      <c r="X27" s="73"/>
      <c r="Y27" s="73"/>
      <c r="Z27" s="97"/>
    </row>
    <row r="28" ht="12.0" customHeight="1">
      <c r="A28" s="126" t="s">
        <v>99</v>
      </c>
      <c r="B28" s="127" t="s">
        <v>99</v>
      </c>
      <c r="C28" s="128" t="s">
        <v>99</v>
      </c>
      <c r="D28" s="127" t="s">
        <v>99</v>
      </c>
      <c r="E28" s="128" t="s">
        <v>99</v>
      </c>
      <c r="F28" s="115" t="s">
        <v>99</v>
      </c>
      <c r="G28" s="115" t="s">
        <v>99</v>
      </c>
      <c r="H28" s="127" t="s">
        <v>99</v>
      </c>
      <c r="I28" s="128" t="s">
        <v>99</v>
      </c>
      <c r="J28" s="127" t="s">
        <v>99</v>
      </c>
      <c r="K28" s="129" t="s">
        <v>99</v>
      </c>
      <c r="L28" s="94"/>
      <c r="M28" s="130" t="s">
        <v>99</v>
      </c>
      <c r="O28" s="94"/>
      <c r="P28" s="131" t="s">
        <v>99</v>
      </c>
      <c r="Q28" s="104" t="s">
        <v>99</v>
      </c>
      <c r="R28" s="94"/>
      <c r="S28" s="71" t="s">
        <v>99</v>
      </c>
      <c r="T28" s="71" t="s">
        <v>99</v>
      </c>
      <c r="U28" s="71"/>
      <c r="V28" s="72" t="s">
        <v>99</v>
      </c>
      <c r="W28" s="72" t="str">
        <f t="shared" si="1"/>
        <v/>
      </c>
      <c r="X28" s="73"/>
      <c r="Y28" s="73"/>
      <c r="Z28" s="97"/>
    </row>
    <row r="29" ht="12.0" customHeight="1">
      <c r="A29" s="126" t="s">
        <v>99</v>
      </c>
      <c r="B29" s="127" t="s">
        <v>99</v>
      </c>
      <c r="C29" s="128" t="s">
        <v>99</v>
      </c>
      <c r="D29" s="127" t="s">
        <v>99</v>
      </c>
      <c r="E29" s="128" t="s">
        <v>99</v>
      </c>
      <c r="F29" s="115" t="s">
        <v>99</v>
      </c>
      <c r="G29" s="115" t="s">
        <v>99</v>
      </c>
      <c r="H29" s="127" t="s">
        <v>99</v>
      </c>
      <c r="I29" s="128" t="s">
        <v>99</v>
      </c>
      <c r="J29" s="127" t="s">
        <v>99</v>
      </c>
      <c r="K29" s="129" t="s">
        <v>99</v>
      </c>
      <c r="L29" s="94"/>
      <c r="M29" s="130" t="s">
        <v>99</v>
      </c>
      <c r="O29" s="94"/>
      <c r="P29" s="131" t="s">
        <v>99</v>
      </c>
      <c r="Q29" s="104" t="s">
        <v>99</v>
      </c>
      <c r="R29" s="94"/>
      <c r="S29" s="71" t="s">
        <v>99</v>
      </c>
      <c r="T29" s="71" t="s">
        <v>99</v>
      </c>
      <c r="U29" s="71"/>
      <c r="V29" s="72" t="s">
        <v>99</v>
      </c>
      <c r="W29" s="72" t="str">
        <f t="shared" si="1"/>
        <v/>
      </c>
      <c r="X29" s="73"/>
      <c r="Y29" s="73"/>
      <c r="Z29" s="97"/>
    </row>
    <row r="30" ht="12.0" customHeight="1">
      <c r="A30" s="126" t="s">
        <v>99</v>
      </c>
      <c r="B30" s="127" t="s">
        <v>99</v>
      </c>
      <c r="C30" s="128" t="s">
        <v>99</v>
      </c>
      <c r="D30" s="127" t="s">
        <v>99</v>
      </c>
      <c r="E30" s="128" t="s">
        <v>99</v>
      </c>
      <c r="F30" s="115" t="s">
        <v>99</v>
      </c>
      <c r="G30" s="115" t="s">
        <v>99</v>
      </c>
      <c r="H30" s="127" t="s">
        <v>99</v>
      </c>
      <c r="I30" s="128" t="s">
        <v>99</v>
      </c>
      <c r="J30" s="127" t="s">
        <v>99</v>
      </c>
      <c r="K30" s="129" t="s">
        <v>99</v>
      </c>
      <c r="L30" s="94"/>
      <c r="M30" s="130" t="s">
        <v>99</v>
      </c>
      <c r="O30" s="94"/>
      <c r="P30" s="131" t="s">
        <v>99</v>
      </c>
      <c r="Q30" s="104" t="s">
        <v>99</v>
      </c>
      <c r="R30" s="94"/>
      <c r="S30" s="71" t="s">
        <v>99</v>
      </c>
      <c r="T30" s="71" t="s">
        <v>99</v>
      </c>
      <c r="U30" s="71"/>
      <c r="V30" s="72" t="s">
        <v>99</v>
      </c>
      <c r="W30" s="72" t="str">
        <f t="shared" si="1"/>
        <v/>
      </c>
      <c r="X30" s="73"/>
      <c r="Y30" s="73"/>
      <c r="Z30" s="97"/>
    </row>
    <row r="31" ht="12.0" customHeight="1">
      <c r="A31" s="126" t="s">
        <v>99</v>
      </c>
      <c r="B31" s="127" t="s">
        <v>99</v>
      </c>
      <c r="C31" s="128" t="s">
        <v>99</v>
      </c>
      <c r="D31" s="127" t="s">
        <v>99</v>
      </c>
      <c r="E31" s="128" t="s">
        <v>99</v>
      </c>
      <c r="F31" s="115" t="s">
        <v>99</v>
      </c>
      <c r="G31" s="115" t="s">
        <v>99</v>
      </c>
      <c r="H31" s="127" t="s">
        <v>99</v>
      </c>
      <c r="I31" s="128" t="s">
        <v>99</v>
      </c>
      <c r="J31" s="127" t="s">
        <v>99</v>
      </c>
      <c r="K31" s="129" t="s">
        <v>99</v>
      </c>
      <c r="L31" s="94"/>
      <c r="M31" s="130" t="s">
        <v>99</v>
      </c>
      <c r="O31" s="94"/>
      <c r="P31" s="131" t="s">
        <v>99</v>
      </c>
      <c r="Q31" s="104" t="s">
        <v>99</v>
      </c>
      <c r="R31" s="94"/>
      <c r="S31" s="71" t="s">
        <v>99</v>
      </c>
      <c r="T31" s="71" t="s">
        <v>99</v>
      </c>
      <c r="U31" s="71"/>
      <c r="V31" s="72" t="s">
        <v>99</v>
      </c>
      <c r="W31" s="72" t="str">
        <f t="shared" si="1"/>
        <v/>
      </c>
      <c r="X31" s="73"/>
      <c r="Y31" s="73"/>
      <c r="Z31" s="97"/>
    </row>
    <row r="32" ht="12.0" customHeight="1">
      <c r="A32" s="126" t="s">
        <v>99</v>
      </c>
      <c r="B32" s="127" t="s">
        <v>99</v>
      </c>
      <c r="C32" s="128" t="s">
        <v>99</v>
      </c>
      <c r="D32" s="127" t="s">
        <v>99</v>
      </c>
      <c r="E32" s="128" t="s">
        <v>99</v>
      </c>
      <c r="F32" s="115" t="s">
        <v>99</v>
      </c>
      <c r="G32" s="115" t="s">
        <v>99</v>
      </c>
      <c r="H32" s="127" t="s">
        <v>99</v>
      </c>
      <c r="I32" s="128" t="s">
        <v>99</v>
      </c>
      <c r="J32" s="127" t="s">
        <v>99</v>
      </c>
      <c r="K32" s="129" t="s">
        <v>99</v>
      </c>
      <c r="L32" s="94"/>
      <c r="M32" s="130" t="s">
        <v>99</v>
      </c>
      <c r="O32" s="94"/>
      <c r="P32" s="131" t="s">
        <v>99</v>
      </c>
      <c r="Q32" s="104" t="s">
        <v>99</v>
      </c>
      <c r="R32" s="94"/>
      <c r="S32" s="71" t="s">
        <v>99</v>
      </c>
      <c r="T32" s="71" t="s">
        <v>99</v>
      </c>
      <c r="U32" s="71"/>
      <c r="V32" s="72" t="s">
        <v>99</v>
      </c>
      <c r="W32" s="72" t="str">
        <f t="shared" si="1"/>
        <v/>
      </c>
      <c r="X32" s="73"/>
      <c r="Y32" s="73"/>
      <c r="Z32" s="97"/>
    </row>
    <row r="33" ht="12.0" customHeight="1">
      <c r="A33" s="88" t="s">
        <v>79</v>
      </c>
      <c r="B33" s="107" t="s">
        <v>233</v>
      </c>
      <c r="C33" s="107" t="s">
        <v>234</v>
      </c>
      <c r="D33" s="107" t="s">
        <v>40</v>
      </c>
      <c r="E33" s="125" t="s">
        <v>235</v>
      </c>
      <c r="F33" s="87"/>
      <c r="G33" s="87"/>
      <c r="H33" s="87"/>
      <c r="I33" s="87"/>
      <c r="J33" s="86"/>
      <c r="K33" s="125" t="s">
        <v>119</v>
      </c>
      <c r="L33" s="87"/>
      <c r="M33" s="87"/>
      <c r="N33" s="87"/>
      <c r="O33" s="86"/>
      <c r="P33" s="107" t="s">
        <v>236</v>
      </c>
      <c r="Q33" s="125" t="s">
        <v>237</v>
      </c>
      <c r="R33" s="86"/>
      <c r="S33" s="71"/>
      <c r="T33" s="71"/>
      <c r="U33" s="71"/>
      <c r="V33" s="72"/>
      <c r="W33" s="72"/>
      <c r="X33" s="73"/>
      <c r="Y33" s="73"/>
      <c r="Z33" s="97"/>
    </row>
    <row r="34" ht="8.25" customHeight="1">
      <c r="A34" s="92"/>
      <c r="B34" s="92"/>
      <c r="C34" s="92"/>
      <c r="D34" s="92"/>
      <c r="E34" s="90"/>
      <c r="F34" s="84"/>
      <c r="G34" s="84"/>
      <c r="H34" s="84"/>
      <c r="I34" s="84"/>
      <c r="J34" s="91"/>
      <c r="K34" s="90"/>
      <c r="L34" s="84"/>
      <c r="M34" s="84"/>
      <c r="N34" s="84"/>
      <c r="O34" s="91"/>
      <c r="P34" s="92"/>
      <c r="Q34" s="93"/>
      <c r="R34" s="94"/>
      <c r="S34" s="71"/>
      <c r="T34" s="71"/>
      <c r="U34" s="71"/>
      <c r="V34" s="72"/>
      <c r="W34" s="72"/>
      <c r="X34" s="73"/>
      <c r="Y34" s="73"/>
      <c r="Z34" s="97"/>
    </row>
    <row r="35" ht="10.5" customHeight="1">
      <c r="A35" s="92"/>
      <c r="B35" s="92"/>
      <c r="C35" s="92"/>
      <c r="D35" s="92"/>
      <c r="E35" s="107" t="s">
        <v>238</v>
      </c>
      <c r="F35" s="107" t="s">
        <v>239</v>
      </c>
      <c r="G35" s="107" t="s">
        <v>240</v>
      </c>
      <c r="H35" s="107" t="s">
        <v>241</v>
      </c>
      <c r="I35" s="107" t="s">
        <v>242</v>
      </c>
      <c r="J35" s="107" t="s">
        <v>127</v>
      </c>
      <c r="K35" s="107" t="s">
        <v>243</v>
      </c>
      <c r="L35" s="125" t="s">
        <v>244</v>
      </c>
      <c r="M35" s="86"/>
      <c r="N35" s="133" t="s">
        <v>245</v>
      </c>
      <c r="O35" s="86"/>
      <c r="P35" s="92"/>
      <c r="Q35" s="93"/>
      <c r="R35" s="94"/>
      <c r="S35" s="71"/>
      <c r="T35" s="71"/>
      <c r="U35" s="71"/>
      <c r="V35" s="72"/>
      <c r="W35" s="72"/>
      <c r="X35" s="73"/>
      <c r="Y35" s="73"/>
      <c r="Z35" s="73"/>
    </row>
    <row r="36" ht="21.0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0"/>
      <c r="M36" s="91"/>
      <c r="N36" s="90"/>
      <c r="O36" s="91"/>
      <c r="P36" s="98"/>
      <c r="Q36" s="90"/>
      <c r="R36" s="91"/>
      <c r="S36" s="71"/>
      <c r="T36" s="71"/>
      <c r="U36" s="71"/>
      <c r="V36" s="72"/>
      <c r="W36" s="72"/>
      <c r="X36" s="73"/>
      <c r="Y36" s="73"/>
      <c r="Z36" s="73"/>
    </row>
    <row r="37" ht="12.0" customHeight="1">
      <c r="A37" s="126" t="s">
        <v>99</v>
      </c>
      <c r="B37" s="127">
        <v>10.4</v>
      </c>
      <c r="C37" s="127">
        <v>1.3</v>
      </c>
      <c r="D37" s="113">
        <v>8.0</v>
      </c>
      <c r="E37" s="101" t="s">
        <v>99</v>
      </c>
      <c r="F37" s="113" t="s">
        <v>99</v>
      </c>
      <c r="G37" s="101" t="s">
        <v>99</v>
      </c>
      <c r="H37" s="127" t="s">
        <v>99</v>
      </c>
      <c r="I37" s="128" t="s">
        <v>99</v>
      </c>
      <c r="J37" s="127" t="s">
        <v>99</v>
      </c>
      <c r="K37" s="114" t="s">
        <v>99</v>
      </c>
      <c r="L37" s="125" t="s">
        <v>99</v>
      </c>
      <c r="M37" s="86"/>
      <c r="N37" s="105" t="s">
        <v>99</v>
      </c>
      <c r="O37" s="94"/>
      <c r="P37" s="115" t="s">
        <v>99</v>
      </c>
      <c r="Q37" s="105" t="s">
        <v>99</v>
      </c>
      <c r="R37" s="94"/>
      <c r="S37" s="71"/>
      <c r="T37" s="71"/>
      <c r="U37" s="71"/>
      <c r="V37" s="72" t="s">
        <v>99</v>
      </c>
      <c r="W37" s="72"/>
      <c r="X37" s="73"/>
      <c r="Y37" s="73"/>
      <c r="Z37" s="73"/>
    </row>
    <row r="38" ht="12.0" customHeight="1">
      <c r="A38" s="126" t="s">
        <v>99</v>
      </c>
      <c r="B38" s="127">
        <v>8.6</v>
      </c>
      <c r="C38" s="127">
        <v>1.1</v>
      </c>
      <c r="D38" s="113">
        <v>8.0</v>
      </c>
      <c r="E38" s="101" t="s">
        <v>99</v>
      </c>
      <c r="F38" s="113" t="s">
        <v>99</v>
      </c>
      <c r="G38" s="101" t="s">
        <v>99</v>
      </c>
      <c r="H38" s="127" t="s">
        <v>99</v>
      </c>
      <c r="I38" s="128" t="s">
        <v>99</v>
      </c>
      <c r="J38" s="127" t="s">
        <v>99</v>
      </c>
      <c r="K38" s="114" t="s">
        <v>99</v>
      </c>
      <c r="L38" s="105" t="s">
        <v>99</v>
      </c>
      <c r="M38" s="94"/>
      <c r="N38" s="114" t="s">
        <v>99</v>
      </c>
      <c r="O38" s="94"/>
      <c r="P38" s="115" t="s">
        <v>99</v>
      </c>
      <c r="Q38" s="105" t="s">
        <v>99</v>
      </c>
      <c r="R38" s="94"/>
      <c r="S38" s="71"/>
      <c r="T38" s="71"/>
      <c r="U38" s="71"/>
      <c r="V38" s="72" t="s">
        <v>99</v>
      </c>
      <c r="W38" s="72"/>
      <c r="X38" s="73"/>
      <c r="Y38" s="73"/>
      <c r="Z38" s="73"/>
    </row>
    <row r="39" ht="12.0" customHeight="1">
      <c r="A39" s="126" t="s">
        <v>99</v>
      </c>
      <c r="B39" s="127" t="s">
        <v>99</v>
      </c>
      <c r="C39" s="127" t="s">
        <v>99</v>
      </c>
      <c r="D39" s="113" t="s">
        <v>99</v>
      </c>
      <c r="E39" s="101" t="s">
        <v>99</v>
      </c>
      <c r="F39" s="113" t="s">
        <v>99</v>
      </c>
      <c r="G39" s="101" t="s">
        <v>99</v>
      </c>
      <c r="H39" s="127" t="s">
        <v>99</v>
      </c>
      <c r="I39" s="128" t="s">
        <v>99</v>
      </c>
      <c r="J39" s="127" t="s">
        <v>99</v>
      </c>
      <c r="K39" s="114" t="s">
        <v>99</v>
      </c>
      <c r="L39" s="105" t="s">
        <v>99</v>
      </c>
      <c r="M39" s="94"/>
      <c r="N39" s="114" t="s">
        <v>99</v>
      </c>
      <c r="O39" s="94"/>
      <c r="P39" s="115" t="s">
        <v>99</v>
      </c>
      <c r="Q39" s="105" t="s">
        <v>99</v>
      </c>
      <c r="R39" s="94"/>
      <c r="S39" s="71"/>
      <c r="T39" s="71"/>
      <c r="U39" s="71"/>
      <c r="V39" s="72" t="s">
        <v>99</v>
      </c>
      <c r="W39" s="72"/>
      <c r="X39" s="73"/>
      <c r="Y39" s="73"/>
      <c r="Z39" s="73"/>
    </row>
    <row r="40" ht="12.0" customHeight="1">
      <c r="A40" s="126" t="s">
        <v>99</v>
      </c>
      <c r="B40" s="127" t="s">
        <v>99</v>
      </c>
      <c r="C40" s="127" t="s">
        <v>99</v>
      </c>
      <c r="D40" s="113" t="s">
        <v>99</v>
      </c>
      <c r="E40" s="101" t="s">
        <v>99</v>
      </c>
      <c r="F40" s="113" t="s">
        <v>99</v>
      </c>
      <c r="G40" s="101" t="s">
        <v>99</v>
      </c>
      <c r="H40" s="127" t="s">
        <v>99</v>
      </c>
      <c r="I40" s="128" t="s">
        <v>99</v>
      </c>
      <c r="J40" s="127" t="s">
        <v>99</v>
      </c>
      <c r="K40" s="114" t="s">
        <v>99</v>
      </c>
      <c r="L40" s="105" t="s">
        <v>99</v>
      </c>
      <c r="M40" s="94"/>
      <c r="N40" s="114" t="s">
        <v>99</v>
      </c>
      <c r="O40" s="94"/>
      <c r="P40" s="115" t="s">
        <v>99</v>
      </c>
      <c r="Q40" s="105" t="s">
        <v>99</v>
      </c>
      <c r="R40" s="94"/>
      <c r="S40" s="71"/>
      <c r="T40" s="71"/>
      <c r="U40" s="71"/>
      <c r="V40" s="72" t="s">
        <v>99</v>
      </c>
      <c r="W40" s="72"/>
      <c r="X40" s="73"/>
      <c r="Y40" s="73"/>
      <c r="Z40" s="73"/>
    </row>
    <row r="41" ht="12.0" customHeight="1">
      <c r="A41" s="126" t="s">
        <v>99</v>
      </c>
      <c r="B41" s="127" t="s">
        <v>99</v>
      </c>
      <c r="C41" s="127" t="s">
        <v>99</v>
      </c>
      <c r="D41" s="113" t="s">
        <v>99</v>
      </c>
      <c r="E41" s="101" t="s">
        <v>99</v>
      </c>
      <c r="F41" s="113" t="s">
        <v>99</v>
      </c>
      <c r="G41" s="101" t="s">
        <v>99</v>
      </c>
      <c r="H41" s="127" t="s">
        <v>99</v>
      </c>
      <c r="I41" s="128" t="s">
        <v>99</v>
      </c>
      <c r="J41" s="127" t="s">
        <v>99</v>
      </c>
      <c r="K41" s="114" t="s">
        <v>99</v>
      </c>
      <c r="L41" s="105" t="s">
        <v>99</v>
      </c>
      <c r="M41" s="94"/>
      <c r="N41" s="114" t="s">
        <v>99</v>
      </c>
      <c r="O41" s="94"/>
      <c r="P41" s="115" t="s">
        <v>99</v>
      </c>
      <c r="Q41" s="105" t="s">
        <v>99</v>
      </c>
      <c r="R41" s="94"/>
      <c r="S41" s="71"/>
      <c r="T41" s="71"/>
      <c r="U41" s="71"/>
      <c r="V41" s="72" t="s">
        <v>99</v>
      </c>
      <c r="W41" s="72"/>
      <c r="X41" s="73"/>
      <c r="Y41" s="73"/>
      <c r="Z41" s="73"/>
    </row>
    <row r="42" ht="12.0" customHeight="1">
      <c r="A42" s="126" t="s">
        <v>99</v>
      </c>
      <c r="B42" s="127" t="s">
        <v>99</v>
      </c>
      <c r="C42" s="127" t="s">
        <v>99</v>
      </c>
      <c r="D42" s="113" t="s">
        <v>99</v>
      </c>
      <c r="E42" s="101" t="s">
        <v>99</v>
      </c>
      <c r="F42" s="113" t="s">
        <v>99</v>
      </c>
      <c r="G42" s="101" t="s">
        <v>99</v>
      </c>
      <c r="H42" s="127" t="s">
        <v>99</v>
      </c>
      <c r="I42" s="128" t="s">
        <v>99</v>
      </c>
      <c r="J42" s="127" t="s">
        <v>99</v>
      </c>
      <c r="K42" s="114" t="s">
        <v>99</v>
      </c>
      <c r="L42" s="105" t="s">
        <v>99</v>
      </c>
      <c r="M42" s="94"/>
      <c r="N42" s="114" t="s">
        <v>99</v>
      </c>
      <c r="O42" s="94"/>
      <c r="P42" s="115" t="s">
        <v>99</v>
      </c>
      <c r="Q42" s="105" t="s">
        <v>99</v>
      </c>
      <c r="R42" s="94"/>
      <c r="S42" s="71"/>
      <c r="T42" s="71"/>
      <c r="U42" s="71"/>
      <c r="V42" s="72" t="s">
        <v>99</v>
      </c>
      <c r="W42" s="72"/>
      <c r="X42" s="73"/>
      <c r="Y42" s="73"/>
      <c r="Z42" s="73"/>
    </row>
    <row r="43" ht="12.0" customHeight="1">
      <c r="A43" s="126" t="s">
        <v>99</v>
      </c>
      <c r="B43" s="127" t="s">
        <v>99</v>
      </c>
      <c r="C43" s="127" t="s">
        <v>99</v>
      </c>
      <c r="D43" s="113" t="s">
        <v>99</v>
      </c>
      <c r="E43" s="101" t="s">
        <v>99</v>
      </c>
      <c r="F43" s="113" t="s">
        <v>99</v>
      </c>
      <c r="G43" s="101" t="s">
        <v>99</v>
      </c>
      <c r="H43" s="127" t="s">
        <v>99</v>
      </c>
      <c r="I43" s="128" t="s">
        <v>99</v>
      </c>
      <c r="J43" s="127" t="s">
        <v>99</v>
      </c>
      <c r="K43" s="114" t="s">
        <v>99</v>
      </c>
      <c r="L43" s="105" t="s">
        <v>99</v>
      </c>
      <c r="M43" s="94"/>
      <c r="N43" s="114" t="s">
        <v>99</v>
      </c>
      <c r="O43" s="94"/>
      <c r="P43" s="115" t="s">
        <v>99</v>
      </c>
      <c r="Q43" s="105" t="s">
        <v>99</v>
      </c>
      <c r="R43" s="94"/>
      <c r="S43" s="71"/>
      <c r="T43" s="71"/>
      <c r="U43" s="71"/>
      <c r="V43" s="72" t="s">
        <v>99</v>
      </c>
      <c r="W43" s="72"/>
      <c r="X43" s="73"/>
      <c r="Y43" s="73"/>
      <c r="Z43" s="73"/>
    </row>
    <row r="44" ht="12.0" customHeight="1">
      <c r="A44" s="126" t="s">
        <v>99</v>
      </c>
      <c r="B44" s="127" t="s">
        <v>99</v>
      </c>
      <c r="C44" s="127" t="s">
        <v>99</v>
      </c>
      <c r="D44" s="113" t="s">
        <v>99</v>
      </c>
      <c r="E44" s="101" t="s">
        <v>99</v>
      </c>
      <c r="F44" s="113" t="s">
        <v>99</v>
      </c>
      <c r="G44" s="101" t="s">
        <v>99</v>
      </c>
      <c r="H44" s="127" t="s">
        <v>99</v>
      </c>
      <c r="I44" s="128" t="s">
        <v>99</v>
      </c>
      <c r="J44" s="127" t="s">
        <v>99</v>
      </c>
      <c r="K44" s="114" t="s">
        <v>99</v>
      </c>
      <c r="L44" s="105" t="s">
        <v>99</v>
      </c>
      <c r="M44" s="94"/>
      <c r="N44" s="114" t="s">
        <v>99</v>
      </c>
      <c r="O44" s="94"/>
      <c r="P44" s="115" t="s">
        <v>99</v>
      </c>
      <c r="Q44" s="105" t="s">
        <v>99</v>
      </c>
      <c r="R44" s="94"/>
      <c r="S44" s="71"/>
      <c r="T44" s="71"/>
      <c r="U44" s="71"/>
      <c r="V44" s="72" t="s">
        <v>99</v>
      </c>
      <c r="W44" s="72"/>
      <c r="X44" s="73"/>
      <c r="Y44" s="73"/>
      <c r="Z44" s="73"/>
    </row>
    <row r="45" ht="12.0" customHeight="1">
      <c r="A45" s="126" t="s">
        <v>99</v>
      </c>
      <c r="B45" s="127" t="s">
        <v>99</v>
      </c>
      <c r="C45" s="127" t="s">
        <v>99</v>
      </c>
      <c r="D45" s="113" t="s">
        <v>99</v>
      </c>
      <c r="E45" s="101" t="s">
        <v>99</v>
      </c>
      <c r="F45" s="113" t="s">
        <v>99</v>
      </c>
      <c r="G45" s="101" t="s">
        <v>99</v>
      </c>
      <c r="H45" s="127" t="s">
        <v>99</v>
      </c>
      <c r="I45" s="128" t="s">
        <v>99</v>
      </c>
      <c r="J45" s="127" t="s">
        <v>99</v>
      </c>
      <c r="K45" s="114" t="s">
        <v>99</v>
      </c>
      <c r="L45" s="105" t="s">
        <v>99</v>
      </c>
      <c r="M45" s="94"/>
      <c r="N45" s="105" t="s">
        <v>99</v>
      </c>
      <c r="O45" s="94"/>
      <c r="P45" s="115" t="s">
        <v>99</v>
      </c>
      <c r="Q45" s="105" t="s">
        <v>99</v>
      </c>
      <c r="R45" s="94"/>
      <c r="S45" s="71"/>
      <c r="T45" s="71"/>
      <c r="U45" s="71"/>
      <c r="V45" s="72" t="s">
        <v>99</v>
      </c>
      <c r="W45" s="72"/>
      <c r="X45" s="73"/>
      <c r="Y45" s="73"/>
      <c r="Z45" s="73"/>
    </row>
    <row r="46" ht="12.0" customHeight="1">
      <c r="A46" s="88" t="s">
        <v>79</v>
      </c>
      <c r="B46" s="134" t="s">
        <v>246</v>
      </c>
      <c r="C46" s="135" t="s">
        <v>132</v>
      </c>
      <c r="D46" s="136"/>
      <c r="E46" s="125" t="s">
        <v>247</v>
      </c>
      <c r="F46" s="87"/>
      <c r="G46" s="87"/>
      <c r="H46" s="87"/>
      <c r="I46" s="87"/>
      <c r="J46" s="87"/>
      <c r="K46" s="87"/>
      <c r="L46" s="86"/>
      <c r="M46" s="125" t="s">
        <v>248</v>
      </c>
      <c r="N46" s="87"/>
      <c r="O46" s="87"/>
      <c r="P46" s="87"/>
      <c r="Q46" s="87"/>
      <c r="R46" s="86"/>
      <c r="S46" s="71"/>
      <c r="T46" s="71"/>
      <c r="U46" s="71"/>
      <c r="V46" s="72"/>
      <c r="W46" s="72"/>
      <c r="X46" s="73"/>
      <c r="Y46" s="73"/>
      <c r="Z46" s="73"/>
    </row>
    <row r="47" ht="9.0" customHeight="1">
      <c r="A47" s="92"/>
      <c r="B47" s="92"/>
      <c r="C47" s="107" t="s">
        <v>249</v>
      </c>
      <c r="D47" s="107" t="s">
        <v>250</v>
      </c>
      <c r="E47" s="90"/>
      <c r="F47" s="84"/>
      <c r="G47" s="84"/>
      <c r="H47" s="84"/>
      <c r="I47" s="84"/>
      <c r="J47" s="84"/>
      <c r="K47" s="84"/>
      <c r="L47" s="91"/>
      <c r="M47" s="90"/>
      <c r="N47" s="84"/>
      <c r="O47" s="84"/>
      <c r="P47" s="84"/>
      <c r="Q47" s="84"/>
      <c r="R47" s="91"/>
      <c r="S47" s="71"/>
      <c r="T47" s="71"/>
      <c r="U47" s="71"/>
      <c r="V47" s="72"/>
      <c r="W47" s="72"/>
      <c r="X47" s="73"/>
      <c r="Y47" s="73"/>
      <c r="Z47" s="73"/>
    </row>
    <row r="48" ht="12.0" customHeight="1">
      <c r="A48" s="92"/>
      <c r="B48" s="92"/>
      <c r="C48" s="92"/>
      <c r="D48" s="92"/>
      <c r="E48" s="107" t="s">
        <v>251</v>
      </c>
      <c r="F48" s="107" t="s">
        <v>252</v>
      </c>
      <c r="G48" s="107" t="s">
        <v>253</v>
      </c>
      <c r="H48" s="107" t="s">
        <v>254</v>
      </c>
      <c r="I48" s="107" t="s">
        <v>255</v>
      </c>
      <c r="J48" s="107" t="s">
        <v>256</v>
      </c>
      <c r="K48" s="125" t="s">
        <v>257</v>
      </c>
      <c r="L48" s="86"/>
      <c r="M48" s="135" t="s">
        <v>144</v>
      </c>
      <c r="N48" s="137"/>
      <c r="O48" s="137"/>
      <c r="P48" s="136"/>
      <c r="Q48" s="125" t="s">
        <v>145</v>
      </c>
      <c r="R48" s="86"/>
      <c r="S48" s="71"/>
      <c r="T48" s="71"/>
      <c r="U48" s="71"/>
      <c r="V48" s="72"/>
      <c r="W48" s="72"/>
      <c r="X48" s="73"/>
      <c r="Y48" s="73"/>
      <c r="Z48" s="73"/>
    </row>
    <row r="49" ht="12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3"/>
      <c r="L49" s="94"/>
      <c r="M49" s="125" t="s">
        <v>146</v>
      </c>
      <c r="N49" s="87"/>
      <c r="O49" s="86"/>
      <c r="P49" s="107" t="s">
        <v>147</v>
      </c>
      <c r="Q49" s="93"/>
      <c r="R49" s="94"/>
      <c r="S49" s="71"/>
      <c r="T49" s="71"/>
      <c r="U49" s="71"/>
      <c r="V49" s="72"/>
      <c r="W49" s="72"/>
      <c r="X49" s="73"/>
      <c r="Y49" s="73"/>
      <c r="Z49" s="73"/>
    </row>
    <row r="50" ht="6.0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0"/>
      <c r="L50" s="91"/>
      <c r="M50" s="90"/>
      <c r="N50" s="84"/>
      <c r="O50" s="91"/>
      <c r="P50" s="98"/>
      <c r="Q50" s="90"/>
      <c r="R50" s="91"/>
      <c r="S50" s="71"/>
      <c r="T50" s="71"/>
      <c r="U50" s="71"/>
      <c r="V50" s="72"/>
      <c r="W50" s="72"/>
      <c r="X50" s="73"/>
      <c r="Y50" s="73"/>
      <c r="Z50" s="73"/>
    </row>
    <row r="51" ht="12.0" customHeight="1">
      <c r="A51" s="126" t="s">
        <v>99</v>
      </c>
      <c r="B51" s="115" t="s">
        <v>148</v>
      </c>
      <c r="C51" s="114" t="s">
        <v>99</v>
      </c>
      <c r="D51" s="113" t="s">
        <v>99</v>
      </c>
      <c r="E51" s="114" t="s">
        <v>99</v>
      </c>
      <c r="F51" s="115" t="s">
        <v>99</v>
      </c>
      <c r="G51" s="114" t="s">
        <v>99</v>
      </c>
      <c r="H51" s="115" t="s">
        <v>99</v>
      </c>
      <c r="I51" s="114" t="s">
        <v>99</v>
      </c>
      <c r="J51" s="115" t="s">
        <v>99</v>
      </c>
      <c r="K51" s="105" t="s">
        <v>99</v>
      </c>
      <c r="L51" s="94"/>
      <c r="M51" s="125" t="s">
        <v>99</v>
      </c>
      <c r="N51" s="87"/>
      <c r="O51" s="86"/>
      <c r="P51" s="105" t="s">
        <v>99</v>
      </c>
      <c r="Q51" s="125" t="s">
        <v>99</v>
      </c>
      <c r="R51" s="86"/>
      <c r="S51" s="71"/>
      <c r="T51" s="71"/>
      <c r="U51" s="71"/>
      <c r="V51" s="72" t="s">
        <v>99</v>
      </c>
      <c r="W51" s="72" t="str">
        <f t="shared" ref="W51:W59" si="2">IF(C51="","",IF(C51&gt;=7,"sálico",IF(C51&gt;=4,"salino","")))</f>
        <v/>
      </c>
      <c r="X51" s="73"/>
      <c r="Y51" s="73"/>
      <c r="Z51" s="73"/>
    </row>
    <row r="52" ht="12.0" customHeight="1">
      <c r="A52" s="126" t="s">
        <v>99</v>
      </c>
      <c r="B52" s="115" t="s">
        <v>148</v>
      </c>
      <c r="C52" s="114" t="s">
        <v>99</v>
      </c>
      <c r="D52" s="113" t="s">
        <v>99</v>
      </c>
      <c r="E52" s="114" t="s">
        <v>99</v>
      </c>
      <c r="F52" s="115" t="s">
        <v>99</v>
      </c>
      <c r="G52" s="114" t="s">
        <v>99</v>
      </c>
      <c r="H52" s="115" t="s">
        <v>99</v>
      </c>
      <c r="I52" s="114" t="s">
        <v>99</v>
      </c>
      <c r="J52" s="115" t="s">
        <v>99</v>
      </c>
      <c r="K52" s="105" t="s">
        <v>99</v>
      </c>
      <c r="M52" s="105" t="s">
        <v>99</v>
      </c>
      <c r="O52" s="94"/>
      <c r="P52" s="114" t="s">
        <v>99</v>
      </c>
      <c r="Q52" s="105" t="s">
        <v>99</v>
      </c>
      <c r="R52" s="94"/>
      <c r="S52" s="71"/>
      <c r="T52" s="71"/>
      <c r="U52" s="71"/>
      <c r="V52" s="72" t="s">
        <v>99</v>
      </c>
      <c r="W52" s="72" t="str">
        <f t="shared" si="2"/>
        <v/>
      </c>
      <c r="X52" s="73"/>
      <c r="Y52" s="73"/>
      <c r="Z52" s="73"/>
    </row>
    <row r="53" ht="12.0" customHeight="1">
      <c r="A53" s="126" t="s">
        <v>99</v>
      </c>
      <c r="B53" s="115" t="s">
        <v>99</v>
      </c>
      <c r="C53" s="114" t="s">
        <v>99</v>
      </c>
      <c r="D53" s="113" t="s">
        <v>99</v>
      </c>
      <c r="E53" s="114" t="s">
        <v>99</v>
      </c>
      <c r="F53" s="115" t="s">
        <v>99</v>
      </c>
      <c r="G53" s="114" t="s">
        <v>99</v>
      </c>
      <c r="H53" s="115" t="s">
        <v>99</v>
      </c>
      <c r="I53" s="114" t="s">
        <v>99</v>
      </c>
      <c r="J53" s="115" t="s">
        <v>99</v>
      </c>
      <c r="K53" s="105" t="s">
        <v>99</v>
      </c>
      <c r="M53" s="105" t="s">
        <v>99</v>
      </c>
      <c r="O53" s="94"/>
      <c r="P53" s="114" t="s">
        <v>99</v>
      </c>
      <c r="Q53" s="105" t="s">
        <v>99</v>
      </c>
      <c r="R53" s="94"/>
      <c r="S53" s="71"/>
      <c r="T53" s="71"/>
      <c r="U53" s="71"/>
      <c r="V53" s="72" t="s">
        <v>99</v>
      </c>
      <c r="W53" s="72" t="str">
        <f t="shared" si="2"/>
        <v/>
      </c>
      <c r="X53" s="73"/>
      <c r="Y53" s="73"/>
      <c r="Z53" s="73"/>
    </row>
    <row r="54" ht="12.0" customHeight="1">
      <c r="A54" s="126" t="s">
        <v>99</v>
      </c>
      <c r="B54" s="115" t="s">
        <v>99</v>
      </c>
      <c r="C54" s="114" t="s">
        <v>99</v>
      </c>
      <c r="D54" s="113" t="s">
        <v>99</v>
      </c>
      <c r="E54" s="114" t="s">
        <v>99</v>
      </c>
      <c r="F54" s="115" t="s">
        <v>99</v>
      </c>
      <c r="G54" s="114" t="s">
        <v>99</v>
      </c>
      <c r="H54" s="115" t="s">
        <v>99</v>
      </c>
      <c r="I54" s="114" t="s">
        <v>99</v>
      </c>
      <c r="J54" s="115" t="s">
        <v>99</v>
      </c>
      <c r="K54" s="105" t="s">
        <v>99</v>
      </c>
      <c r="M54" s="105" t="s">
        <v>99</v>
      </c>
      <c r="O54" s="94"/>
      <c r="P54" s="114" t="s">
        <v>99</v>
      </c>
      <c r="Q54" s="105" t="s">
        <v>99</v>
      </c>
      <c r="R54" s="94"/>
      <c r="S54" s="71"/>
      <c r="T54" s="71"/>
      <c r="U54" s="71"/>
      <c r="V54" s="72" t="s">
        <v>99</v>
      </c>
      <c r="W54" s="72" t="str">
        <f t="shared" si="2"/>
        <v/>
      </c>
      <c r="X54" s="73"/>
      <c r="Y54" s="73"/>
      <c r="Z54" s="73"/>
    </row>
    <row r="55" ht="12.0" customHeight="1">
      <c r="A55" s="126" t="s">
        <v>99</v>
      </c>
      <c r="B55" s="115" t="s">
        <v>99</v>
      </c>
      <c r="C55" s="114" t="s">
        <v>99</v>
      </c>
      <c r="D55" s="113" t="s">
        <v>99</v>
      </c>
      <c r="E55" s="114" t="s">
        <v>99</v>
      </c>
      <c r="F55" s="115" t="s">
        <v>99</v>
      </c>
      <c r="G55" s="114" t="s">
        <v>99</v>
      </c>
      <c r="H55" s="115" t="s">
        <v>99</v>
      </c>
      <c r="I55" s="114" t="s">
        <v>99</v>
      </c>
      <c r="J55" s="115" t="s">
        <v>99</v>
      </c>
      <c r="K55" s="105" t="s">
        <v>99</v>
      </c>
      <c r="M55" s="105" t="s">
        <v>99</v>
      </c>
      <c r="O55" s="94"/>
      <c r="P55" s="114" t="s">
        <v>99</v>
      </c>
      <c r="Q55" s="105" t="s">
        <v>99</v>
      </c>
      <c r="R55" s="94"/>
      <c r="S55" s="71"/>
      <c r="T55" s="71"/>
      <c r="U55" s="71"/>
      <c r="V55" s="72" t="s">
        <v>99</v>
      </c>
      <c r="W55" s="72" t="str">
        <f t="shared" si="2"/>
        <v/>
      </c>
      <c r="X55" s="73"/>
      <c r="Y55" s="73"/>
      <c r="Z55" s="73"/>
    </row>
    <row r="56" ht="12.0" customHeight="1">
      <c r="A56" s="126" t="s">
        <v>99</v>
      </c>
      <c r="B56" s="115" t="s">
        <v>99</v>
      </c>
      <c r="C56" s="114" t="s">
        <v>99</v>
      </c>
      <c r="D56" s="113" t="s">
        <v>99</v>
      </c>
      <c r="E56" s="114" t="s">
        <v>99</v>
      </c>
      <c r="F56" s="115" t="s">
        <v>99</v>
      </c>
      <c r="G56" s="114" t="s">
        <v>99</v>
      </c>
      <c r="H56" s="115" t="s">
        <v>99</v>
      </c>
      <c r="I56" s="114" t="s">
        <v>99</v>
      </c>
      <c r="J56" s="115" t="s">
        <v>99</v>
      </c>
      <c r="K56" s="105" t="s">
        <v>99</v>
      </c>
      <c r="M56" s="105" t="s">
        <v>99</v>
      </c>
      <c r="O56" s="94"/>
      <c r="P56" s="114" t="s">
        <v>99</v>
      </c>
      <c r="Q56" s="105" t="s">
        <v>99</v>
      </c>
      <c r="R56" s="94"/>
      <c r="S56" s="71"/>
      <c r="T56" s="71"/>
      <c r="U56" s="71"/>
      <c r="V56" s="72" t="s">
        <v>99</v>
      </c>
      <c r="W56" s="72" t="str">
        <f t="shared" si="2"/>
        <v/>
      </c>
      <c r="X56" s="73"/>
      <c r="Y56" s="73"/>
      <c r="Z56" s="73"/>
    </row>
    <row r="57" ht="12.0" customHeight="1">
      <c r="A57" s="126" t="s">
        <v>99</v>
      </c>
      <c r="B57" s="115" t="s">
        <v>99</v>
      </c>
      <c r="C57" s="114" t="s">
        <v>99</v>
      </c>
      <c r="D57" s="113" t="s">
        <v>99</v>
      </c>
      <c r="E57" s="114" t="s">
        <v>99</v>
      </c>
      <c r="F57" s="115" t="s">
        <v>99</v>
      </c>
      <c r="G57" s="114" t="s">
        <v>99</v>
      </c>
      <c r="H57" s="115" t="s">
        <v>99</v>
      </c>
      <c r="I57" s="114" t="s">
        <v>99</v>
      </c>
      <c r="J57" s="115" t="s">
        <v>99</v>
      </c>
      <c r="K57" s="105" t="s">
        <v>99</v>
      </c>
      <c r="M57" s="105" t="s">
        <v>99</v>
      </c>
      <c r="O57" s="94"/>
      <c r="P57" s="114" t="s">
        <v>99</v>
      </c>
      <c r="Q57" s="105" t="s">
        <v>99</v>
      </c>
      <c r="R57" s="94"/>
      <c r="S57" s="71"/>
      <c r="T57" s="71"/>
      <c r="U57" s="71"/>
      <c r="V57" s="72" t="s">
        <v>99</v>
      </c>
      <c r="W57" s="72" t="str">
        <f t="shared" si="2"/>
        <v/>
      </c>
      <c r="X57" s="73"/>
      <c r="Y57" s="73"/>
      <c r="Z57" s="73"/>
    </row>
    <row r="58" ht="12.0" customHeight="1">
      <c r="A58" s="126" t="s">
        <v>99</v>
      </c>
      <c r="B58" s="115" t="s">
        <v>99</v>
      </c>
      <c r="C58" s="114" t="s">
        <v>99</v>
      </c>
      <c r="D58" s="113" t="s">
        <v>99</v>
      </c>
      <c r="E58" s="114" t="s">
        <v>99</v>
      </c>
      <c r="F58" s="115" t="s">
        <v>99</v>
      </c>
      <c r="G58" s="114" t="s">
        <v>99</v>
      </c>
      <c r="H58" s="115" t="s">
        <v>99</v>
      </c>
      <c r="I58" s="114" t="s">
        <v>99</v>
      </c>
      <c r="J58" s="115" t="s">
        <v>99</v>
      </c>
      <c r="K58" s="105" t="s">
        <v>99</v>
      </c>
      <c r="M58" s="105" t="s">
        <v>99</v>
      </c>
      <c r="O58" s="94"/>
      <c r="P58" s="114" t="s">
        <v>99</v>
      </c>
      <c r="Q58" s="105" t="s">
        <v>99</v>
      </c>
      <c r="R58" s="94"/>
      <c r="S58" s="71"/>
      <c r="T58" s="71"/>
      <c r="U58" s="71"/>
      <c r="V58" s="72" t="s">
        <v>99</v>
      </c>
      <c r="W58" s="72" t="str">
        <f t="shared" si="2"/>
        <v/>
      </c>
      <c r="X58" s="73"/>
      <c r="Y58" s="73"/>
      <c r="Z58" s="73"/>
    </row>
    <row r="59" ht="12.0" customHeight="1">
      <c r="A59" s="138" t="s">
        <v>99</v>
      </c>
      <c r="B59" s="119" t="s">
        <v>99</v>
      </c>
      <c r="C59" s="118" t="s">
        <v>99</v>
      </c>
      <c r="D59" s="139" t="s">
        <v>99</v>
      </c>
      <c r="E59" s="118" t="s">
        <v>99</v>
      </c>
      <c r="F59" s="119" t="s">
        <v>99</v>
      </c>
      <c r="G59" s="118" t="s">
        <v>99</v>
      </c>
      <c r="H59" s="119" t="s">
        <v>99</v>
      </c>
      <c r="I59" s="118" t="s">
        <v>99</v>
      </c>
      <c r="J59" s="119" t="s">
        <v>99</v>
      </c>
      <c r="K59" s="120" t="s">
        <v>99</v>
      </c>
      <c r="L59" s="91"/>
      <c r="M59" s="120" t="s">
        <v>99</v>
      </c>
      <c r="N59" s="84"/>
      <c r="O59" s="91"/>
      <c r="P59" s="120" t="s">
        <v>99</v>
      </c>
      <c r="Q59" s="120" t="s">
        <v>99</v>
      </c>
      <c r="R59" s="91"/>
      <c r="S59" s="71"/>
      <c r="T59" s="71"/>
      <c r="U59" s="71"/>
      <c r="V59" s="72" t="s">
        <v>99</v>
      </c>
      <c r="W59" s="72" t="str">
        <f t="shared" si="2"/>
        <v/>
      </c>
      <c r="X59" s="73"/>
      <c r="Y59" s="73"/>
      <c r="Z59" s="73"/>
    </row>
    <row r="60" ht="12.0" customHeight="1">
      <c r="A60" s="140" t="s">
        <v>149</v>
      </c>
      <c r="B60" s="141"/>
      <c r="C60" s="97"/>
      <c r="D60" s="97"/>
      <c r="E60" s="97"/>
      <c r="F60" s="97"/>
      <c r="G60" s="97"/>
      <c r="H60" s="97"/>
      <c r="I60" s="97"/>
      <c r="J60" s="97"/>
      <c r="K60" s="97"/>
      <c r="M60" s="97"/>
      <c r="P60" s="97"/>
      <c r="Q60" s="97"/>
      <c r="S60" s="71"/>
      <c r="T60" s="71"/>
      <c r="U60" s="71"/>
      <c r="V60" s="72"/>
      <c r="W60" s="72"/>
      <c r="X60" s="73"/>
      <c r="Y60" s="73"/>
      <c r="Z60" s="73"/>
    </row>
    <row r="61" ht="12.0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M61" s="73"/>
      <c r="P61" s="73"/>
      <c r="Q61" s="73"/>
      <c r="S61" s="71"/>
      <c r="T61" s="71"/>
      <c r="U61" s="71"/>
      <c r="V61" s="72"/>
      <c r="W61" s="72"/>
      <c r="X61" s="73"/>
      <c r="Y61" s="73"/>
      <c r="Z61" s="73"/>
    </row>
    <row r="62" ht="12.0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M62" s="73"/>
      <c r="P62" s="73"/>
      <c r="Q62" s="73"/>
      <c r="S62" s="71"/>
      <c r="T62" s="71"/>
      <c r="U62" s="71"/>
      <c r="V62" s="72"/>
      <c r="W62" s="72"/>
      <c r="X62" s="73"/>
      <c r="Y62" s="73"/>
      <c r="Z62" s="73"/>
    </row>
    <row r="63" ht="12.0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M63" s="73"/>
      <c r="P63" s="73"/>
      <c r="Q63" s="73"/>
      <c r="S63" s="71"/>
      <c r="T63" s="71"/>
      <c r="U63" s="71"/>
      <c r="V63" s="72"/>
      <c r="W63" s="72"/>
      <c r="X63" s="73"/>
      <c r="Y63" s="73"/>
      <c r="Z63" s="73"/>
    </row>
    <row r="64" ht="12.0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1"/>
      <c r="T64" s="71"/>
      <c r="U64" s="71"/>
      <c r="V64" s="72"/>
      <c r="W64" s="72"/>
      <c r="X64" s="73"/>
      <c r="Y64" s="73"/>
      <c r="Z64" s="73"/>
    </row>
    <row r="65" ht="12.0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1"/>
      <c r="T65" s="71"/>
      <c r="U65" s="71"/>
      <c r="V65" s="72"/>
      <c r="W65" s="72"/>
      <c r="X65" s="73"/>
      <c r="Y65" s="73"/>
      <c r="Z65" s="73"/>
    </row>
    <row r="66" ht="12.0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1"/>
      <c r="T66" s="71"/>
      <c r="U66" s="71"/>
      <c r="V66" s="72"/>
      <c r="W66" s="72"/>
      <c r="X66" s="73"/>
      <c r="Y66" s="73"/>
      <c r="Z66" s="73"/>
    </row>
    <row r="67" ht="12.0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1"/>
      <c r="T67" s="71"/>
      <c r="U67" s="71"/>
      <c r="V67" s="72"/>
      <c r="W67" s="72"/>
      <c r="X67" s="73"/>
      <c r="Y67" s="73"/>
      <c r="Z67" s="73"/>
    </row>
    <row r="68" ht="12.0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1"/>
      <c r="T68" s="71"/>
      <c r="U68" s="71"/>
      <c r="V68" s="72"/>
      <c r="W68" s="72"/>
      <c r="X68" s="73"/>
      <c r="Y68" s="73"/>
      <c r="Z68" s="73"/>
    </row>
    <row r="69" ht="12.0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1"/>
      <c r="T69" s="71"/>
      <c r="U69" s="71"/>
      <c r="V69" s="72"/>
      <c r="W69" s="72"/>
      <c r="X69" s="73"/>
      <c r="Y69" s="73"/>
      <c r="Z69" s="73"/>
    </row>
    <row r="70" ht="12.0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1"/>
      <c r="T70" s="71"/>
      <c r="U70" s="71"/>
      <c r="V70" s="72"/>
      <c r="W70" s="72"/>
      <c r="X70" s="73"/>
      <c r="Y70" s="73"/>
      <c r="Z70" s="73"/>
    </row>
    <row r="71" ht="12.0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1"/>
      <c r="T71" s="71"/>
      <c r="U71" s="71"/>
      <c r="V71" s="72"/>
      <c r="W71" s="72"/>
      <c r="X71" s="73"/>
      <c r="Y71" s="73"/>
      <c r="Z71" s="73"/>
    </row>
    <row r="72" ht="12.0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1"/>
      <c r="T72" s="71"/>
      <c r="U72" s="71"/>
      <c r="V72" s="72"/>
      <c r="W72" s="72"/>
      <c r="X72" s="73"/>
      <c r="Y72" s="73"/>
      <c r="Z72" s="73"/>
    </row>
    <row r="73" ht="12.0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1"/>
      <c r="T73" s="71"/>
      <c r="U73" s="71"/>
      <c r="V73" s="72"/>
      <c r="W73" s="72"/>
      <c r="X73" s="73"/>
      <c r="Y73" s="73"/>
      <c r="Z73" s="73"/>
    </row>
    <row r="74" ht="12.0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1"/>
      <c r="T74" s="71"/>
      <c r="U74" s="71"/>
      <c r="V74" s="72"/>
      <c r="W74" s="72"/>
      <c r="X74" s="73"/>
      <c r="Y74" s="73"/>
      <c r="Z74" s="73"/>
    </row>
    <row r="75" ht="12.0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1"/>
      <c r="T75" s="71"/>
      <c r="U75" s="71"/>
      <c r="V75" s="72"/>
      <c r="W75" s="72"/>
      <c r="X75" s="73"/>
      <c r="Y75" s="73"/>
      <c r="Z75" s="73"/>
    </row>
    <row r="76" ht="12.0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1"/>
      <c r="T76" s="71"/>
      <c r="U76" s="71"/>
      <c r="V76" s="72"/>
      <c r="W76" s="72"/>
      <c r="X76" s="73"/>
      <c r="Y76" s="73"/>
      <c r="Z76" s="73"/>
    </row>
    <row r="77" ht="12.0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1"/>
      <c r="T77" s="71"/>
      <c r="U77" s="71"/>
      <c r="V77" s="72"/>
      <c r="W77" s="72"/>
      <c r="X77" s="73"/>
      <c r="Y77" s="73"/>
      <c r="Z77" s="73"/>
    </row>
    <row r="78" ht="12.0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1"/>
      <c r="T78" s="71"/>
      <c r="U78" s="71"/>
      <c r="V78" s="72"/>
      <c r="W78" s="72"/>
      <c r="X78" s="73"/>
      <c r="Y78" s="73"/>
      <c r="Z78" s="73"/>
    </row>
    <row r="79" ht="12.0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1"/>
      <c r="T79" s="71"/>
      <c r="U79" s="71"/>
      <c r="V79" s="72"/>
      <c r="W79" s="72"/>
      <c r="X79" s="73"/>
      <c r="Y79" s="73"/>
      <c r="Z79" s="73"/>
    </row>
    <row r="80" ht="12.0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1"/>
      <c r="T80" s="71"/>
      <c r="U80" s="71"/>
      <c r="V80" s="72"/>
      <c r="W80" s="72"/>
      <c r="X80" s="73"/>
      <c r="Y80" s="73"/>
      <c r="Z80" s="73"/>
    </row>
    <row r="81" ht="12.0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1"/>
      <c r="T81" s="71"/>
      <c r="U81" s="71"/>
      <c r="V81" s="72"/>
      <c r="W81" s="72"/>
      <c r="X81" s="73"/>
      <c r="Y81" s="73"/>
      <c r="Z81" s="73"/>
    </row>
    <row r="82" ht="12.0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1"/>
      <c r="T82" s="71"/>
      <c r="U82" s="71"/>
      <c r="V82" s="72"/>
      <c r="W82" s="72"/>
      <c r="X82" s="73"/>
      <c r="Y82" s="73"/>
      <c r="Z82" s="73"/>
    </row>
    <row r="83" ht="12.0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1"/>
      <c r="T83" s="71"/>
      <c r="U83" s="71"/>
      <c r="V83" s="72"/>
      <c r="W83" s="72"/>
      <c r="X83" s="73"/>
      <c r="Y83" s="73"/>
      <c r="Z83" s="73"/>
    </row>
    <row r="84" ht="12.0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1"/>
      <c r="T84" s="71"/>
      <c r="U84" s="71"/>
      <c r="V84" s="72"/>
      <c r="W84" s="72"/>
      <c r="X84" s="73"/>
      <c r="Y84" s="73"/>
      <c r="Z84" s="73"/>
    </row>
    <row r="85" ht="12.0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1"/>
      <c r="T85" s="71"/>
      <c r="U85" s="71"/>
      <c r="V85" s="72"/>
      <c r="W85" s="72"/>
      <c r="X85" s="73"/>
      <c r="Y85" s="73"/>
      <c r="Z85" s="73"/>
    </row>
    <row r="86" ht="12.0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1"/>
      <c r="T86" s="71"/>
      <c r="U86" s="71"/>
      <c r="V86" s="72"/>
      <c r="W86" s="72"/>
      <c r="X86" s="73"/>
      <c r="Y86" s="73"/>
      <c r="Z86" s="73"/>
    </row>
    <row r="87" ht="12.0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1"/>
      <c r="T87" s="71"/>
      <c r="U87" s="71"/>
      <c r="V87" s="72"/>
      <c r="W87" s="72"/>
      <c r="X87" s="73"/>
      <c r="Y87" s="73"/>
      <c r="Z87" s="73"/>
    </row>
    <row r="88" ht="12.0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1"/>
      <c r="T88" s="71"/>
      <c r="U88" s="71"/>
      <c r="V88" s="72"/>
      <c r="W88" s="72"/>
      <c r="X88" s="73"/>
      <c r="Y88" s="73"/>
      <c r="Z88" s="73"/>
    </row>
    <row r="89" ht="12.0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1"/>
      <c r="T89" s="71"/>
      <c r="U89" s="71"/>
      <c r="V89" s="72"/>
      <c r="W89" s="72"/>
      <c r="X89" s="73"/>
      <c r="Y89" s="73"/>
      <c r="Z89" s="73"/>
    </row>
    <row r="90" ht="12.0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1"/>
      <c r="T90" s="71"/>
      <c r="U90" s="71"/>
      <c r="V90" s="72"/>
      <c r="W90" s="72"/>
      <c r="X90" s="73"/>
      <c r="Y90" s="73"/>
      <c r="Z90" s="73"/>
    </row>
    <row r="91" ht="12.0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1"/>
      <c r="T91" s="71"/>
      <c r="U91" s="71"/>
      <c r="V91" s="72"/>
      <c r="W91" s="72"/>
      <c r="X91" s="73"/>
      <c r="Y91" s="73"/>
      <c r="Z91" s="73"/>
    </row>
    <row r="92" ht="12.0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1"/>
      <c r="T92" s="71"/>
      <c r="U92" s="71"/>
      <c r="V92" s="72"/>
      <c r="W92" s="72"/>
      <c r="X92" s="73"/>
      <c r="Y92" s="73"/>
      <c r="Z92" s="73"/>
    </row>
    <row r="93" ht="12.0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1"/>
      <c r="T93" s="71"/>
      <c r="U93" s="71"/>
      <c r="V93" s="72"/>
      <c r="W93" s="72"/>
      <c r="X93" s="73"/>
      <c r="Y93" s="73"/>
      <c r="Z93" s="73"/>
    </row>
    <row r="94" ht="12.0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1"/>
      <c r="T94" s="71"/>
      <c r="U94" s="71"/>
      <c r="V94" s="72"/>
      <c r="W94" s="72"/>
      <c r="X94" s="73"/>
      <c r="Y94" s="73"/>
      <c r="Z94" s="73"/>
    </row>
    <row r="95" ht="12.0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1"/>
      <c r="T95" s="71"/>
      <c r="U95" s="71"/>
      <c r="V95" s="72"/>
      <c r="W95" s="72"/>
      <c r="X95" s="73"/>
      <c r="Y95" s="73"/>
      <c r="Z95" s="73"/>
    </row>
    <row r="96" ht="12.0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1"/>
      <c r="T96" s="71"/>
      <c r="U96" s="71"/>
      <c r="V96" s="72"/>
      <c r="W96" s="72"/>
      <c r="X96" s="73"/>
      <c r="Y96" s="73"/>
      <c r="Z96" s="73"/>
    </row>
    <row r="97" ht="12.0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1"/>
      <c r="T97" s="71"/>
      <c r="U97" s="71"/>
      <c r="V97" s="72"/>
      <c r="W97" s="72"/>
      <c r="X97" s="73"/>
      <c r="Y97" s="73"/>
      <c r="Z97" s="73"/>
    </row>
    <row r="98" ht="12.0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1"/>
      <c r="T98" s="71"/>
      <c r="U98" s="71"/>
      <c r="V98" s="72"/>
      <c r="W98" s="72"/>
      <c r="X98" s="73"/>
      <c r="Y98" s="73"/>
      <c r="Z98" s="73"/>
    </row>
    <row r="99" ht="12.0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1"/>
      <c r="T99" s="71"/>
      <c r="U99" s="71"/>
      <c r="V99" s="72"/>
      <c r="W99" s="72"/>
      <c r="X99" s="73"/>
      <c r="Y99" s="73"/>
      <c r="Z99" s="73"/>
    </row>
    <row r="100" ht="12.0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1"/>
      <c r="T100" s="71"/>
      <c r="U100" s="71"/>
      <c r="V100" s="72"/>
      <c r="W100" s="72"/>
      <c r="X100" s="73"/>
      <c r="Y100" s="73"/>
      <c r="Z100" s="73"/>
    </row>
    <row r="101" ht="12.0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1"/>
      <c r="T101" s="71"/>
      <c r="U101" s="71"/>
      <c r="V101" s="72"/>
      <c r="W101" s="72"/>
      <c r="X101" s="73"/>
      <c r="Y101" s="73"/>
      <c r="Z101" s="73"/>
    </row>
    <row r="102" ht="12.0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1"/>
      <c r="T102" s="71"/>
      <c r="U102" s="71"/>
      <c r="V102" s="72"/>
      <c r="W102" s="72"/>
      <c r="X102" s="73"/>
      <c r="Y102" s="73"/>
      <c r="Z102" s="73"/>
    </row>
    <row r="103" ht="12.0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1"/>
      <c r="T103" s="71"/>
      <c r="U103" s="71"/>
      <c r="V103" s="72"/>
      <c r="W103" s="72"/>
      <c r="X103" s="73"/>
      <c r="Y103" s="73"/>
      <c r="Z103" s="73"/>
    </row>
    <row r="104" ht="12.0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1"/>
      <c r="T104" s="71"/>
      <c r="U104" s="71"/>
      <c r="V104" s="72"/>
      <c r="W104" s="72"/>
      <c r="X104" s="73"/>
      <c r="Y104" s="73"/>
      <c r="Z104" s="73"/>
    </row>
    <row r="105" ht="12.0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1"/>
      <c r="T105" s="71"/>
      <c r="U105" s="71"/>
      <c r="V105" s="72"/>
      <c r="W105" s="72"/>
      <c r="X105" s="73"/>
      <c r="Y105" s="73"/>
      <c r="Z105" s="73"/>
    </row>
    <row r="106" ht="12.0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1"/>
      <c r="T106" s="71"/>
      <c r="U106" s="71"/>
      <c r="V106" s="72"/>
      <c r="W106" s="72"/>
      <c r="X106" s="73"/>
      <c r="Y106" s="73"/>
      <c r="Z106" s="73"/>
    </row>
    <row r="107" ht="12.0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1"/>
      <c r="T107" s="71"/>
      <c r="U107" s="71"/>
      <c r="V107" s="72"/>
      <c r="W107" s="72"/>
      <c r="X107" s="73"/>
      <c r="Y107" s="73"/>
      <c r="Z107" s="73"/>
    </row>
    <row r="108" ht="12.0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1"/>
      <c r="T108" s="71"/>
      <c r="U108" s="71"/>
      <c r="V108" s="72"/>
      <c r="W108" s="72"/>
      <c r="X108" s="73"/>
      <c r="Y108" s="73"/>
      <c r="Z108" s="73"/>
    </row>
    <row r="109" ht="12.0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1"/>
      <c r="T109" s="71"/>
      <c r="U109" s="71"/>
      <c r="V109" s="72"/>
      <c r="W109" s="72"/>
      <c r="X109" s="73"/>
      <c r="Y109" s="73"/>
      <c r="Z109" s="73"/>
    </row>
    <row r="110" ht="12.0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1"/>
      <c r="T110" s="71"/>
      <c r="U110" s="71"/>
      <c r="V110" s="72"/>
      <c r="W110" s="72"/>
      <c r="X110" s="73"/>
      <c r="Y110" s="73"/>
      <c r="Z110" s="73"/>
    </row>
    <row r="111" ht="12.0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1"/>
      <c r="T111" s="71"/>
      <c r="U111" s="71"/>
      <c r="V111" s="72"/>
      <c r="W111" s="72"/>
      <c r="X111" s="73"/>
      <c r="Y111" s="73"/>
      <c r="Z111" s="73"/>
    </row>
    <row r="112" ht="12.0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1"/>
      <c r="T112" s="71"/>
      <c r="U112" s="71"/>
      <c r="V112" s="72"/>
      <c r="W112" s="72"/>
      <c r="X112" s="73"/>
      <c r="Y112" s="73"/>
      <c r="Z112" s="73"/>
    </row>
    <row r="113" ht="12.0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1"/>
      <c r="T113" s="71"/>
      <c r="U113" s="71"/>
      <c r="V113" s="72"/>
      <c r="W113" s="72"/>
      <c r="X113" s="73"/>
      <c r="Y113" s="73"/>
      <c r="Z113" s="73"/>
    </row>
    <row r="114" ht="12.0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1"/>
      <c r="T114" s="71"/>
      <c r="U114" s="71"/>
      <c r="V114" s="72"/>
      <c r="W114" s="72"/>
      <c r="X114" s="73"/>
      <c r="Y114" s="73"/>
      <c r="Z114" s="73"/>
    </row>
    <row r="115" ht="12.0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1"/>
      <c r="T115" s="71"/>
      <c r="U115" s="71"/>
      <c r="V115" s="72"/>
      <c r="W115" s="72"/>
      <c r="X115" s="73"/>
      <c r="Y115" s="73"/>
      <c r="Z115" s="73"/>
    </row>
    <row r="116" ht="12.0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1"/>
      <c r="T116" s="71"/>
      <c r="U116" s="71"/>
      <c r="V116" s="72"/>
      <c r="W116" s="72"/>
      <c r="X116" s="73"/>
      <c r="Y116" s="73"/>
      <c r="Z116" s="73"/>
    </row>
    <row r="117" ht="12.0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1"/>
      <c r="T117" s="71"/>
      <c r="U117" s="71"/>
      <c r="V117" s="72"/>
      <c r="W117" s="72"/>
      <c r="X117" s="73"/>
      <c r="Y117" s="73"/>
      <c r="Z117" s="73"/>
    </row>
    <row r="118" ht="12.0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1"/>
      <c r="T118" s="71"/>
      <c r="U118" s="71"/>
      <c r="V118" s="72"/>
      <c r="W118" s="72"/>
      <c r="X118" s="73"/>
      <c r="Y118" s="73"/>
      <c r="Z118" s="73"/>
    </row>
    <row r="119" ht="12.0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1"/>
      <c r="T119" s="71"/>
      <c r="U119" s="71"/>
      <c r="V119" s="72"/>
      <c r="W119" s="72"/>
      <c r="X119" s="73"/>
      <c r="Y119" s="73"/>
      <c r="Z119" s="73"/>
    </row>
    <row r="120" ht="12.0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1"/>
      <c r="T120" s="71"/>
      <c r="U120" s="71"/>
      <c r="V120" s="72"/>
      <c r="W120" s="72"/>
      <c r="X120" s="73"/>
      <c r="Y120" s="73"/>
      <c r="Z120" s="73"/>
    </row>
    <row r="121" ht="12.0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1"/>
      <c r="T121" s="71"/>
      <c r="U121" s="71"/>
      <c r="V121" s="72"/>
      <c r="W121" s="72"/>
      <c r="X121" s="73"/>
      <c r="Y121" s="73"/>
      <c r="Z121" s="73"/>
    </row>
    <row r="122" ht="12.0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1"/>
      <c r="T122" s="71"/>
      <c r="U122" s="71"/>
      <c r="V122" s="72"/>
      <c r="W122" s="72"/>
      <c r="X122" s="73"/>
      <c r="Y122" s="73"/>
      <c r="Z122" s="73"/>
    </row>
    <row r="123" ht="12.0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1"/>
      <c r="T123" s="71"/>
      <c r="U123" s="71"/>
      <c r="V123" s="72"/>
      <c r="W123" s="72"/>
      <c r="X123" s="73"/>
      <c r="Y123" s="73"/>
      <c r="Z123" s="73"/>
    </row>
    <row r="124" ht="12.0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1"/>
      <c r="T124" s="71"/>
      <c r="U124" s="71"/>
      <c r="V124" s="72"/>
      <c r="W124" s="72"/>
      <c r="X124" s="73"/>
      <c r="Y124" s="73"/>
      <c r="Z124" s="73"/>
    </row>
    <row r="125" ht="12.0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1"/>
      <c r="T125" s="71"/>
      <c r="U125" s="71"/>
      <c r="V125" s="72"/>
      <c r="W125" s="72"/>
      <c r="X125" s="73"/>
      <c r="Y125" s="73"/>
      <c r="Z125" s="73"/>
    </row>
    <row r="126" ht="12.0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1"/>
      <c r="T126" s="71"/>
      <c r="U126" s="71"/>
      <c r="V126" s="72"/>
      <c r="W126" s="72"/>
      <c r="X126" s="73"/>
      <c r="Y126" s="73"/>
      <c r="Z126" s="73"/>
    </row>
    <row r="127" ht="12.0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1"/>
      <c r="T127" s="71"/>
      <c r="U127" s="71"/>
      <c r="V127" s="72"/>
      <c r="W127" s="72"/>
      <c r="X127" s="73"/>
      <c r="Y127" s="73"/>
      <c r="Z127" s="73"/>
    </row>
    <row r="128" ht="12.0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1"/>
      <c r="T128" s="71"/>
      <c r="U128" s="71"/>
      <c r="V128" s="72"/>
      <c r="W128" s="72"/>
      <c r="X128" s="73"/>
      <c r="Y128" s="73"/>
      <c r="Z128" s="73"/>
    </row>
    <row r="129" ht="12.0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1"/>
      <c r="T129" s="71"/>
      <c r="U129" s="71"/>
      <c r="V129" s="72"/>
      <c r="W129" s="72"/>
      <c r="X129" s="73"/>
      <c r="Y129" s="73"/>
      <c r="Z129" s="73"/>
    </row>
    <row r="130" ht="12.0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1"/>
      <c r="T130" s="71"/>
      <c r="U130" s="71"/>
      <c r="V130" s="72"/>
      <c r="W130" s="72"/>
      <c r="X130" s="73"/>
      <c r="Y130" s="73"/>
      <c r="Z130" s="73"/>
    </row>
    <row r="131" ht="12.0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1"/>
      <c r="T131" s="71"/>
      <c r="U131" s="71"/>
      <c r="V131" s="72"/>
      <c r="W131" s="72"/>
      <c r="X131" s="73"/>
      <c r="Y131" s="73"/>
      <c r="Z131" s="73"/>
    </row>
    <row r="132" ht="12.0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1"/>
      <c r="T132" s="71"/>
      <c r="U132" s="71"/>
      <c r="V132" s="72"/>
      <c r="W132" s="72"/>
      <c r="X132" s="73"/>
      <c r="Y132" s="73"/>
      <c r="Z132" s="73"/>
    </row>
    <row r="133" ht="12.0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1"/>
      <c r="T133" s="71"/>
      <c r="U133" s="71"/>
      <c r="V133" s="72"/>
      <c r="W133" s="72"/>
      <c r="X133" s="73"/>
      <c r="Y133" s="73"/>
      <c r="Z133" s="73"/>
    </row>
    <row r="134" ht="12.0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1"/>
      <c r="T134" s="71"/>
      <c r="U134" s="71"/>
      <c r="V134" s="72"/>
      <c r="W134" s="72"/>
      <c r="X134" s="73"/>
      <c r="Y134" s="73"/>
      <c r="Z134" s="73"/>
    </row>
    <row r="135" ht="12.0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1"/>
      <c r="T135" s="71"/>
      <c r="U135" s="71"/>
      <c r="V135" s="72"/>
      <c r="W135" s="72"/>
      <c r="X135" s="73"/>
      <c r="Y135" s="73"/>
      <c r="Z135" s="73"/>
    </row>
    <row r="136" ht="12.0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1"/>
      <c r="T136" s="71"/>
      <c r="U136" s="71"/>
      <c r="V136" s="72"/>
      <c r="W136" s="72"/>
      <c r="X136" s="73"/>
      <c r="Y136" s="73"/>
      <c r="Z136" s="73"/>
    </row>
    <row r="137" ht="12.0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1"/>
      <c r="T137" s="71"/>
      <c r="U137" s="71"/>
      <c r="V137" s="72"/>
      <c r="W137" s="72"/>
      <c r="X137" s="73"/>
      <c r="Y137" s="73"/>
      <c r="Z137" s="73"/>
    </row>
    <row r="138" ht="12.0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1"/>
      <c r="T138" s="71"/>
      <c r="U138" s="71"/>
      <c r="V138" s="72"/>
      <c r="W138" s="72"/>
      <c r="X138" s="73"/>
      <c r="Y138" s="73"/>
      <c r="Z138" s="73"/>
    </row>
    <row r="139" ht="12.0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1"/>
      <c r="T139" s="71"/>
      <c r="U139" s="71"/>
      <c r="V139" s="72"/>
      <c r="W139" s="72"/>
      <c r="X139" s="73"/>
      <c r="Y139" s="73"/>
      <c r="Z139" s="73"/>
    </row>
    <row r="140" ht="12.0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1"/>
      <c r="T140" s="71"/>
      <c r="U140" s="71"/>
      <c r="V140" s="72"/>
      <c r="W140" s="72"/>
      <c r="X140" s="73"/>
      <c r="Y140" s="73"/>
      <c r="Z140" s="73"/>
    </row>
    <row r="141" ht="12.0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1"/>
      <c r="T141" s="71"/>
      <c r="U141" s="71"/>
      <c r="V141" s="72"/>
      <c r="W141" s="72"/>
      <c r="X141" s="73"/>
      <c r="Y141" s="73"/>
      <c r="Z141" s="73"/>
    </row>
    <row r="142" ht="12.0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1"/>
      <c r="T142" s="71"/>
      <c r="U142" s="71"/>
      <c r="V142" s="72"/>
      <c r="W142" s="72"/>
      <c r="X142" s="73"/>
      <c r="Y142" s="73"/>
      <c r="Z142" s="73"/>
    </row>
    <row r="143" ht="12.0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1"/>
      <c r="T143" s="71"/>
      <c r="U143" s="71"/>
      <c r="V143" s="72"/>
      <c r="W143" s="72"/>
      <c r="X143" s="73"/>
      <c r="Y143" s="73"/>
      <c r="Z143" s="73"/>
    </row>
    <row r="144" ht="12.0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1"/>
      <c r="T144" s="71"/>
      <c r="U144" s="71"/>
      <c r="V144" s="72"/>
      <c r="W144" s="72"/>
      <c r="X144" s="73"/>
      <c r="Y144" s="73"/>
      <c r="Z144" s="73"/>
    </row>
    <row r="145" ht="12.0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1"/>
      <c r="T145" s="71"/>
      <c r="U145" s="71"/>
      <c r="V145" s="72"/>
      <c r="W145" s="72"/>
      <c r="X145" s="73"/>
      <c r="Y145" s="73"/>
      <c r="Z145" s="73"/>
    </row>
    <row r="146" ht="12.0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1"/>
      <c r="T146" s="71"/>
      <c r="U146" s="71"/>
      <c r="V146" s="72"/>
      <c r="W146" s="72"/>
      <c r="X146" s="73"/>
      <c r="Y146" s="73"/>
      <c r="Z146" s="73"/>
    </row>
    <row r="147" ht="12.0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1"/>
      <c r="T147" s="71"/>
      <c r="U147" s="71"/>
      <c r="V147" s="72"/>
      <c r="W147" s="72"/>
      <c r="X147" s="73"/>
      <c r="Y147" s="73"/>
      <c r="Z147" s="73"/>
    </row>
    <row r="148" ht="12.0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1"/>
      <c r="T148" s="71"/>
      <c r="U148" s="71"/>
      <c r="V148" s="72"/>
      <c r="W148" s="72"/>
      <c r="X148" s="73"/>
      <c r="Y148" s="73"/>
      <c r="Z148" s="73"/>
    </row>
    <row r="149" ht="12.0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1"/>
      <c r="T149" s="71"/>
      <c r="U149" s="71"/>
      <c r="V149" s="72"/>
      <c r="W149" s="72"/>
      <c r="X149" s="73"/>
      <c r="Y149" s="73"/>
      <c r="Z149" s="73"/>
    </row>
    <row r="150" ht="12.0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1"/>
      <c r="T150" s="71"/>
      <c r="U150" s="71"/>
      <c r="V150" s="72"/>
      <c r="W150" s="72"/>
      <c r="X150" s="73"/>
      <c r="Y150" s="73"/>
      <c r="Z150" s="73"/>
    </row>
    <row r="151" ht="12.0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1"/>
      <c r="T151" s="71"/>
      <c r="U151" s="71"/>
      <c r="V151" s="72"/>
      <c r="W151" s="72"/>
      <c r="X151" s="73"/>
      <c r="Y151" s="73"/>
      <c r="Z151" s="73"/>
    </row>
    <row r="152" ht="12.0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1"/>
      <c r="T152" s="71"/>
      <c r="U152" s="71"/>
      <c r="V152" s="72"/>
      <c r="W152" s="72"/>
      <c r="X152" s="73"/>
      <c r="Y152" s="73"/>
      <c r="Z152" s="73"/>
    </row>
    <row r="153" ht="12.0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1"/>
      <c r="T153" s="71"/>
      <c r="U153" s="71"/>
      <c r="V153" s="72"/>
      <c r="W153" s="72"/>
      <c r="X153" s="73"/>
      <c r="Y153" s="73"/>
      <c r="Z153" s="73"/>
    </row>
    <row r="154" ht="12.0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1"/>
      <c r="T154" s="71"/>
      <c r="U154" s="71"/>
      <c r="V154" s="72"/>
      <c r="W154" s="72"/>
      <c r="X154" s="73"/>
      <c r="Y154" s="73"/>
      <c r="Z154" s="73"/>
    </row>
    <row r="155" ht="12.0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1"/>
      <c r="T155" s="71"/>
      <c r="U155" s="71"/>
      <c r="V155" s="72"/>
      <c r="W155" s="72"/>
      <c r="X155" s="73"/>
      <c r="Y155" s="73"/>
      <c r="Z155" s="73"/>
    </row>
    <row r="156" ht="12.0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1"/>
      <c r="T156" s="71"/>
      <c r="U156" s="71"/>
      <c r="V156" s="72"/>
      <c r="W156" s="72"/>
      <c r="X156" s="73"/>
      <c r="Y156" s="73"/>
      <c r="Z156" s="73"/>
    </row>
    <row r="157" ht="12.0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1"/>
      <c r="T157" s="71"/>
      <c r="U157" s="71"/>
      <c r="V157" s="72"/>
      <c r="W157" s="72"/>
      <c r="X157" s="73"/>
      <c r="Y157" s="73"/>
      <c r="Z157" s="73"/>
    </row>
    <row r="158" ht="12.0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1"/>
      <c r="T158" s="71"/>
      <c r="U158" s="71"/>
      <c r="V158" s="72"/>
      <c r="W158" s="72"/>
      <c r="X158" s="73"/>
      <c r="Y158" s="73"/>
      <c r="Z158" s="73"/>
    </row>
    <row r="159" ht="12.0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1"/>
      <c r="T159" s="71"/>
      <c r="U159" s="71"/>
      <c r="V159" s="72"/>
      <c r="W159" s="72"/>
      <c r="X159" s="73"/>
      <c r="Y159" s="73"/>
      <c r="Z159" s="73"/>
    </row>
    <row r="160" ht="12.0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1"/>
      <c r="T160" s="71"/>
      <c r="U160" s="71"/>
      <c r="V160" s="72"/>
      <c r="W160" s="72"/>
      <c r="X160" s="73"/>
      <c r="Y160" s="73"/>
      <c r="Z160" s="73"/>
    </row>
    <row r="161" ht="12.0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1"/>
      <c r="T161" s="71"/>
      <c r="U161" s="71"/>
      <c r="V161" s="72"/>
      <c r="W161" s="72"/>
      <c r="X161" s="73"/>
      <c r="Y161" s="73"/>
      <c r="Z161" s="73"/>
    </row>
    <row r="162" ht="12.0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1"/>
      <c r="T162" s="71"/>
      <c r="U162" s="71"/>
      <c r="V162" s="72"/>
      <c r="W162" s="72"/>
      <c r="X162" s="73"/>
      <c r="Y162" s="73"/>
      <c r="Z162" s="73"/>
    </row>
    <row r="163" ht="12.0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1"/>
      <c r="T163" s="71"/>
      <c r="U163" s="71"/>
      <c r="V163" s="72"/>
      <c r="W163" s="72"/>
      <c r="X163" s="73"/>
      <c r="Y163" s="73"/>
      <c r="Z163" s="73"/>
    </row>
    <row r="164" ht="12.0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1"/>
      <c r="T164" s="71"/>
      <c r="U164" s="71"/>
      <c r="V164" s="72"/>
      <c r="W164" s="72"/>
      <c r="X164" s="73"/>
      <c r="Y164" s="73"/>
      <c r="Z164" s="73"/>
    </row>
    <row r="165" ht="12.0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1"/>
      <c r="T165" s="71"/>
      <c r="U165" s="71"/>
      <c r="V165" s="72"/>
      <c r="W165" s="72"/>
      <c r="X165" s="73"/>
      <c r="Y165" s="73"/>
      <c r="Z165" s="73"/>
    </row>
    <row r="166" ht="12.0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1"/>
      <c r="T166" s="71"/>
      <c r="U166" s="71"/>
      <c r="V166" s="72"/>
      <c r="W166" s="72"/>
      <c r="X166" s="73"/>
      <c r="Y166" s="73"/>
      <c r="Z166" s="73"/>
    </row>
    <row r="167" ht="12.0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1"/>
      <c r="T167" s="71"/>
      <c r="U167" s="71"/>
      <c r="V167" s="72"/>
      <c r="W167" s="72"/>
      <c r="X167" s="73"/>
      <c r="Y167" s="73"/>
      <c r="Z167" s="73"/>
    </row>
    <row r="168" ht="12.0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1"/>
      <c r="T168" s="71"/>
      <c r="U168" s="71"/>
      <c r="V168" s="72"/>
      <c r="W168" s="72"/>
      <c r="X168" s="73"/>
      <c r="Y168" s="73"/>
      <c r="Z168" s="73"/>
    </row>
    <row r="169" ht="12.0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1"/>
      <c r="T169" s="71"/>
      <c r="U169" s="71"/>
      <c r="V169" s="72"/>
      <c r="W169" s="72"/>
      <c r="X169" s="73"/>
      <c r="Y169" s="73"/>
      <c r="Z169" s="73"/>
    </row>
    <row r="170" ht="12.0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1"/>
      <c r="T170" s="71"/>
      <c r="U170" s="71"/>
      <c r="V170" s="72"/>
      <c r="W170" s="72"/>
      <c r="X170" s="73"/>
      <c r="Y170" s="73"/>
      <c r="Z170" s="73"/>
    </row>
    <row r="171" ht="12.0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1"/>
      <c r="T171" s="71"/>
      <c r="U171" s="71"/>
      <c r="V171" s="72"/>
      <c r="W171" s="72"/>
      <c r="X171" s="73"/>
      <c r="Y171" s="73"/>
      <c r="Z171" s="73"/>
    </row>
    <row r="172" ht="12.0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1"/>
      <c r="T172" s="71"/>
      <c r="U172" s="71"/>
      <c r="V172" s="72"/>
      <c r="W172" s="72"/>
      <c r="X172" s="73"/>
      <c r="Y172" s="73"/>
      <c r="Z172" s="73"/>
    </row>
    <row r="173" ht="12.0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1"/>
      <c r="T173" s="71"/>
      <c r="U173" s="71"/>
      <c r="V173" s="72"/>
      <c r="W173" s="72"/>
      <c r="X173" s="73"/>
      <c r="Y173" s="73"/>
      <c r="Z173" s="73"/>
    </row>
    <row r="174" ht="12.0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1"/>
      <c r="T174" s="71"/>
      <c r="U174" s="71"/>
      <c r="V174" s="72"/>
      <c r="W174" s="72"/>
      <c r="X174" s="73"/>
      <c r="Y174" s="73"/>
      <c r="Z174" s="73"/>
    </row>
    <row r="175" ht="12.0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1"/>
      <c r="T175" s="71"/>
      <c r="U175" s="71"/>
      <c r="V175" s="72"/>
      <c r="W175" s="72"/>
      <c r="X175" s="73"/>
      <c r="Y175" s="73"/>
      <c r="Z175" s="73"/>
    </row>
    <row r="176" ht="12.0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1"/>
      <c r="T176" s="71"/>
      <c r="U176" s="71"/>
      <c r="V176" s="72"/>
      <c r="W176" s="72"/>
      <c r="X176" s="73"/>
      <c r="Y176" s="73"/>
      <c r="Z176" s="73"/>
    </row>
    <row r="177" ht="12.0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1"/>
      <c r="T177" s="71"/>
      <c r="U177" s="71"/>
      <c r="V177" s="72"/>
      <c r="W177" s="72"/>
      <c r="X177" s="73"/>
      <c r="Y177" s="73"/>
      <c r="Z177" s="73"/>
    </row>
    <row r="178" ht="12.0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1"/>
      <c r="T178" s="71"/>
      <c r="U178" s="71"/>
      <c r="V178" s="72"/>
      <c r="W178" s="72"/>
      <c r="X178" s="73"/>
      <c r="Y178" s="73"/>
      <c r="Z178" s="73"/>
    </row>
    <row r="179" ht="12.0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1"/>
      <c r="T179" s="71"/>
      <c r="U179" s="71"/>
      <c r="V179" s="72"/>
      <c r="W179" s="72"/>
      <c r="X179" s="73"/>
      <c r="Y179" s="73"/>
      <c r="Z179" s="73"/>
    </row>
    <row r="180" ht="12.0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1"/>
      <c r="T180" s="71"/>
      <c r="U180" s="71"/>
      <c r="V180" s="72"/>
      <c r="W180" s="72"/>
      <c r="X180" s="73"/>
      <c r="Y180" s="73"/>
      <c r="Z180" s="73"/>
    </row>
    <row r="181" ht="12.0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1"/>
      <c r="T181" s="71"/>
      <c r="U181" s="71"/>
      <c r="V181" s="72"/>
      <c r="W181" s="72"/>
      <c r="X181" s="73"/>
      <c r="Y181" s="73"/>
      <c r="Z181" s="73"/>
    </row>
    <row r="182" ht="12.0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1"/>
      <c r="T182" s="71"/>
      <c r="U182" s="71"/>
      <c r="V182" s="72"/>
      <c r="W182" s="72"/>
      <c r="X182" s="73"/>
      <c r="Y182" s="73"/>
      <c r="Z182" s="73"/>
    </row>
    <row r="183" ht="12.0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1"/>
      <c r="T183" s="71"/>
      <c r="U183" s="71"/>
      <c r="V183" s="72"/>
      <c r="W183" s="72"/>
      <c r="X183" s="73"/>
      <c r="Y183" s="73"/>
      <c r="Z183" s="73"/>
    </row>
    <row r="184" ht="12.0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1"/>
      <c r="T184" s="71"/>
      <c r="U184" s="71"/>
      <c r="V184" s="72"/>
      <c r="W184" s="72"/>
      <c r="X184" s="73"/>
      <c r="Y184" s="73"/>
      <c r="Z184" s="73"/>
    </row>
    <row r="185" ht="12.0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1"/>
      <c r="T185" s="71"/>
      <c r="U185" s="71"/>
      <c r="V185" s="72"/>
      <c r="W185" s="72"/>
      <c r="X185" s="73"/>
      <c r="Y185" s="73"/>
      <c r="Z185" s="73"/>
    </row>
    <row r="186" ht="12.0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1"/>
      <c r="T186" s="71"/>
      <c r="U186" s="71"/>
      <c r="V186" s="72"/>
      <c r="W186" s="72"/>
      <c r="X186" s="73"/>
      <c r="Y186" s="73"/>
      <c r="Z186" s="73"/>
    </row>
    <row r="187" ht="12.0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1"/>
      <c r="T187" s="71"/>
      <c r="U187" s="71"/>
      <c r="V187" s="72"/>
      <c r="W187" s="72"/>
      <c r="X187" s="73"/>
      <c r="Y187" s="73"/>
      <c r="Z187" s="73"/>
    </row>
    <row r="188" ht="12.0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1"/>
      <c r="T188" s="71"/>
      <c r="U188" s="71"/>
      <c r="V188" s="72"/>
      <c r="W188" s="72"/>
      <c r="X188" s="73"/>
      <c r="Y188" s="73"/>
      <c r="Z188" s="73"/>
    </row>
    <row r="189" ht="12.0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1"/>
      <c r="T189" s="71"/>
      <c r="U189" s="71"/>
      <c r="V189" s="72"/>
      <c r="W189" s="72"/>
      <c r="X189" s="73"/>
      <c r="Y189" s="73"/>
      <c r="Z189" s="73"/>
    </row>
    <row r="190" ht="12.0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1"/>
      <c r="T190" s="71"/>
      <c r="U190" s="71"/>
      <c r="V190" s="72"/>
      <c r="W190" s="72"/>
      <c r="X190" s="73"/>
      <c r="Y190" s="73"/>
      <c r="Z190" s="73"/>
    </row>
    <row r="191" ht="12.0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1"/>
      <c r="T191" s="71"/>
      <c r="U191" s="71"/>
      <c r="V191" s="72"/>
      <c r="W191" s="72"/>
      <c r="X191" s="73"/>
      <c r="Y191" s="73"/>
      <c r="Z191" s="73"/>
    </row>
    <row r="192" ht="12.0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1"/>
      <c r="T192" s="71"/>
      <c r="U192" s="71"/>
      <c r="V192" s="72"/>
      <c r="W192" s="72"/>
      <c r="X192" s="73"/>
      <c r="Y192" s="73"/>
      <c r="Z192" s="73"/>
    </row>
    <row r="193" ht="12.0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1"/>
      <c r="T193" s="71"/>
      <c r="U193" s="71"/>
      <c r="V193" s="72"/>
      <c r="W193" s="72"/>
      <c r="X193" s="73"/>
      <c r="Y193" s="73"/>
      <c r="Z193" s="73"/>
    </row>
    <row r="194" ht="12.0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1"/>
      <c r="T194" s="71"/>
      <c r="U194" s="71"/>
      <c r="V194" s="72"/>
      <c r="W194" s="72"/>
      <c r="X194" s="73"/>
      <c r="Y194" s="73"/>
      <c r="Z194" s="73"/>
    </row>
    <row r="195" ht="12.0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1"/>
      <c r="T195" s="71"/>
      <c r="U195" s="71"/>
      <c r="V195" s="72"/>
      <c r="W195" s="72"/>
      <c r="X195" s="73"/>
      <c r="Y195" s="73"/>
      <c r="Z195" s="73"/>
    </row>
    <row r="196" ht="12.0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1"/>
      <c r="T196" s="71"/>
      <c r="U196" s="71"/>
      <c r="V196" s="72"/>
      <c r="W196" s="72"/>
      <c r="X196" s="73"/>
      <c r="Y196" s="73"/>
      <c r="Z196" s="73"/>
    </row>
    <row r="197" ht="12.0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1"/>
      <c r="T197" s="71"/>
      <c r="U197" s="71"/>
      <c r="V197" s="72"/>
      <c r="W197" s="72"/>
      <c r="X197" s="73"/>
      <c r="Y197" s="73"/>
      <c r="Z197" s="73"/>
    </row>
    <row r="198" ht="12.0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1"/>
      <c r="T198" s="71"/>
      <c r="U198" s="71"/>
      <c r="V198" s="72"/>
      <c r="W198" s="72"/>
      <c r="X198" s="73"/>
      <c r="Y198" s="73"/>
      <c r="Z198" s="73"/>
    </row>
    <row r="199" ht="12.0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1"/>
      <c r="T199" s="71"/>
      <c r="U199" s="71"/>
      <c r="V199" s="72"/>
      <c r="W199" s="72"/>
      <c r="X199" s="73"/>
      <c r="Y199" s="73"/>
      <c r="Z199" s="73"/>
    </row>
    <row r="200" ht="12.0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1"/>
      <c r="T200" s="71"/>
      <c r="U200" s="71"/>
      <c r="V200" s="72"/>
      <c r="W200" s="72"/>
      <c r="X200" s="73"/>
      <c r="Y200" s="73"/>
      <c r="Z200" s="73"/>
    </row>
    <row r="201" ht="12.0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1"/>
      <c r="T201" s="71"/>
      <c r="U201" s="71"/>
      <c r="V201" s="72"/>
      <c r="W201" s="72"/>
      <c r="X201" s="73"/>
      <c r="Y201" s="73"/>
      <c r="Z201" s="73"/>
    </row>
    <row r="202" ht="12.0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1"/>
      <c r="T202" s="71"/>
      <c r="U202" s="71"/>
      <c r="V202" s="72"/>
      <c r="W202" s="72"/>
      <c r="X202" s="73"/>
      <c r="Y202" s="73"/>
      <c r="Z202" s="73"/>
    </row>
    <row r="203" ht="12.0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1"/>
      <c r="T203" s="71"/>
      <c r="U203" s="71"/>
      <c r="V203" s="72"/>
      <c r="W203" s="72"/>
      <c r="X203" s="73"/>
      <c r="Y203" s="73"/>
      <c r="Z203" s="73"/>
    </row>
    <row r="204" ht="12.0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1"/>
      <c r="T204" s="71"/>
      <c r="U204" s="71"/>
      <c r="V204" s="72"/>
      <c r="W204" s="72"/>
      <c r="X204" s="73"/>
      <c r="Y204" s="73"/>
      <c r="Z204" s="73"/>
    </row>
    <row r="205" ht="12.0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1"/>
      <c r="T205" s="71"/>
      <c r="U205" s="71"/>
      <c r="V205" s="72"/>
      <c r="W205" s="72"/>
      <c r="X205" s="73"/>
      <c r="Y205" s="73"/>
      <c r="Z205" s="73"/>
    </row>
    <row r="206" ht="12.0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1"/>
      <c r="T206" s="71"/>
      <c r="U206" s="71"/>
      <c r="V206" s="72"/>
      <c r="W206" s="72"/>
      <c r="X206" s="73"/>
      <c r="Y206" s="73"/>
      <c r="Z206" s="73"/>
    </row>
    <row r="207" ht="12.0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1"/>
      <c r="T207" s="71"/>
      <c r="U207" s="71"/>
      <c r="V207" s="72"/>
      <c r="W207" s="72"/>
      <c r="X207" s="73"/>
      <c r="Y207" s="73"/>
      <c r="Z207" s="73"/>
    </row>
    <row r="208" ht="12.0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1"/>
      <c r="T208" s="71"/>
      <c r="U208" s="71"/>
      <c r="V208" s="72"/>
      <c r="W208" s="72"/>
      <c r="X208" s="73"/>
      <c r="Y208" s="73"/>
      <c r="Z208" s="73"/>
    </row>
    <row r="209" ht="12.0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1"/>
      <c r="T209" s="71"/>
      <c r="U209" s="71"/>
      <c r="V209" s="72"/>
      <c r="W209" s="72"/>
      <c r="X209" s="73"/>
      <c r="Y209" s="73"/>
      <c r="Z209" s="73"/>
    </row>
    <row r="210" ht="12.0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1"/>
      <c r="T210" s="71"/>
      <c r="U210" s="71"/>
      <c r="V210" s="72"/>
      <c r="W210" s="72"/>
      <c r="X210" s="73"/>
      <c r="Y210" s="73"/>
      <c r="Z210" s="73"/>
    </row>
    <row r="211" ht="12.0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1"/>
      <c r="T211" s="71"/>
      <c r="U211" s="71"/>
      <c r="V211" s="72"/>
      <c r="W211" s="72"/>
      <c r="X211" s="73"/>
      <c r="Y211" s="73"/>
      <c r="Z211" s="73"/>
    </row>
    <row r="212" ht="12.0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1"/>
      <c r="T212" s="71"/>
      <c r="U212" s="71"/>
      <c r="V212" s="72"/>
      <c r="W212" s="72"/>
      <c r="X212" s="73"/>
      <c r="Y212" s="73"/>
      <c r="Z212" s="73"/>
    </row>
    <row r="213" ht="12.0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1"/>
      <c r="T213" s="71"/>
      <c r="U213" s="71"/>
      <c r="V213" s="72"/>
      <c r="W213" s="72"/>
      <c r="X213" s="73"/>
      <c r="Y213" s="73"/>
      <c r="Z213" s="73"/>
    </row>
    <row r="214" ht="12.0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1"/>
      <c r="T214" s="71"/>
      <c r="U214" s="71"/>
      <c r="V214" s="72"/>
      <c r="W214" s="72"/>
      <c r="X214" s="73"/>
      <c r="Y214" s="73"/>
      <c r="Z214" s="73"/>
    </row>
    <row r="215" ht="12.0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1"/>
      <c r="T215" s="71"/>
      <c r="U215" s="71"/>
      <c r="V215" s="72"/>
      <c r="W215" s="72"/>
      <c r="X215" s="73"/>
      <c r="Y215" s="73"/>
      <c r="Z215" s="73"/>
    </row>
    <row r="216" ht="12.0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1"/>
      <c r="T216" s="71"/>
      <c r="U216" s="71"/>
      <c r="V216" s="72"/>
      <c r="W216" s="72"/>
      <c r="X216" s="73"/>
      <c r="Y216" s="73"/>
      <c r="Z216" s="73"/>
    </row>
    <row r="217" ht="12.0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1"/>
      <c r="T217" s="71"/>
      <c r="U217" s="71"/>
      <c r="V217" s="72"/>
      <c r="W217" s="72"/>
      <c r="X217" s="73"/>
      <c r="Y217" s="73"/>
      <c r="Z217" s="73"/>
    </row>
    <row r="218" ht="12.0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1"/>
      <c r="T218" s="71"/>
      <c r="U218" s="71"/>
      <c r="V218" s="72"/>
      <c r="W218" s="72"/>
      <c r="X218" s="73"/>
      <c r="Y218" s="73"/>
      <c r="Z218" s="73"/>
    </row>
    <row r="219" ht="12.0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1"/>
      <c r="T219" s="71"/>
      <c r="U219" s="71"/>
      <c r="V219" s="72"/>
      <c r="W219" s="72"/>
      <c r="X219" s="73"/>
      <c r="Y219" s="73"/>
      <c r="Z219" s="73"/>
    </row>
    <row r="220" ht="12.0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1"/>
      <c r="T220" s="71"/>
      <c r="U220" s="71"/>
      <c r="V220" s="72"/>
      <c r="W220" s="72"/>
      <c r="X220" s="73"/>
      <c r="Y220" s="73"/>
      <c r="Z220" s="73"/>
    </row>
    <row r="221" ht="12.0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1"/>
      <c r="T221" s="71"/>
      <c r="U221" s="71"/>
      <c r="V221" s="72"/>
      <c r="W221" s="72"/>
      <c r="X221" s="73"/>
      <c r="Y221" s="73"/>
      <c r="Z221" s="73"/>
    </row>
    <row r="222" ht="12.0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1"/>
      <c r="T222" s="71"/>
      <c r="U222" s="71"/>
      <c r="V222" s="72"/>
      <c r="W222" s="72"/>
      <c r="X222" s="73"/>
      <c r="Y222" s="73"/>
      <c r="Z222" s="73"/>
    </row>
    <row r="223" ht="12.0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1"/>
      <c r="T223" s="71"/>
      <c r="U223" s="71"/>
      <c r="V223" s="72"/>
      <c r="W223" s="72"/>
      <c r="X223" s="73"/>
      <c r="Y223" s="73"/>
      <c r="Z223" s="73"/>
    </row>
    <row r="224" ht="12.0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1"/>
      <c r="T224" s="71"/>
      <c r="U224" s="71"/>
      <c r="V224" s="72"/>
      <c r="W224" s="72"/>
      <c r="X224" s="73"/>
      <c r="Y224" s="73"/>
      <c r="Z224" s="73"/>
    </row>
    <row r="225" ht="12.0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1"/>
      <c r="T225" s="71"/>
      <c r="U225" s="71"/>
      <c r="V225" s="72"/>
      <c r="W225" s="72"/>
      <c r="X225" s="73"/>
      <c r="Y225" s="73"/>
      <c r="Z225" s="73"/>
    </row>
    <row r="226" ht="12.0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1"/>
      <c r="T226" s="71"/>
      <c r="U226" s="71"/>
      <c r="V226" s="72"/>
      <c r="W226" s="72"/>
      <c r="X226" s="73"/>
      <c r="Y226" s="73"/>
      <c r="Z226" s="73"/>
    </row>
    <row r="227" ht="12.0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1"/>
      <c r="T227" s="71"/>
      <c r="U227" s="71"/>
      <c r="V227" s="72"/>
      <c r="W227" s="72"/>
      <c r="X227" s="73"/>
      <c r="Y227" s="73"/>
      <c r="Z227" s="73"/>
    </row>
    <row r="228" ht="12.0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1"/>
      <c r="T228" s="71"/>
      <c r="U228" s="71"/>
      <c r="V228" s="72"/>
      <c r="W228" s="72"/>
      <c r="X228" s="73"/>
      <c r="Y228" s="73"/>
      <c r="Z228" s="73"/>
    </row>
    <row r="229" ht="12.0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1"/>
      <c r="T229" s="71"/>
      <c r="U229" s="71"/>
      <c r="V229" s="72"/>
      <c r="W229" s="72"/>
      <c r="X229" s="73"/>
      <c r="Y229" s="73"/>
      <c r="Z229" s="73"/>
    </row>
    <row r="230" ht="12.0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1"/>
      <c r="T230" s="71"/>
      <c r="U230" s="71"/>
      <c r="V230" s="72"/>
      <c r="W230" s="72"/>
      <c r="X230" s="73"/>
      <c r="Y230" s="73"/>
      <c r="Z230" s="73"/>
    </row>
    <row r="231" ht="12.0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1"/>
      <c r="T231" s="71"/>
      <c r="U231" s="71"/>
      <c r="V231" s="72"/>
      <c r="W231" s="72"/>
      <c r="X231" s="73"/>
      <c r="Y231" s="73"/>
      <c r="Z231" s="73"/>
    </row>
    <row r="232" ht="12.0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1"/>
      <c r="T232" s="71"/>
      <c r="U232" s="71"/>
      <c r="V232" s="72"/>
      <c r="W232" s="72"/>
      <c r="X232" s="73"/>
      <c r="Y232" s="73"/>
      <c r="Z232" s="73"/>
    </row>
    <row r="233" ht="12.0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1"/>
      <c r="T233" s="71"/>
      <c r="U233" s="71"/>
      <c r="V233" s="72"/>
      <c r="W233" s="72"/>
      <c r="X233" s="73"/>
      <c r="Y233" s="73"/>
      <c r="Z233" s="73"/>
    </row>
    <row r="234" ht="12.0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1"/>
      <c r="T234" s="71"/>
      <c r="U234" s="71"/>
      <c r="V234" s="72"/>
      <c r="W234" s="72"/>
      <c r="X234" s="73"/>
      <c r="Y234" s="73"/>
      <c r="Z234" s="73"/>
    </row>
    <row r="235" ht="12.0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1"/>
      <c r="T235" s="71"/>
      <c r="U235" s="71"/>
      <c r="V235" s="72"/>
      <c r="W235" s="72"/>
      <c r="X235" s="73"/>
      <c r="Y235" s="73"/>
      <c r="Z235" s="73"/>
    </row>
    <row r="236" ht="12.0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1"/>
      <c r="T236" s="71"/>
      <c r="U236" s="71"/>
      <c r="V236" s="72"/>
      <c r="W236" s="72"/>
      <c r="X236" s="73"/>
      <c r="Y236" s="73"/>
      <c r="Z236" s="73"/>
    </row>
    <row r="237" ht="12.0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1"/>
      <c r="T237" s="71"/>
      <c r="U237" s="71"/>
      <c r="V237" s="72"/>
      <c r="W237" s="72"/>
      <c r="X237" s="73"/>
      <c r="Y237" s="73"/>
      <c r="Z237" s="73"/>
    </row>
    <row r="238" ht="12.0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1"/>
      <c r="T238" s="71"/>
      <c r="U238" s="71"/>
      <c r="V238" s="72"/>
      <c r="W238" s="72"/>
      <c r="X238" s="73"/>
      <c r="Y238" s="73"/>
      <c r="Z238" s="73"/>
    </row>
    <row r="239" ht="12.0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1"/>
      <c r="T239" s="71"/>
      <c r="U239" s="71"/>
      <c r="V239" s="72"/>
      <c r="W239" s="72"/>
      <c r="X239" s="73"/>
      <c r="Y239" s="73"/>
      <c r="Z239" s="73"/>
    </row>
    <row r="240" ht="12.0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1"/>
      <c r="T240" s="71"/>
      <c r="U240" s="71"/>
      <c r="V240" s="72"/>
      <c r="W240" s="72"/>
      <c r="X240" s="73"/>
      <c r="Y240" s="73"/>
      <c r="Z240" s="73"/>
    </row>
    <row r="241" ht="12.0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1"/>
      <c r="T241" s="71"/>
      <c r="U241" s="71"/>
      <c r="V241" s="72"/>
      <c r="W241" s="72"/>
      <c r="X241" s="73"/>
      <c r="Y241" s="73"/>
      <c r="Z241" s="73"/>
    </row>
    <row r="242" ht="12.0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1"/>
      <c r="T242" s="71"/>
      <c r="U242" s="71"/>
      <c r="V242" s="72"/>
      <c r="W242" s="72"/>
      <c r="X242" s="73"/>
      <c r="Y242" s="73"/>
      <c r="Z242" s="73"/>
    </row>
    <row r="243" ht="12.0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1"/>
      <c r="T243" s="71"/>
      <c r="U243" s="71"/>
      <c r="V243" s="72"/>
      <c r="W243" s="72"/>
      <c r="X243" s="73"/>
      <c r="Y243" s="73"/>
      <c r="Z243" s="73"/>
    </row>
    <row r="244" ht="12.0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1"/>
      <c r="T244" s="71"/>
      <c r="U244" s="71"/>
      <c r="V244" s="72"/>
      <c r="W244" s="72"/>
      <c r="X244" s="73"/>
      <c r="Y244" s="73"/>
      <c r="Z244" s="73"/>
    </row>
    <row r="245" ht="12.0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1"/>
      <c r="T245" s="71"/>
      <c r="U245" s="71"/>
      <c r="V245" s="72"/>
      <c r="W245" s="72"/>
      <c r="X245" s="73"/>
      <c r="Y245" s="73"/>
      <c r="Z245" s="73"/>
    </row>
    <row r="246" ht="12.0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1"/>
      <c r="T246" s="71"/>
      <c r="U246" s="71"/>
      <c r="V246" s="72"/>
      <c r="W246" s="72"/>
      <c r="X246" s="73"/>
      <c r="Y246" s="73"/>
      <c r="Z246" s="73"/>
    </row>
    <row r="247" ht="12.0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1"/>
      <c r="T247" s="71"/>
      <c r="U247" s="71"/>
      <c r="V247" s="72"/>
      <c r="W247" s="72"/>
      <c r="X247" s="73"/>
      <c r="Y247" s="73"/>
      <c r="Z247" s="73"/>
    </row>
    <row r="248" ht="12.0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1"/>
      <c r="T248" s="71"/>
      <c r="U248" s="71"/>
      <c r="V248" s="72"/>
      <c r="W248" s="72"/>
      <c r="X248" s="73"/>
      <c r="Y248" s="73"/>
      <c r="Z248" s="73"/>
    </row>
    <row r="249" ht="12.0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1"/>
      <c r="T249" s="71"/>
      <c r="U249" s="71"/>
      <c r="V249" s="72"/>
      <c r="W249" s="72"/>
      <c r="X249" s="73"/>
      <c r="Y249" s="73"/>
      <c r="Z249" s="73"/>
    </row>
    <row r="250" ht="12.0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1"/>
      <c r="T250" s="71"/>
      <c r="U250" s="71"/>
      <c r="V250" s="72"/>
      <c r="W250" s="72"/>
      <c r="X250" s="73"/>
      <c r="Y250" s="73"/>
      <c r="Z250" s="73"/>
    </row>
    <row r="251" ht="12.0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1"/>
      <c r="T251" s="71"/>
      <c r="U251" s="71"/>
      <c r="V251" s="72"/>
      <c r="W251" s="72"/>
      <c r="X251" s="73"/>
      <c r="Y251" s="73"/>
      <c r="Z251" s="73"/>
    </row>
    <row r="252" ht="12.0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1"/>
      <c r="T252" s="71"/>
      <c r="U252" s="71"/>
      <c r="V252" s="72"/>
      <c r="W252" s="72"/>
      <c r="X252" s="73"/>
      <c r="Y252" s="73"/>
      <c r="Z252" s="73"/>
    </row>
    <row r="253" ht="12.0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1"/>
      <c r="T253" s="71"/>
      <c r="U253" s="71"/>
      <c r="V253" s="72"/>
      <c r="W253" s="72"/>
      <c r="X253" s="73"/>
      <c r="Y253" s="73"/>
      <c r="Z253" s="73"/>
    </row>
    <row r="254" ht="12.0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1"/>
      <c r="T254" s="71"/>
      <c r="U254" s="71"/>
      <c r="V254" s="72"/>
      <c r="W254" s="72"/>
      <c r="X254" s="73"/>
      <c r="Y254" s="73"/>
      <c r="Z254" s="73"/>
    </row>
    <row r="255" ht="12.0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1"/>
      <c r="T255" s="71"/>
      <c r="U255" s="71"/>
      <c r="V255" s="72"/>
      <c r="W255" s="72"/>
      <c r="X255" s="73"/>
      <c r="Y255" s="73"/>
      <c r="Z255" s="73"/>
    </row>
    <row r="256" ht="12.0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1"/>
      <c r="T256" s="71"/>
      <c r="U256" s="71"/>
      <c r="V256" s="72"/>
      <c r="W256" s="72"/>
      <c r="X256" s="73"/>
      <c r="Y256" s="73"/>
      <c r="Z256" s="73"/>
    </row>
    <row r="257" ht="12.0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1"/>
      <c r="T257" s="71"/>
      <c r="U257" s="71"/>
      <c r="V257" s="72"/>
      <c r="W257" s="72"/>
      <c r="X257" s="73"/>
      <c r="Y257" s="73"/>
      <c r="Z257" s="73"/>
    </row>
    <row r="258" ht="12.0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1"/>
      <c r="T258" s="71"/>
      <c r="U258" s="71"/>
      <c r="V258" s="72"/>
      <c r="W258" s="72"/>
      <c r="X258" s="73"/>
      <c r="Y258" s="73"/>
      <c r="Z258" s="73"/>
    </row>
    <row r="259" ht="12.0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1"/>
      <c r="T259" s="71"/>
      <c r="U259" s="71"/>
      <c r="V259" s="72"/>
      <c r="W259" s="72"/>
      <c r="X259" s="73"/>
      <c r="Y259" s="73"/>
      <c r="Z259" s="73"/>
    </row>
    <row r="260" ht="12.0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1"/>
      <c r="T260" s="71"/>
      <c r="U260" s="71"/>
      <c r="V260" s="72"/>
      <c r="W260" s="72"/>
      <c r="X260" s="73"/>
      <c r="Y260" s="73"/>
      <c r="Z260" s="7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K5:L5"/>
    <mergeCell ref="M5:N5"/>
    <mergeCell ref="A6:B7"/>
    <mergeCell ref="C6:E7"/>
    <mergeCell ref="F6:I7"/>
    <mergeCell ref="J6:J10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3:L53"/>
    <mergeCell ref="M53:O53"/>
    <mergeCell ref="K54:L54"/>
    <mergeCell ref="M54:O54"/>
    <mergeCell ref="K55:L55"/>
    <mergeCell ref="M55:O55"/>
    <mergeCell ref="M56:O56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D33:D36"/>
    <mergeCell ref="A46:A50"/>
    <mergeCell ref="B46:B50"/>
    <mergeCell ref="C46:D46"/>
    <mergeCell ref="C47:C50"/>
    <mergeCell ref="D47:D50"/>
    <mergeCell ref="E48:E50"/>
  </mergeCells>
  <conditionalFormatting sqref="B24:G32 B37:C45 C51:P59 E37:J45 F11:J19 I24:J32 O11:R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5511811023622047" footer="0.0" header="0.0" left="0.7874015748031497" right="0.5118110236220472" top="0.9448818897637796"/>
  <pageSetup orientation="portrait"/>
  <rowBreaks count="1" manualBreakCount="1">
    <brk id="60" man="1"/>
  </rowBreaks>
  <colBreaks count="1" manualBreakCount="1">
    <brk id="18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0" t="s">
        <v>75</v>
      </c>
      <c r="S1" s="71"/>
      <c r="T1" s="71"/>
      <c r="U1" s="71"/>
      <c r="V1" s="72"/>
      <c r="W1" s="72"/>
      <c r="X1" s="73"/>
      <c r="Y1" s="73"/>
      <c r="Z1" s="73"/>
    </row>
    <row r="2" ht="5.25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  <c r="T2" s="71"/>
      <c r="U2" s="71"/>
      <c r="V2" s="72"/>
      <c r="W2" s="72"/>
      <c r="X2" s="73"/>
      <c r="Y2" s="73"/>
      <c r="Z2" s="73"/>
    </row>
    <row r="3" ht="12.0" customHeight="1">
      <c r="A3" s="74" t="s">
        <v>258</v>
      </c>
      <c r="B3" s="75"/>
      <c r="C3" s="75"/>
      <c r="D3" s="76"/>
      <c r="E3" s="76"/>
      <c r="F3" s="76"/>
      <c r="G3" s="76"/>
      <c r="H3" s="76"/>
      <c r="I3" s="76"/>
      <c r="J3" s="76"/>
      <c r="K3" s="76"/>
      <c r="M3" s="76"/>
      <c r="O3" s="76"/>
      <c r="P3" s="76"/>
      <c r="Q3" s="76"/>
      <c r="S3" s="77"/>
      <c r="T3" s="77"/>
      <c r="U3" s="77"/>
      <c r="V3" s="78"/>
      <c r="W3" s="78"/>
      <c r="X3" s="79"/>
      <c r="Y3" s="79"/>
      <c r="Z3" s="79"/>
    </row>
    <row r="4" ht="12.0" customHeight="1">
      <c r="A4" s="80" t="s">
        <v>259</v>
      </c>
      <c r="B4" s="81"/>
      <c r="C4" s="81"/>
      <c r="D4" s="143" t="s">
        <v>260</v>
      </c>
      <c r="G4" s="82"/>
      <c r="H4" s="82"/>
      <c r="I4" s="82"/>
      <c r="J4" s="82"/>
      <c r="K4" s="82"/>
      <c r="M4" s="82"/>
      <c r="O4" s="82"/>
      <c r="P4" s="82"/>
      <c r="Q4" s="82"/>
      <c r="S4" s="77"/>
      <c r="T4" s="77"/>
      <c r="U4" s="77"/>
      <c r="V4" s="78"/>
      <c r="W4" s="78"/>
      <c r="X4" s="79"/>
      <c r="Y4" s="79"/>
      <c r="Z4" s="79"/>
    </row>
    <row r="5" ht="12.0" customHeight="1">
      <c r="A5" s="74" t="s">
        <v>78</v>
      </c>
      <c r="B5" s="82"/>
      <c r="C5" s="82"/>
      <c r="D5" s="82"/>
      <c r="E5" s="82"/>
      <c r="F5" s="82"/>
      <c r="G5" s="82"/>
      <c r="H5" s="82"/>
      <c r="I5" s="82"/>
      <c r="J5" s="82"/>
      <c r="K5" s="82"/>
      <c r="M5" s="82"/>
      <c r="O5" s="81"/>
      <c r="P5" s="81"/>
      <c r="Q5" s="83"/>
      <c r="R5" s="84"/>
      <c r="S5" s="77"/>
      <c r="T5" s="77"/>
      <c r="U5" s="77"/>
      <c r="V5" s="78"/>
      <c r="W5" s="78"/>
      <c r="X5" s="79"/>
      <c r="Y5" s="79"/>
      <c r="Z5" s="79"/>
    </row>
    <row r="6" ht="12.0" customHeight="1">
      <c r="A6" s="85" t="s">
        <v>79</v>
      </c>
      <c r="B6" s="86"/>
      <c r="C6" s="85" t="s">
        <v>261</v>
      </c>
      <c r="D6" s="87"/>
      <c r="E6" s="86"/>
      <c r="F6" s="85" t="s">
        <v>262</v>
      </c>
      <c r="G6" s="87"/>
      <c r="H6" s="87"/>
      <c r="I6" s="86"/>
      <c r="J6" s="88" t="s">
        <v>263</v>
      </c>
      <c r="K6" s="85" t="s">
        <v>264</v>
      </c>
      <c r="L6" s="86"/>
      <c r="M6" s="85" t="s">
        <v>84</v>
      </c>
      <c r="N6" s="86"/>
      <c r="O6" s="89" t="s">
        <v>265</v>
      </c>
      <c r="P6" s="86"/>
      <c r="Q6" s="85" t="s">
        <v>266</v>
      </c>
      <c r="R6" s="86"/>
      <c r="S6" s="71"/>
      <c r="T6" s="71"/>
      <c r="U6" s="71"/>
      <c r="V6" s="72"/>
      <c r="W6" s="72"/>
      <c r="X6" s="73"/>
      <c r="Y6" s="73"/>
      <c r="Z6" s="73"/>
    </row>
    <row r="7" ht="19.5" customHeight="1">
      <c r="A7" s="90"/>
      <c r="B7" s="91"/>
      <c r="C7" s="90"/>
      <c r="D7" s="84"/>
      <c r="E7" s="91"/>
      <c r="F7" s="90"/>
      <c r="G7" s="84"/>
      <c r="H7" s="84"/>
      <c r="I7" s="91"/>
      <c r="J7" s="92"/>
      <c r="K7" s="93"/>
      <c r="L7" s="94"/>
      <c r="M7" s="93"/>
      <c r="N7" s="94"/>
      <c r="O7" s="84"/>
      <c r="P7" s="91"/>
      <c r="Q7" s="93"/>
      <c r="R7" s="94"/>
      <c r="S7" s="95"/>
      <c r="T7" s="71"/>
      <c r="U7" s="71"/>
      <c r="V7" s="72"/>
      <c r="W7" s="72"/>
      <c r="X7" s="73"/>
      <c r="Y7" s="73"/>
      <c r="Z7" s="73"/>
    </row>
    <row r="8" ht="12.0" customHeight="1">
      <c r="A8" s="88" t="s">
        <v>87</v>
      </c>
      <c r="B8" s="88" t="s">
        <v>267</v>
      </c>
      <c r="C8" s="88" t="s">
        <v>268</v>
      </c>
      <c r="D8" s="88" t="s">
        <v>269</v>
      </c>
      <c r="E8" s="88" t="s">
        <v>270</v>
      </c>
      <c r="F8" s="88" t="s">
        <v>271</v>
      </c>
      <c r="G8" s="88" t="s">
        <v>272</v>
      </c>
      <c r="H8" s="88" t="s">
        <v>273</v>
      </c>
      <c r="I8" s="88" t="s">
        <v>274</v>
      </c>
      <c r="J8" s="92"/>
      <c r="K8" s="93"/>
      <c r="L8" s="94"/>
      <c r="M8" s="93"/>
      <c r="N8" s="94"/>
      <c r="O8" s="96" t="s">
        <v>96</v>
      </c>
      <c r="P8" s="88" t="s">
        <v>97</v>
      </c>
      <c r="Q8" s="93"/>
      <c r="R8" s="94"/>
      <c r="S8" s="95"/>
      <c r="T8" s="95"/>
      <c r="U8" s="95"/>
      <c r="V8" s="72"/>
      <c r="W8" s="72"/>
      <c r="X8" s="73"/>
      <c r="Y8" s="73"/>
      <c r="Z8" s="73"/>
    </row>
    <row r="9" ht="12.0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3"/>
      <c r="L9" s="94"/>
      <c r="M9" s="93"/>
      <c r="N9" s="94"/>
      <c r="O9" s="94"/>
      <c r="P9" s="92"/>
      <c r="Q9" s="93"/>
      <c r="R9" s="94"/>
      <c r="S9" s="95"/>
      <c r="T9" s="71"/>
      <c r="U9" s="95"/>
      <c r="V9" s="72"/>
      <c r="W9" s="72"/>
      <c r="X9" s="73"/>
      <c r="Y9" s="73"/>
      <c r="Z9" s="97"/>
    </row>
    <row r="10" ht="14.25" customHeight="1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0"/>
      <c r="L10" s="91"/>
      <c r="M10" s="90"/>
      <c r="N10" s="91"/>
      <c r="O10" s="91"/>
      <c r="P10" s="98"/>
      <c r="Q10" s="90"/>
      <c r="R10" s="91"/>
      <c r="S10" s="71" t="s">
        <v>98</v>
      </c>
      <c r="T10" s="71" t="s">
        <v>98</v>
      </c>
      <c r="U10" s="71" t="s">
        <v>98</v>
      </c>
      <c r="V10" s="72"/>
      <c r="W10" s="72"/>
      <c r="X10" s="73"/>
      <c r="Y10" s="73"/>
      <c r="Z10" s="97"/>
    </row>
    <row r="11" ht="12.0" customHeight="1">
      <c r="A11" s="99" t="s">
        <v>99</v>
      </c>
      <c r="B11" s="100" t="s">
        <v>54</v>
      </c>
      <c r="C11" s="101" t="s">
        <v>99</v>
      </c>
      <c r="D11" s="102" t="s">
        <v>99</v>
      </c>
      <c r="E11" s="101" t="s">
        <v>99</v>
      </c>
      <c r="F11" s="102">
        <v>244.0</v>
      </c>
      <c r="G11" s="101">
        <v>150.0</v>
      </c>
      <c r="H11" s="102">
        <v>134.0</v>
      </c>
      <c r="I11" s="101">
        <v>472.0</v>
      </c>
      <c r="J11" s="103" t="s">
        <v>99</v>
      </c>
      <c r="K11" s="104" t="s">
        <v>99</v>
      </c>
      <c r="M11" s="105">
        <v>0.28</v>
      </c>
      <c r="N11" s="94"/>
      <c r="O11" s="106" t="s">
        <v>99</v>
      </c>
      <c r="P11" s="107" t="s">
        <v>99</v>
      </c>
      <c r="Q11" s="103" t="s">
        <v>99</v>
      </c>
      <c r="R11" s="86"/>
      <c r="S11" s="108" t="s">
        <v>64</v>
      </c>
      <c r="T11" s="108" t="s">
        <v>64</v>
      </c>
      <c r="U11" s="108" t="s">
        <v>64</v>
      </c>
      <c r="V11" s="109" t="s">
        <v>64</v>
      </c>
      <c r="W11" s="110"/>
      <c r="X11" s="73"/>
      <c r="Y11" s="73"/>
      <c r="Z11" s="97"/>
    </row>
    <row r="12" ht="12.0" customHeight="1">
      <c r="A12" s="142" t="s">
        <v>99</v>
      </c>
      <c r="B12" s="112" t="s">
        <v>59</v>
      </c>
      <c r="C12" s="101" t="s">
        <v>99</v>
      </c>
      <c r="D12" s="113" t="s">
        <v>99</v>
      </c>
      <c r="E12" s="113" t="s">
        <v>99</v>
      </c>
      <c r="F12" s="101">
        <v>214.0</v>
      </c>
      <c r="G12" s="113">
        <v>140.0</v>
      </c>
      <c r="H12" s="101">
        <v>111.0</v>
      </c>
      <c r="I12" s="113">
        <v>535.0</v>
      </c>
      <c r="J12" s="101" t="s">
        <v>99</v>
      </c>
      <c r="K12" s="104" t="s">
        <v>99</v>
      </c>
      <c r="L12" s="94"/>
      <c r="M12" s="114">
        <v>0.21</v>
      </c>
      <c r="O12" s="115" t="s">
        <v>99</v>
      </c>
      <c r="P12" s="114" t="s">
        <v>99</v>
      </c>
      <c r="Q12" s="104" t="s">
        <v>99</v>
      </c>
      <c r="R12" s="94"/>
      <c r="S12" s="108" t="s">
        <v>64</v>
      </c>
      <c r="T12" s="108" t="s">
        <v>64</v>
      </c>
      <c r="U12" s="108" t="s">
        <v>64</v>
      </c>
      <c r="V12" s="109" t="s">
        <v>64</v>
      </c>
      <c r="W12" s="72"/>
      <c r="X12" s="73"/>
      <c r="Y12" s="73"/>
      <c r="Z12" s="97"/>
    </row>
    <row r="13" ht="12.0" customHeight="1">
      <c r="A13" s="142" t="s">
        <v>99</v>
      </c>
      <c r="B13" s="112" t="s">
        <v>99</v>
      </c>
      <c r="C13" s="101" t="s">
        <v>99</v>
      </c>
      <c r="D13" s="113" t="s">
        <v>99</v>
      </c>
      <c r="E13" s="113" t="s">
        <v>99</v>
      </c>
      <c r="F13" s="101" t="s">
        <v>99</v>
      </c>
      <c r="G13" s="113" t="s">
        <v>99</v>
      </c>
      <c r="H13" s="101" t="s">
        <v>99</v>
      </c>
      <c r="I13" s="113" t="s">
        <v>99</v>
      </c>
      <c r="J13" s="101" t="s">
        <v>99</v>
      </c>
      <c r="K13" s="104" t="s">
        <v>99</v>
      </c>
      <c r="L13" s="94"/>
      <c r="M13" s="114" t="s">
        <v>99</v>
      </c>
      <c r="O13" s="115" t="s">
        <v>99</v>
      </c>
      <c r="P13" s="114" t="s">
        <v>99</v>
      </c>
      <c r="Q13" s="104" t="s">
        <v>99</v>
      </c>
      <c r="R13" s="94"/>
      <c r="S13" s="108" t="s">
        <v>99</v>
      </c>
      <c r="T13" s="108" t="s">
        <v>99</v>
      </c>
      <c r="U13" s="108" t="s">
        <v>99</v>
      </c>
      <c r="V13" s="109" t="s">
        <v>99</v>
      </c>
      <c r="W13" s="72"/>
      <c r="X13" s="73"/>
      <c r="Y13" s="73"/>
      <c r="Z13" s="97"/>
    </row>
    <row r="14" ht="12.0" customHeight="1">
      <c r="A14" s="142" t="s">
        <v>99</v>
      </c>
      <c r="B14" s="112" t="s">
        <v>99</v>
      </c>
      <c r="C14" s="101" t="s">
        <v>99</v>
      </c>
      <c r="D14" s="113" t="s">
        <v>99</v>
      </c>
      <c r="E14" s="113" t="s">
        <v>99</v>
      </c>
      <c r="F14" s="101" t="s">
        <v>99</v>
      </c>
      <c r="G14" s="113" t="s">
        <v>99</v>
      </c>
      <c r="H14" s="101" t="s">
        <v>99</v>
      </c>
      <c r="I14" s="113" t="s">
        <v>99</v>
      </c>
      <c r="J14" s="101" t="s">
        <v>99</v>
      </c>
      <c r="K14" s="104" t="s">
        <v>99</v>
      </c>
      <c r="L14" s="94"/>
      <c r="M14" s="114" t="s">
        <v>99</v>
      </c>
      <c r="O14" s="115" t="s">
        <v>99</v>
      </c>
      <c r="P14" s="114" t="s">
        <v>99</v>
      </c>
      <c r="Q14" s="104" t="s">
        <v>99</v>
      </c>
      <c r="R14" s="94"/>
      <c r="S14" s="108" t="s">
        <v>99</v>
      </c>
      <c r="T14" s="108" t="s">
        <v>99</v>
      </c>
      <c r="U14" s="108" t="s">
        <v>99</v>
      </c>
      <c r="V14" s="109" t="s">
        <v>99</v>
      </c>
      <c r="W14" s="72"/>
      <c r="X14" s="73"/>
      <c r="Y14" s="73"/>
      <c r="Z14" s="97"/>
    </row>
    <row r="15" ht="12.0" customHeight="1">
      <c r="A15" s="142" t="s">
        <v>99</v>
      </c>
      <c r="B15" s="112" t="s">
        <v>99</v>
      </c>
      <c r="C15" s="101" t="s">
        <v>99</v>
      </c>
      <c r="D15" s="113" t="s">
        <v>99</v>
      </c>
      <c r="E15" s="113" t="s">
        <v>99</v>
      </c>
      <c r="F15" s="101" t="s">
        <v>99</v>
      </c>
      <c r="G15" s="113" t="s">
        <v>99</v>
      </c>
      <c r="H15" s="101" t="s">
        <v>99</v>
      </c>
      <c r="I15" s="113" t="s">
        <v>99</v>
      </c>
      <c r="J15" s="101" t="s">
        <v>99</v>
      </c>
      <c r="K15" s="104" t="s">
        <v>99</v>
      </c>
      <c r="L15" s="94"/>
      <c r="M15" s="114" t="s">
        <v>99</v>
      </c>
      <c r="O15" s="115" t="s">
        <v>99</v>
      </c>
      <c r="P15" s="114" t="s">
        <v>99</v>
      </c>
      <c r="Q15" s="104" t="s">
        <v>99</v>
      </c>
      <c r="R15" s="94"/>
      <c r="S15" s="108" t="s">
        <v>99</v>
      </c>
      <c r="T15" s="108" t="s">
        <v>99</v>
      </c>
      <c r="U15" s="108" t="s">
        <v>99</v>
      </c>
      <c r="V15" s="109" t="s">
        <v>99</v>
      </c>
      <c r="W15" s="72"/>
      <c r="X15" s="73"/>
      <c r="Y15" s="73"/>
      <c r="Z15" s="97"/>
    </row>
    <row r="16" ht="12.0" customHeight="1">
      <c r="A16" s="142" t="s">
        <v>99</v>
      </c>
      <c r="B16" s="112" t="s">
        <v>99</v>
      </c>
      <c r="C16" s="101" t="s">
        <v>99</v>
      </c>
      <c r="D16" s="113" t="s">
        <v>99</v>
      </c>
      <c r="E16" s="113" t="s">
        <v>99</v>
      </c>
      <c r="F16" s="101" t="s">
        <v>99</v>
      </c>
      <c r="G16" s="113" t="s">
        <v>99</v>
      </c>
      <c r="H16" s="101" t="s">
        <v>99</v>
      </c>
      <c r="I16" s="113" t="s">
        <v>99</v>
      </c>
      <c r="J16" s="101" t="s">
        <v>99</v>
      </c>
      <c r="K16" s="104" t="s">
        <v>99</v>
      </c>
      <c r="L16" s="94"/>
      <c r="M16" s="114" t="s">
        <v>99</v>
      </c>
      <c r="O16" s="115" t="s">
        <v>99</v>
      </c>
      <c r="P16" s="114" t="s">
        <v>99</v>
      </c>
      <c r="Q16" s="104" t="s">
        <v>99</v>
      </c>
      <c r="R16" s="94"/>
      <c r="S16" s="108" t="s">
        <v>99</v>
      </c>
      <c r="T16" s="108" t="s">
        <v>99</v>
      </c>
      <c r="U16" s="108" t="s">
        <v>99</v>
      </c>
      <c r="V16" s="109" t="s">
        <v>99</v>
      </c>
      <c r="W16" s="72"/>
      <c r="X16" s="73"/>
      <c r="Y16" s="73"/>
      <c r="Z16" s="97"/>
    </row>
    <row r="17" ht="12.0" customHeight="1">
      <c r="A17" s="142" t="s">
        <v>99</v>
      </c>
      <c r="B17" s="112" t="s">
        <v>99</v>
      </c>
      <c r="C17" s="114" t="s">
        <v>99</v>
      </c>
      <c r="D17" s="115" t="s">
        <v>99</v>
      </c>
      <c r="E17" s="115" t="s">
        <v>99</v>
      </c>
      <c r="F17" s="114" t="s">
        <v>99</v>
      </c>
      <c r="G17" s="115" t="s">
        <v>99</v>
      </c>
      <c r="H17" s="114" t="s">
        <v>99</v>
      </c>
      <c r="I17" s="115" t="s">
        <v>99</v>
      </c>
      <c r="J17" s="114" t="s">
        <v>99</v>
      </c>
      <c r="K17" s="104" t="s">
        <v>99</v>
      </c>
      <c r="L17" s="94"/>
      <c r="M17" s="114" t="s">
        <v>99</v>
      </c>
      <c r="O17" s="115" t="s">
        <v>99</v>
      </c>
      <c r="P17" s="114" t="s">
        <v>99</v>
      </c>
      <c r="Q17" s="104" t="s">
        <v>99</v>
      </c>
      <c r="R17" s="94"/>
      <c r="S17" s="108" t="s">
        <v>99</v>
      </c>
      <c r="T17" s="108" t="s">
        <v>99</v>
      </c>
      <c r="U17" s="108" t="s">
        <v>99</v>
      </c>
      <c r="V17" s="109" t="s">
        <v>99</v>
      </c>
      <c r="W17" s="72"/>
      <c r="X17" s="73"/>
      <c r="Y17" s="73"/>
      <c r="Z17" s="97"/>
    </row>
    <row r="18" ht="12.0" customHeight="1">
      <c r="A18" s="142" t="s">
        <v>99</v>
      </c>
      <c r="B18" s="112" t="s">
        <v>99</v>
      </c>
      <c r="C18" s="114" t="s">
        <v>99</v>
      </c>
      <c r="D18" s="115" t="s">
        <v>99</v>
      </c>
      <c r="E18" s="115" t="s">
        <v>99</v>
      </c>
      <c r="F18" s="114" t="s">
        <v>99</v>
      </c>
      <c r="G18" s="115" t="s">
        <v>99</v>
      </c>
      <c r="H18" s="114" t="s">
        <v>99</v>
      </c>
      <c r="I18" s="115" t="s">
        <v>99</v>
      </c>
      <c r="J18" s="114" t="s">
        <v>99</v>
      </c>
      <c r="K18" s="104" t="s">
        <v>99</v>
      </c>
      <c r="L18" s="94"/>
      <c r="M18" s="114" t="s">
        <v>99</v>
      </c>
      <c r="O18" s="115" t="s">
        <v>99</v>
      </c>
      <c r="P18" s="114" t="s">
        <v>99</v>
      </c>
      <c r="Q18" s="104" t="s">
        <v>99</v>
      </c>
      <c r="R18" s="94"/>
      <c r="S18" s="108" t="s">
        <v>99</v>
      </c>
      <c r="T18" s="108" t="s">
        <v>99</v>
      </c>
      <c r="U18" s="108" t="s">
        <v>99</v>
      </c>
      <c r="V18" s="109" t="s">
        <v>99</v>
      </c>
      <c r="W18" s="72"/>
      <c r="X18" s="73"/>
      <c r="Y18" s="73"/>
      <c r="Z18" s="97"/>
    </row>
    <row r="19" ht="12.0" customHeight="1">
      <c r="A19" s="142" t="s">
        <v>99</v>
      </c>
      <c r="B19" s="117" t="s">
        <v>99</v>
      </c>
      <c r="C19" s="118" t="s">
        <v>99</v>
      </c>
      <c r="D19" s="119" t="s">
        <v>99</v>
      </c>
      <c r="E19" s="118" t="s">
        <v>99</v>
      </c>
      <c r="F19" s="119" t="s">
        <v>99</v>
      </c>
      <c r="G19" s="118" t="s">
        <v>99</v>
      </c>
      <c r="H19" s="119" t="s">
        <v>99</v>
      </c>
      <c r="I19" s="118" t="s">
        <v>99</v>
      </c>
      <c r="J19" s="120" t="s">
        <v>99</v>
      </c>
      <c r="K19" s="121" t="s">
        <v>99</v>
      </c>
      <c r="L19" s="84"/>
      <c r="M19" s="120" t="s">
        <v>99</v>
      </c>
      <c r="N19" s="91"/>
      <c r="O19" s="122" t="s">
        <v>99</v>
      </c>
      <c r="P19" s="119" t="s">
        <v>99</v>
      </c>
      <c r="Q19" s="121" t="s">
        <v>99</v>
      </c>
      <c r="R19" s="91"/>
      <c r="S19" s="108" t="s">
        <v>99</v>
      </c>
      <c r="T19" s="108" t="s">
        <v>99</v>
      </c>
      <c r="U19" s="108" t="s">
        <v>99</v>
      </c>
      <c r="V19" s="109" t="s">
        <v>99</v>
      </c>
      <c r="W19" s="72"/>
      <c r="X19" s="73"/>
      <c r="Y19" s="73"/>
      <c r="Z19" s="97"/>
    </row>
    <row r="20" ht="12.0" customHeight="1">
      <c r="A20" s="88" t="s">
        <v>79</v>
      </c>
      <c r="B20" s="105" t="s">
        <v>275</v>
      </c>
      <c r="C20" s="94"/>
      <c r="D20" s="105" t="s">
        <v>276</v>
      </c>
      <c r="L20" s="94"/>
      <c r="M20" s="105" t="s">
        <v>277</v>
      </c>
      <c r="O20" s="94"/>
      <c r="P20" s="124" t="s">
        <v>278</v>
      </c>
      <c r="Q20" s="105" t="s">
        <v>279</v>
      </c>
      <c r="R20" s="94"/>
      <c r="S20" s="71"/>
      <c r="T20" s="71"/>
      <c r="U20" s="95"/>
      <c r="V20" s="72"/>
      <c r="W20" s="72"/>
      <c r="X20" s="73"/>
      <c r="Y20" s="73"/>
      <c r="Z20" s="97"/>
    </row>
    <row r="21" ht="9.75" customHeight="1">
      <c r="A21" s="92"/>
      <c r="B21" s="90"/>
      <c r="C21" s="91"/>
      <c r="D21" s="90"/>
      <c r="E21" s="84"/>
      <c r="F21" s="84"/>
      <c r="G21" s="84"/>
      <c r="H21" s="84"/>
      <c r="I21" s="84"/>
      <c r="J21" s="84"/>
      <c r="K21" s="84"/>
      <c r="L21" s="91"/>
      <c r="M21" s="93"/>
      <c r="O21" s="94"/>
      <c r="P21" s="92"/>
      <c r="Q21" s="93"/>
      <c r="R21" s="94"/>
      <c r="S21" s="71"/>
      <c r="T21" s="71"/>
      <c r="U21" s="95"/>
      <c r="V21" s="72"/>
      <c r="W21" s="72"/>
      <c r="X21" s="73"/>
      <c r="Y21" s="73"/>
      <c r="Z21" s="73"/>
    </row>
    <row r="22" ht="9.75" customHeight="1">
      <c r="A22" s="92"/>
      <c r="B22" s="107" t="s">
        <v>105</v>
      </c>
      <c r="C22" s="107" t="s">
        <v>280</v>
      </c>
      <c r="D22" s="107" t="s">
        <v>281</v>
      </c>
      <c r="E22" s="107" t="s">
        <v>282</v>
      </c>
      <c r="F22" s="107" t="s">
        <v>283</v>
      </c>
      <c r="G22" s="107" t="s">
        <v>284</v>
      </c>
      <c r="H22" s="107" t="s">
        <v>285</v>
      </c>
      <c r="I22" s="107" t="s">
        <v>286</v>
      </c>
      <c r="J22" s="107" t="s">
        <v>287</v>
      </c>
      <c r="K22" s="125" t="s">
        <v>114</v>
      </c>
      <c r="L22" s="86"/>
      <c r="M22" s="93"/>
      <c r="O22" s="94"/>
      <c r="P22" s="92"/>
      <c r="Q22" s="93"/>
      <c r="R22" s="94"/>
      <c r="S22" s="71"/>
      <c r="T22" s="71"/>
      <c r="U22" s="71"/>
      <c r="V22" s="72"/>
      <c r="W22" s="72"/>
      <c r="X22" s="73"/>
      <c r="Y22" s="73"/>
      <c r="Z22" s="97"/>
    </row>
    <row r="23" ht="11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0"/>
      <c r="L23" s="91"/>
      <c r="M23" s="90"/>
      <c r="N23" s="84"/>
      <c r="O23" s="91"/>
      <c r="P23" s="98"/>
      <c r="Q23" s="90"/>
      <c r="R23" s="91"/>
      <c r="S23" s="71" t="s">
        <v>98</v>
      </c>
      <c r="T23" s="71" t="s">
        <v>98</v>
      </c>
      <c r="U23" s="71"/>
      <c r="V23" s="72"/>
      <c r="W23" s="72"/>
      <c r="X23" s="73"/>
      <c r="Y23" s="73"/>
      <c r="Z23" s="97"/>
    </row>
    <row r="24" ht="12.0" customHeight="1">
      <c r="A24" s="126" t="s">
        <v>99</v>
      </c>
      <c r="B24" s="127">
        <v>4.8</v>
      </c>
      <c r="C24" s="128" t="s">
        <v>115</v>
      </c>
      <c r="D24" s="127">
        <v>0.9</v>
      </c>
      <c r="E24" s="128">
        <v>0.4</v>
      </c>
      <c r="F24" s="115">
        <v>0.11</v>
      </c>
      <c r="G24" s="115">
        <v>0.04</v>
      </c>
      <c r="H24" s="127">
        <v>1.4</v>
      </c>
      <c r="I24" s="128">
        <v>0.6</v>
      </c>
      <c r="J24" s="127">
        <v>6.4</v>
      </c>
      <c r="K24" s="129">
        <v>8.4</v>
      </c>
      <c r="L24" s="94"/>
      <c r="M24" s="130">
        <v>17.0</v>
      </c>
      <c r="O24" s="94"/>
      <c r="P24" s="131">
        <v>30.0</v>
      </c>
      <c r="Q24" s="104">
        <v>1.0</v>
      </c>
      <c r="R24" s="94"/>
      <c r="S24" s="71">
        <v>1.4</v>
      </c>
      <c r="T24" s="71">
        <v>1.4</v>
      </c>
      <c r="U24" s="71"/>
      <c r="V24" s="72" t="s">
        <v>56</v>
      </c>
      <c r="W24" s="72" t="str">
        <f t="shared" ref="W24:W32" si="1">IF(OR(H24="",I24="",I11="",M24=""),"",IF(1000*(H24+I24)/I11&gt;1.5,"",IF(C24&gt;=5,"ácrico",IF(C24-B24&gt;=0,"ácrico",""))))</f>
        <v/>
      </c>
      <c r="X24" s="73"/>
      <c r="Y24" s="73"/>
      <c r="Z24" s="97"/>
    </row>
    <row r="25" ht="12.0" customHeight="1">
      <c r="A25" s="126" t="s">
        <v>99</v>
      </c>
      <c r="B25" s="127">
        <v>4.9</v>
      </c>
      <c r="C25" s="128" t="s">
        <v>115</v>
      </c>
      <c r="D25" s="129">
        <v>0.7</v>
      </c>
      <c r="E25" s="94"/>
      <c r="F25" s="115">
        <v>0.05</v>
      </c>
      <c r="G25" s="115">
        <v>0.03</v>
      </c>
      <c r="H25" s="127">
        <v>0.8</v>
      </c>
      <c r="I25" s="128">
        <v>0.5</v>
      </c>
      <c r="J25" s="127">
        <v>4.9</v>
      </c>
      <c r="K25" s="129">
        <v>6.2</v>
      </c>
      <c r="L25" s="94"/>
      <c r="M25" s="130">
        <v>13.0</v>
      </c>
      <c r="O25" s="94"/>
      <c r="P25" s="131">
        <v>38.0</v>
      </c>
      <c r="Q25" s="104">
        <v>1.0</v>
      </c>
      <c r="R25" s="94"/>
      <c r="S25" s="71" t="s">
        <v>39</v>
      </c>
      <c r="T25" s="132">
        <v>0.8</v>
      </c>
      <c r="U25" s="71"/>
      <c r="V25" s="72" t="s">
        <v>56</v>
      </c>
      <c r="W25" s="72" t="str">
        <f t="shared" si="1"/>
        <v/>
      </c>
      <c r="X25" s="73"/>
      <c r="Y25" s="73"/>
      <c r="Z25" s="97"/>
    </row>
    <row r="26" ht="12.0" customHeight="1">
      <c r="A26" s="126" t="s">
        <v>99</v>
      </c>
      <c r="B26" s="127" t="s">
        <v>99</v>
      </c>
      <c r="C26" s="128" t="s">
        <v>99</v>
      </c>
      <c r="D26" s="127" t="s">
        <v>99</v>
      </c>
      <c r="E26" s="128" t="s">
        <v>99</v>
      </c>
      <c r="F26" s="115" t="s">
        <v>99</v>
      </c>
      <c r="G26" s="115" t="s">
        <v>99</v>
      </c>
      <c r="H26" s="127" t="s">
        <v>99</v>
      </c>
      <c r="I26" s="128" t="s">
        <v>99</v>
      </c>
      <c r="J26" s="127" t="s">
        <v>99</v>
      </c>
      <c r="K26" s="129" t="s">
        <v>99</v>
      </c>
      <c r="L26" s="94"/>
      <c r="M26" s="130" t="s">
        <v>99</v>
      </c>
      <c r="O26" s="94"/>
      <c r="P26" s="131" t="s">
        <v>99</v>
      </c>
      <c r="Q26" s="104" t="s">
        <v>99</v>
      </c>
      <c r="R26" s="94"/>
      <c r="S26" s="71" t="s">
        <v>99</v>
      </c>
      <c r="T26" s="71" t="s">
        <v>99</v>
      </c>
      <c r="U26" s="71"/>
      <c r="V26" s="72" t="s">
        <v>99</v>
      </c>
      <c r="W26" s="72" t="str">
        <f t="shared" si="1"/>
        <v/>
      </c>
      <c r="X26" s="73"/>
      <c r="Y26" s="73"/>
      <c r="Z26" s="97"/>
    </row>
    <row r="27" ht="12.0" customHeight="1">
      <c r="A27" s="126" t="s">
        <v>99</v>
      </c>
      <c r="B27" s="127" t="s">
        <v>99</v>
      </c>
      <c r="C27" s="128" t="s">
        <v>99</v>
      </c>
      <c r="D27" s="127" t="s">
        <v>99</v>
      </c>
      <c r="E27" s="128" t="s">
        <v>99</v>
      </c>
      <c r="F27" s="115" t="s">
        <v>99</v>
      </c>
      <c r="G27" s="115" t="s">
        <v>99</v>
      </c>
      <c r="H27" s="127" t="s">
        <v>99</v>
      </c>
      <c r="I27" s="128" t="s">
        <v>99</v>
      </c>
      <c r="J27" s="127" t="s">
        <v>99</v>
      </c>
      <c r="K27" s="129" t="s">
        <v>99</v>
      </c>
      <c r="L27" s="94"/>
      <c r="M27" s="130" t="s">
        <v>99</v>
      </c>
      <c r="O27" s="94"/>
      <c r="P27" s="131" t="s">
        <v>99</v>
      </c>
      <c r="Q27" s="104" t="s">
        <v>99</v>
      </c>
      <c r="R27" s="94"/>
      <c r="S27" s="71" t="s">
        <v>99</v>
      </c>
      <c r="T27" s="71" t="s">
        <v>99</v>
      </c>
      <c r="U27" s="71"/>
      <c r="V27" s="72" t="s">
        <v>99</v>
      </c>
      <c r="W27" s="72" t="str">
        <f t="shared" si="1"/>
        <v/>
      </c>
      <c r="X27" s="73"/>
      <c r="Y27" s="73"/>
      <c r="Z27" s="97"/>
    </row>
    <row r="28" ht="12.0" customHeight="1">
      <c r="A28" s="126" t="s">
        <v>99</v>
      </c>
      <c r="B28" s="127" t="s">
        <v>99</v>
      </c>
      <c r="C28" s="128" t="s">
        <v>99</v>
      </c>
      <c r="D28" s="127" t="s">
        <v>99</v>
      </c>
      <c r="E28" s="128" t="s">
        <v>99</v>
      </c>
      <c r="F28" s="115" t="s">
        <v>99</v>
      </c>
      <c r="G28" s="115" t="s">
        <v>99</v>
      </c>
      <c r="H28" s="127" t="s">
        <v>99</v>
      </c>
      <c r="I28" s="128" t="s">
        <v>99</v>
      </c>
      <c r="J28" s="127" t="s">
        <v>99</v>
      </c>
      <c r="K28" s="129" t="s">
        <v>99</v>
      </c>
      <c r="L28" s="94"/>
      <c r="M28" s="130" t="s">
        <v>99</v>
      </c>
      <c r="O28" s="94"/>
      <c r="P28" s="131" t="s">
        <v>99</v>
      </c>
      <c r="Q28" s="104" t="s">
        <v>99</v>
      </c>
      <c r="R28" s="94"/>
      <c r="S28" s="71" t="s">
        <v>99</v>
      </c>
      <c r="T28" s="71" t="s">
        <v>99</v>
      </c>
      <c r="U28" s="71"/>
      <c r="V28" s="72" t="s">
        <v>99</v>
      </c>
      <c r="W28" s="72" t="str">
        <f t="shared" si="1"/>
        <v/>
      </c>
      <c r="X28" s="73"/>
      <c r="Y28" s="73"/>
      <c r="Z28" s="97"/>
    </row>
    <row r="29" ht="12.0" customHeight="1">
      <c r="A29" s="126" t="s">
        <v>99</v>
      </c>
      <c r="B29" s="127" t="s">
        <v>99</v>
      </c>
      <c r="C29" s="128" t="s">
        <v>99</v>
      </c>
      <c r="D29" s="127" t="s">
        <v>99</v>
      </c>
      <c r="E29" s="128" t="s">
        <v>99</v>
      </c>
      <c r="F29" s="115" t="s">
        <v>99</v>
      </c>
      <c r="G29" s="115" t="s">
        <v>99</v>
      </c>
      <c r="H29" s="127" t="s">
        <v>99</v>
      </c>
      <c r="I29" s="128" t="s">
        <v>99</v>
      </c>
      <c r="J29" s="127" t="s">
        <v>99</v>
      </c>
      <c r="K29" s="129" t="s">
        <v>99</v>
      </c>
      <c r="L29" s="94"/>
      <c r="M29" s="130" t="s">
        <v>99</v>
      </c>
      <c r="O29" s="94"/>
      <c r="P29" s="131" t="s">
        <v>99</v>
      </c>
      <c r="Q29" s="104" t="s">
        <v>99</v>
      </c>
      <c r="R29" s="94"/>
      <c r="S29" s="71" t="s">
        <v>99</v>
      </c>
      <c r="T29" s="71" t="s">
        <v>99</v>
      </c>
      <c r="U29" s="71"/>
      <c r="V29" s="72" t="s">
        <v>99</v>
      </c>
      <c r="W29" s="72" t="str">
        <f t="shared" si="1"/>
        <v/>
      </c>
      <c r="X29" s="73"/>
      <c r="Y29" s="73"/>
      <c r="Z29" s="97"/>
    </row>
    <row r="30" ht="12.0" customHeight="1">
      <c r="A30" s="126" t="s">
        <v>99</v>
      </c>
      <c r="B30" s="127" t="s">
        <v>99</v>
      </c>
      <c r="C30" s="128" t="s">
        <v>99</v>
      </c>
      <c r="D30" s="127" t="s">
        <v>99</v>
      </c>
      <c r="E30" s="128" t="s">
        <v>99</v>
      </c>
      <c r="F30" s="115" t="s">
        <v>99</v>
      </c>
      <c r="G30" s="115" t="s">
        <v>99</v>
      </c>
      <c r="H30" s="127" t="s">
        <v>99</v>
      </c>
      <c r="I30" s="128" t="s">
        <v>99</v>
      </c>
      <c r="J30" s="127" t="s">
        <v>99</v>
      </c>
      <c r="K30" s="129" t="s">
        <v>99</v>
      </c>
      <c r="L30" s="94"/>
      <c r="M30" s="130" t="s">
        <v>99</v>
      </c>
      <c r="O30" s="94"/>
      <c r="P30" s="131" t="s">
        <v>99</v>
      </c>
      <c r="Q30" s="104" t="s">
        <v>99</v>
      </c>
      <c r="R30" s="94"/>
      <c r="S30" s="71" t="s">
        <v>99</v>
      </c>
      <c r="T30" s="71" t="s">
        <v>99</v>
      </c>
      <c r="U30" s="71"/>
      <c r="V30" s="72" t="s">
        <v>99</v>
      </c>
      <c r="W30" s="72" t="str">
        <f t="shared" si="1"/>
        <v/>
      </c>
      <c r="X30" s="73"/>
      <c r="Y30" s="73"/>
      <c r="Z30" s="97"/>
    </row>
    <row r="31" ht="12.0" customHeight="1">
      <c r="A31" s="126" t="s">
        <v>99</v>
      </c>
      <c r="B31" s="127" t="s">
        <v>99</v>
      </c>
      <c r="C31" s="128" t="s">
        <v>99</v>
      </c>
      <c r="D31" s="127" t="s">
        <v>99</v>
      </c>
      <c r="E31" s="128" t="s">
        <v>99</v>
      </c>
      <c r="F31" s="115" t="s">
        <v>99</v>
      </c>
      <c r="G31" s="115" t="s">
        <v>99</v>
      </c>
      <c r="H31" s="127" t="s">
        <v>99</v>
      </c>
      <c r="I31" s="128" t="s">
        <v>99</v>
      </c>
      <c r="J31" s="127" t="s">
        <v>99</v>
      </c>
      <c r="K31" s="129" t="s">
        <v>99</v>
      </c>
      <c r="L31" s="94"/>
      <c r="M31" s="130" t="s">
        <v>99</v>
      </c>
      <c r="O31" s="94"/>
      <c r="P31" s="131" t="s">
        <v>99</v>
      </c>
      <c r="Q31" s="104" t="s">
        <v>99</v>
      </c>
      <c r="R31" s="94"/>
      <c r="S31" s="71" t="s">
        <v>99</v>
      </c>
      <c r="T31" s="71" t="s">
        <v>99</v>
      </c>
      <c r="U31" s="71"/>
      <c r="V31" s="72" t="s">
        <v>99</v>
      </c>
      <c r="W31" s="72" t="str">
        <f t="shared" si="1"/>
        <v/>
      </c>
      <c r="X31" s="73"/>
      <c r="Y31" s="73"/>
      <c r="Z31" s="97"/>
    </row>
    <row r="32" ht="12.0" customHeight="1">
      <c r="A32" s="126" t="s">
        <v>99</v>
      </c>
      <c r="B32" s="127" t="s">
        <v>99</v>
      </c>
      <c r="C32" s="128" t="s">
        <v>99</v>
      </c>
      <c r="D32" s="127" t="s">
        <v>99</v>
      </c>
      <c r="E32" s="128" t="s">
        <v>99</v>
      </c>
      <c r="F32" s="115" t="s">
        <v>99</v>
      </c>
      <c r="G32" s="115" t="s">
        <v>99</v>
      </c>
      <c r="H32" s="127" t="s">
        <v>99</v>
      </c>
      <c r="I32" s="128" t="s">
        <v>99</v>
      </c>
      <c r="J32" s="127" t="s">
        <v>99</v>
      </c>
      <c r="K32" s="129" t="s">
        <v>99</v>
      </c>
      <c r="L32" s="94"/>
      <c r="M32" s="130" t="s">
        <v>99</v>
      </c>
      <c r="O32" s="94"/>
      <c r="P32" s="131" t="s">
        <v>99</v>
      </c>
      <c r="Q32" s="104" t="s">
        <v>99</v>
      </c>
      <c r="R32" s="94"/>
      <c r="S32" s="71" t="s">
        <v>99</v>
      </c>
      <c r="T32" s="71" t="s">
        <v>99</v>
      </c>
      <c r="U32" s="71"/>
      <c r="V32" s="72" t="s">
        <v>99</v>
      </c>
      <c r="W32" s="72" t="str">
        <f t="shared" si="1"/>
        <v/>
      </c>
      <c r="X32" s="73"/>
      <c r="Y32" s="73"/>
      <c r="Z32" s="97"/>
    </row>
    <row r="33" ht="12.0" customHeight="1">
      <c r="A33" s="88" t="s">
        <v>79</v>
      </c>
      <c r="B33" s="107" t="s">
        <v>288</v>
      </c>
      <c r="C33" s="107" t="s">
        <v>289</v>
      </c>
      <c r="D33" s="107" t="s">
        <v>40</v>
      </c>
      <c r="E33" s="125" t="s">
        <v>290</v>
      </c>
      <c r="F33" s="87"/>
      <c r="G33" s="87"/>
      <c r="H33" s="87"/>
      <c r="I33" s="87"/>
      <c r="J33" s="86"/>
      <c r="K33" s="125" t="s">
        <v>119</v>
      </c>
      <c r="L33" s="87"/>
      <c r="M33" s="87"/>
      <c r="N33" s="87"/>
      <c r="O33" s="86"/>
      <c r="P33" s="107" t="s">
        <v>291</v>
      </c>
      <c r="Q33" s="125" t="s">
        <v>292</v>
      </c>
      <c r="R33" s="86"/>
      <c r="S33" s="71"/>
      <c r="T33" s="71"/>
      <c r="U33" s="71"/>
      <c r="V33" s="72"/>
      <c r="W33" s="72"/>
      <c r="X33" s="73"/>
      <c r="Y33" s="73"/>
      <c r="Z33" s="97"/>
    </row>
    <row r="34" ht="8.25" customHeight="1">
      <c r="A34" s="92"/>
      <c r="B34" s="92"/>
      <c r="C34" s="92"/>
      <c r="D34" s="92"/>
      <c r="E34" s="90"/>
      <c r="F34" s="84"/>
      <c r="G34" s="84"/>
      <c r="H34" s="84"/>
      <c r="I34" s="84"/>
      <c r="J34" s="91"/>
      <c r="K34" s="90"/>
      <c r="L34" s="84"/>
      <c r="M34" s="84"/>
      <c r="N34" s="84"/>
      <c r="O34" s="91"/>
      <c r="P34" s="92"/>
      <c r="Q34" s="93"/>
      <c r="R34" s="94"/>
      <c r="S34" s="71"/>
      <c r="T34" s="71"/>
      <c r="U34" s="71"/>
      <c r="V34" s="72"/>
      <c r="W34" s="72"/>
      <c r="X34" s="73"/>
      <c r="Y34" s="73"/>
      <c r="Z34" s="97"/>
    </row>
    <row r="35" ht="10.5" customHeight="1">
      <c r="A35" s="92"/>
      <c r="B35" s="92"/>
      <c r="C35" s="92"/>
      <c r="D35" s="92"/>
      <c r="E35" s="107" t="s">
        <v>293</v>
      </c>
      <c r="F35" s="107" t="s">
        <v>294</v>
      </c>
      <c r="G35" s="107" t="s">
        <v>295</v>
      </c>
      <c r="H35" s="107" t="s">
        <v>296</v>
      </c>
      <c r="I35" s="107" t="s">
        <v>297</v>
      </c>
      <c r="J35" s="107" t="s">
        <v>127</v>
      </c>
      <c r="K35" s="107" t="s">
        <v>298</v>
      </c>
      <c r="L35" s="125" t="s">
        <v>299</v>
      </c>
      <c r="M35" s="86"/>
      <c r="N35" s="133" t="s">
        <v>300</v>
      </c>
      <c r="O35" s="86"/>
      <c r="P35" s="92"/>
      <c r="Q35" s="93"/>
      <c r="R35" s="94"/>
      <c r="S35" s="71"/>
      <c r="T35" s="71"/>
      <c r="U35" s="71"/>
      <c r="V35" s="72"/>
      <c r="W35" s="72"/>
      <c r="X35" s="73"/>
      <c r="Y35" s="73"/>
      <c r="Z35" s="73"/>
    </row>
    <row r="36" ht="21.0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0"/>
      <c r="M36" s="91"/>
      <c r="N36" s="90"/>
      <c r="O36" s="91"/>
      <c r="P36" s="98"/>
      <c r="Q36" s="90"/>
      <c r="R36" s="91"/>
      <c r="S36" s="71"/>
      <c r="T36" s="71"/>
      <c r="U36" s="71"/>
      <c r="V36" s="72"/>
      <c r="W36" s="72"/>
      <c r="X36" s="73"/>
      <c r="Y36" s="73"/>
      <c r="Z36" s="73"/>
    </row>
    <row r="37" ht="12.0" customHeight="1">
      <c r="A37" s="126" t="s">
        <v>99</v>
      </c>
      <c r="B37" s="127">
        <v>12.8</v>
      </c>
      <c r="C37" s="127">
        <v>1.2</v>
      </c>
      <c r="D37" s="113">
        <v>11.0</v>
      </c>
      <c r="E37" s="101" t="s">
        <v>99</v>
      </c>
      <c r="F37" s="113" t="s">
        <v>99</v>
      </c>
      <c r="G37" s="101" t="s">
        <v>99</v>
      </c>
      <c r="H37" s="127" t="s">
        <v>99</v>
      </c>
      <c r="I37" s="128" t="s">
        <v>99</v>
      </c>
      <c r="J37" s="127" t="s">
        <v>99</v>
      </c>
      <c r="K37" s="114" t="s">
        <v>99</v>
      </c>
      <c r="L37" s="125" t="s">
        <v>99</v>
      </c>
      <c r="M37" s="86"/>
      <c r="N37" s="105" t="s">
        <v>99</v>
      </c>
      <c r="O37" s="94"/>
      <c r="P37" s="115" t="s">
        <v>99</v>
      </c>
      <c r="Q37" s="105" t="s">
        <v>99</v>
      </c>
      <c r="R37" s="94"/>
      <c r="S37" s="71"/>
      <c r="T37" s="71"/>
      <c r="U37" s="71"/>
      <c r="V37" s="72" t="s">
        <v>99</v>
      </c>
      <c r="W37" s="72"/>
      <c r="X37" s="73"/>
      <c r="Y37" s="73"/>
      <c r="Z37" s="73"/>
    </row>
    <row r="38" ht="12.0" customHeight="1">
      <c r="A38" s="126" t="s">
        <v>99</v>
      </c>
      <c r="B38" s="127">
        <v>7.9</v>
      </c>
      <c r="C38" s="127">
        <v>1.1</v>
      </c>
      <c r="D38" s="113">
        <v>7.0</v>
      </c>
      <c r="E38" s="101" t="s">
        <v>99</v>
      </c>
      <c r="F38" s="113" t="s">
        <v>99</v>
      </c>
      <c r="G38" s="101" t="s">
        <v>99</v>
      </c>
      <c r="H38" s="127" t="s">
        <v>99</v>
      </c>
      <c r="I38" s="128" t="s">
        <v>99</v>
      </c>
      <c r="J38" s="127" t="s">
        <v>99</v>
      </c>
      <c r="K38" s="114" t="s">
        <v>99</v>
      </c>
      <c r="L38" s="105" t="s">
        <v>99</v>
      </c>
      <c r="M38" s="94"/>
      <c r="N38" s="114" t="s">
        <v>99</v>
      </c>
      <c r="O38" s="94"/>
      <c r="P38" s="115" t="s">
        <v>99</v>
      </c>
      <c r="Q38" s="105" t="s">
        <v>99</v>
      </c>
      <c r="R38" s="94"/>
      <c r="S38" s="71"/>
      <c r="T38" s="71"/>
      <c r="U38" s="71"/>
      <c r="V38" s="72" t="s">
        <v>99</v>
      </c>
      <c r="W38" s="72"/>
      <c r="X38" s="73"/>
      <c r="Y38" s="73"/>
      <c r="Z38" s="73"/>
    </row>
    <row r="39" ht="12.0" customHeight="1">
      <c r="A39" s="126" t="s">
        <v>99</v>
      </c>
      <c r="B39" s="127" t="s">
        <v>99</v>
      </c>
      <c r="C39" s="127" t="s">
        <v>99</v>
      </c>
      <c r="D39" s="113" t="s">
        <v>99</v>
      </c>
      <c r="E39" s="101" t="s">
        <v>99</v>
      </c>
      <c r="F39" s="113" t="s">
        <v>99</v>
      </c>
      <c r="G39" s="101" t="s">
        <v>99</v>
      </c>
      <c r="H39" s="127" t="s">
        <v>99</v>
      </c>
      <c r="I39" s="128" t="s">
        <v>99</v>
      </c>
      <c r="J39" s="127" t="s">
        <v>99</v>
      </c>
      <c r="K39" s="114" t="s">
        <v>99</v>
      </c>
      <c r="L39" s="105" t="s">
        <v>99</v>
      </c>
      <c r="M39" s="94"/>
      <c r="N39" s="114" t="s">
        <v>99</v>
      </c>
      <c r="O39" s="94"/>
      <c r="P39" s="115" t="s">
        <v>99</v>
      </c>
      <c r="Q39" s="105" t="s">
        <v>99</v>
      </c>
      <c r="R39" s="94"/>
      <c r="S39" s="71"/>
      <c r="T39" s="71"/>
      <c r="U39" s="71"/>
      <c r="V39" s="72" t="s">
        <v>99</v>
      </c>
      <c r="W39" s="72"/>
      <c r="X39" s="73"/>
      <c r="Y39" s="73"/>
      <c r="Z39" s="73"/>
    </row>
    <row r="40" ht="12.0" customHeight="1">
      <c r="A40" s="126" t="s">
        <v>99</v>
      </c>
      <c r="B40" s="127" t="s">
        <v>99</v>
      </c>
      <c r="C40" s="127" t="s">
        <v>99</v>
      </c>
      <c r="D40" s="113" t="s">
        <v>99</v>
      </c>
      <c r="E40" s="101" t="s">
        <v>99</v>
      </c>
      <c r="F40" s="113" t="s">
        <v>99</v>
      </c>
      <c r="G40" s="101" t="s">
        <v>99</v>
      </c>
      <c r="H40" s="127" t="s">
        <v>99</v>
      </c>
      <c r="I40" s="128" t="s">
        <v>99</v>
      </c>
      <c r="J40" s="127" t="s">
        <v>99</v>
      </c>
      <c r="K40" s="114" t="s">
        <v>99</v>
      </c>
      <c r="L40" s="105" t="s">
        <v>99</v>
      </c>
      <c r="M40" s="94"/>
      <c r="N40" s="114" t="s">
        <v>99</v>
      </c>
      <c r="O40" s="94"/>
      <c r="P40" s="115" t="s">
        <v>99</v>
      </c>
      <c r="Q40" s="105" t="s">
        <v>99</v>
      </c>
      <c r="R40" s="94"/>
      <c r="S40" s="71"/>
      <c r="T40" s="71"/>
      <c r="U40" s="71"/>
      <c r="V40" s="72" t="s">
        <v>99</v>
      </c>
      <c r="W40" s="72"/>
      <c r="X40" s="73"/>
      <c r="Y40" s="73"/>
      <c r="Z40" s="73"/>
    </row>
    <row r="41" ht="12.0" customHeight="1">
      <c r="A41" s="126" t="s">
        <v>99</v>
      </c>
      <c r="B41" s="127" t="s">
        <v>99</v>
      </c>
      <c r="C41" s="127" t="s">
        <v>99</v>
      </c>
      <c r="D41" s="113" t="s">
        <v>99</v>
      </c>
      <c r="E41" s="101" t="s">
        <v>99</v>
      </c>
      <c r="F41" s="113" t="s">
        <v>99</v>
      </c>
      <c r="G41" s="101" t="s">
        <v>99</v>
      </c>
      <c r="H41" s="127" t="s">
        <v>99</v>
      </c>
      <c r="I41" s="128" t="s">
        <v>99</v>
      </c>
      <c r="J41" s="127" t="s">
        <v>99</v>
      </c>
      <c r="K41" s="114" t="s">
        <v>99</v>
      </c>
      <c r="L41" s="105" t="s">
        <v>99</v>
      </c>
      <c r="M41" s="94"/>
      <c r="N41" s="114" t="s">
        <v>99</v>
      </c>
      <c r="O41" s="94"/>
      <c r="P41" s="115" t="s">
        <v>99</v>
      </c>
      <c r="Q41" s="105" t="s">
        <v>99</v>
      </c>
      <c r="R41" s="94"/>
      <c r="S41" s="71"/>
      <c r="T41" s="71"/>
      <c r="U41" s="71"/>
      <c r="V41" s="72" t="s">
        <v>99</v>
      </c>
      <c r="W41" s="72"/>
      <c r="X41" s="73"/>
      <c r="Y41" s="73"/>
      <c r="Z41" s="73"/>
    </row>
    <row r="42" ht="12.0" customHeight="1">
      <c r="A42" s="126" t="s">
        <v>99</v>
      </c>
      <c r="B42" s="127" t="s">
        <v>99</v>
      </c>
      <c r="C42" s="127" t="s">
        <v>99</v>
      </c>
      <c r="D42" s="113" t="s">
        <v>99</v>
      </c>
      <c r="E42" s="101" t="s">
        <v>99</v>
      </c>
      <c r="F42" s="113" t="s">
        <v>99</v>
      </c>
      <c r="G42" s="101" t="s">
        <v>99</v>
      </c>
      <c r="H42" s="127" t="s">
        <v>99</v>
      </c>
      <c r="I42" s="128" t="s">
        <v>99</v>
      </c>
      <c r="J42" s="127" t="s">
        <v>99</v>
      </c>
      <c r="K42" s="114" t="s">
        <v>99</v>
      </c>
      <c r="L42" s="105" t="s">
        <v>99</v>
      </c>
      <c r="M42" s="94"/>
      <c r="N42" s="114" t="s">
        <v>99</v>
      </c>
      <c r="O42" s="94"/>
      <c r="P42" s="115" t="s">
        <v>99</v>
      </c>
      <c r="Q42" s="105" t="s">
        <v>99</v>
      </c>
      <c r="R42" s="94"/>
      <c r="S42" s="71"/>
      <c r="T42" s="71"/>
      <c r="U42" s="71"/>
      <c r="V42" s="72" t="s">
        <v>99</v>
      </c>
      <c r="W42" s="72"/>
      <c r="X42" s="73"/>
      <c r="Y42" s="73"/>
      <c r="Z42" s="73"/>
    </row>
    <row r="43" ht="12.0" customHeight="1">
      <c r="A43" s="126" t="s">
        <v>99</v>
      </c>
      <c r="B43" s="127" t="s">
        <v>99</v>
      </c>
      <c r="C43" s="127" t="s">
        <v>99</v>
      </c>
      <c r="D43" s="113" t="s">
        <v>99</v>
      </c>
      <c r="E43" s="101" t="s">
        <v>99</v>
      </c>
      <c r="F43" s="113" t="s">
        <v>99</v>
      </c>
      <c r="G43" s="101" t="s">
        <v>99</v>
      </c>
      <c r="H43" s="127" t="s">
        <v>99</v>
      </c>
      <c r="I43" s="128" t="s">
        <v>99</v>
      </c>
      <c r="J43" s="127" t="s">
        <v>99</v>
      </c>
      <c r="K43" s="114" t="s">
        <v>99</v>
      </c>
      <c r="L43" s="105" t="s">
        <v>99</v>
      </c>
      <c r="M43" s="94"/>
      <c r="N43" s="114" t="s">
        <v>99</v>
      </c>
      <c r="O43" s="94"/>
      <c r="P43" s="115" t="s">
        <v>99</v>
      </c>
      <c r="Q43" s="105" t="s">
        <v>99</v>
      </c>
      <c r="R43" s="94"/>
      <c r="S43" s="71"/>
      <c r="T43" s="71"/>
      <c r="U43" s="71"/>
      <c r="V43" s="72" t="s">
        <v>99</v>
      </c>
      <c r="W43" s="72"/>
      <c r="X43" s="73"/>
      <c r="Y43" s="73"/>
      <c r="Z43" s="73"/>
    </row>
    <row r="44" ht="12.0" customHeight="1">
      <c r="A44" s="126" t="s">
        <v>99</v>
      </c>
      <c r="B44" s="127" t="s">
        <v>99</v>
      </c>
      <c r="C44" s="127" t="s">
        <v>99</v>
      </c>
      <c r="D44" s="113" t="s">
        <v>99</v>
      </c>
      <c r="E44" s="101" t="s">
        <v>99</v>
      </c>
      <c r="F44" s="113" t="s">
        <v>99</v>
      </c>
      <c r="G44" s="101" t="s">
        <v>99</v>
      </c>
      <c r="H44" s="127" t="s">
        <v>99</v>
      </c>
      <c r="I44" s="128" t="s">
        <v>99</v>
      </c>
      <c r="J44" s="127" t="s">
        <v>99</v>
      </c>
      <c r="K44" s="114" t="s">
        <v>99</v>
      </c>
      <c r="L44" s="105" t="s">
        <v>99</v>
      </c>
      <c r="M44" s="94"/>
      <c r="N44" s="114" t="s">
        <v>99</v>
      </c>
      <c r="O44" s="94"/>
      <c r="P44" s="115" t="s">
        <v>99</v>
      </c>
      <c r="Q44" s="105" t="s">
        <v>99</v>
      </c>
      <c r="R44" s="94"/>
      <c r="S44" s="71"/>
      <c r="T44" s="71"/>
      <c r="U44" s="71"/>
      <c r="V44" s="72" t="s">
        <v>99</v>
      </c>
      <c r="W44" s="72"/>
      <c r="X44" s="73"/>
      <c r="Y44" s="73"/>
      <c r="Z44" s="73"/>
    </row>
    <row r="45" ht="12.0" customHeight="1">
      <c r="A45" s="126" t="s">
        <v>99</v>
      </c>
      <c r="B45" s="127" t="s">
        <v>99</v>
      </c>
      <c r="C45" s="127" t="s">
        <v>99</v>
      </c>
      <c r="D45" s="113" t="s">
        <v>99</v>
      </c>
      <c r="E45" s="101" t="s">
        <v>99</v>
      </c>
      <c r="F45" s="113" t="s">
        <v>99</v>
      </c>
      <c r="G45" s="101" t="s">
        <v>99</v>
      </c>
      <c r="H45" s="127" t="s">
        <v>99</v>
      </c>
      <c r="I45" s="128" t="s">
        <v>99</v>
      </c>
      <c r="J45" s="127" t="s">
        <v>99</v>
      </c>
      <c r="K45" s="114" t="s">
        <v>99</v>
      </c>
      <c r="L45" s="105" t="s">
        <v>99</v>
      </c>
      <c r="M45" s="94"/>
      <c r="N45" s="105" t="s">
        <v>99</v>
      </c>
      <c r="O45" s="94"/>
      <c r="P45" s="115" t="s">
        <v>99</v>
      </c>
      <c r="Q45" s="105" t="s">
        <v>99</v>
      </c>
      <c r="R45" s="94"/>
      <c r="S45" s="71"/>
      <c r="T45" s="71"/>
      <c r="U45" s="71"/>
      <c r="V45" s="72" t="s">
        <v>99</v>
      </c>
      <c r="W45" s="72"/>
      <c r="X45" s="73"/>
      <c r="Y45" s="73"/>
      <c r="Z45" s="73"/>
    </row>
    <row r="46" ht="12.0" customHeight="1">
      <c r="A46" s="88" t="s">
        <v>79</v>
      </c>
      <c r="B46" s="134" t="s">
        <v>301</v>
      </c>
      <c r="C46" s="135" t="s">
        <v>132</v>
      </c>
      <c r="D46" s="136"/>
      <c r="E46" s="125" t="s">
        <v>302</v>
      </c>
      <c r="F46" s="87"/>
      <c r="G46" s="87"/>
      <c r="H46" s="87"/>
      <c r="I46" s="87"/>
      <c r="J46" s="87"/>
      <c r="K46" s="87"/>
      <c r="L46" s="86"/>
      <c r="M46" s="125" t="s">
        <v>303</v>
      </c>
      <c r="N46" s="87"/>
      <c r="O46" s="87"/>
      <c r="P46" s="87"/>
      <c r="Q46" s="87"/>
      <c r="R46" s="86"/>
      <c r="S46" s="71"/>
      <c r="T46" s="71"/>
      <c r="U46" s="71"/>
      <c r="V46" s="72"/>
      <c r="W46" s="72"/>
      <c r="X46" s="73"/>
      <c r="Y46" s="73"/>
      <c r="Z46" s="73"/>
    </row>
    <row r="47" ht="9.0" customHeight="1">
      <c r="A47" s="92"/>
      <c r="B47" s="92"/>
      <c r="C47" s="107" t="s">
        <v>304</v>
      </c>
      <c r="D47" s="107" t="s">
        <v>305</v>
      </c>
      <c r="E47" s="90"/>
      <c r="F47" s="84"/>
      <c r="G47" s="84"/>
      <c r="H47" s="84"/>
      <c r="I47" s="84"/>
      <c r="J47" s="84"/>
      <c r="K47" s="84"/>
      <c r="L47" s="91"/>
      <c r="M47" s="90"/>
      <c r="N47" s="84"/>
      <c r="O47" s="84"/>
      <c r="P47" s="84"/>
      <c r="Q47" s="84"/>
      <c r="R47" s="91"/>
      <c r="S47" s="71"/>
      <c r="T47" s="71"/>
      <c r="U47" s="71"/>
      <c r="V47" s="72"/>
      <c r="W47" s="72"/>
      <c r="X47" s="73"/>
      <c r="Y47" s="73"/>
      <c r="Z47" s="73"/>
    </row>
    <row r="48" ht="12.0" customHeight="1">
      <c r="A48" s="92"/>
      <c r="B48" s="92"/>
      <c r="C48" s="92"/>
      <c r="D48" s="92"/>
      <c r="E48" s="107" t="s">
        <v>306</v>
      </c>
      <c r="F48" s="107" t="s">
        <v>307</v>
      </c>
      <c r="G48" s="107" t="s">
        <v>308</v>
      </c>
      <c r="H48" s="107" t="s">
        <v>309</v>
      </c>
      <c r="I48" s="107" t="s">
        <v>310</v>
      </c>
      <c r="J48" s="107" t="s">
        <v>311</v>
      </c>
      <c r="K48" s="125" t="s">
        <v>312</v>
      </c>
      <c r="L48" s="86"/>
      <c r="M48" s="135" t="s">
        <v>144</v>
      </c>
      <c r="N48" s="137"/>
      <c r="O48" s="137"/>
      <c r="P48" s="136"/>
      <c r="Q48" s="125" t="s">
        <v>145</v>
      </c>
      <c r="R48" s="86"/>
      <c r="S48" s="71"/>
      <c r="T48" s="71"/>
      <c r="U48" s="71"/>
      <c r="V48" s="72"/>
      <c r="W48" s="72"/>
      <c r="X48" s="73"/>
      <c r="Y48" s="73"/>
      <c r="Z48" s="73"/>
    </row>
    <row r="49" ht="12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3"/>
      <c r="L49" s="94"/>
      <c r="M49" s="125" t="s">
        <v>146</v>
      </c>
      <c r="N49" s="87"/>
      <c r="O49" s="86"/>
      <c r="P49" s="107" t="s">
        <v>147</v>
      </c>
      <c r="Q49" s="93"/>
      <c r="R49" s="94"/>
      <c r="S49" s="71"/>
      <c r="T49" s="71"/>
      <c r="U49" s="71"/>
      <c r="V49" s="72"/>
      <c r="W49" s="72"/>
      <c r="X49" s="73"/>
      <c r="Y49" s="73"/>
      <c r="Z49" s="73"/>
    </row>
    <row r="50" ht="6.0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0"/>
      <c r="L50" s="91"/>
      <c r="M50" s="90"/>
      <c r="N50" s="84"/>
      <c r="O50" s="91"/>
      <c r="P50" s="98"/>
      <c r="Q50" s="90"/>
      <c r="R50" s="91"/>
      <c r="S50" s="71"/>
      <c r="T50" s="71"/>
      <c r="U50" s="71"/>
      <c r="V50" s="72"/>
      <c r="W50" s="72"/>
      <c r="X50" s="73"/>
      <c r="Y50" s="73"/>
      <c r="Z50" s="73"/>
    </row>
    <row r="51" ht="12.0" customHeight="1">
      <c r="A51" s="126" t="s">
        <v>99</v>
      </c>
      <c r="B51" s="115" t="s">
        <v>148</v>
      </c>
      <c r="C51" s="114" t="s">
        <v>99</v>
      </c>
      <c r="D51" s="113" t="s">
        <v>99</v>
      </c>
      <c r="E51" s="114" t="s">
        <v>99</v>
      </c>
      <c r="F51" s="115" t="s">
        <v>99</v>
      </c>
      <c r="G51" s="114" t="s">
        <v>99</v>
      </c>
      <c r="H51" s="115" t="s">
        <v>99</v>
      </c>
      <c r="I51" s="114" t="s">
        <v>99</v>
      </c>
      <c r="J51" s="115" t="s">
        <v>99</v>
      </c>
      <c r="K51" s="105" t="s">
        <v>99</v>
      </c>
      <c r="L51" s="94"/>
      <c r="M51" s="125" t="s">
        <v>99</v>
      </c>
      <c r="N51" s="87"/>
      <c r="O51" s="86"/>
      <c r="P51" s="105" t="s">
        <v>99</v>
      </c>
      <c r="Q51" s="125" t="s">
        <v>99</v>
      </c>
      <c r="R51" s="86"/>
      <c r="S51" s="71"/>
      <c r="T51" s="71"/>
      <c r="U51" s="71"/>
      <c r="V51" s="72" t="s">
        <v>99</v>
      </c>
      <c r="W51" s="72" t="str">
        <f t="shared" ref="W51:W59" si="2">IF(C51="","",IF(C51&gt;=7,"sálico",IF(C51&gt;=4,"salino","")))</f>
        <v/>
      </c>
      <c r="X51" s="73"/>
      <c r="Y51" s="73"/>
      <c r="Z51" s="73"/>
    </row>
    <row r="52" ht="12.0" customHeight="1">
      <c r="A52" s="126" t="s">
        <v>99</v>
      </c>
      <c r="B52" s="115" t="s">
        <v>148</v>
      </c>
      <c r="C52" s="114" t="s">
        <v>99</v>
      </c>
      <c r="D52" s="113" t="s">
        <v>99</v>
      </c>
      <c r="E52" s="114" t="s">
        <v>99</v>
      </c>
      <c r="F52" s="115" t="s">
        <v>99</v>
      </c>
      <c r="G52" s="114" t="s">
        <v>99</v>
      </c>
      <c r="H52" s="115" t="s">
        <v>99</v>
      </c>
      <c r="I52" s="114" t="s">
        <v>99</v>
      </c>
      <c r="J52" s="115" t="s">
        <v>99</v>
      </c>
      <c r="K52" s="105" t="s">
        <v>99</v>
      </c>
      <c r="M52" s="105" t="s">
        <v>99</v>
      </c>
      <c r="O52" s="94"/>
      <c r="P52" s="114" t="s">
        <v>99</v>
      </c>
      <c r="Q52" s="105" t="s">
        <v>99</v>
      </c>
      <c r="R52" s="94"/>
      <c r="S52" s="71"/>
      <c r="T52" s="71"/>
      <c r="U52" s="71"/>
      <c r="V52" s="72" t="s">
        <v>99</v>
      </c>
      <c r="W52" s="72" t="str">
        <f t="shared" si="2"/>
        <v/>
      </c>
      <c r="X52" s="73"/>
      <c r="Y52" s="73"/>
      <c r="Z52" s="73"/>
    </row>
    <row r="53" ht="12.0" customHeight="1">
      <c r="A53" s="126" t="s">
        <v>99</v>
      </c>
      <c r="B53" s="115" t="s">
        <v>99</v>
      </c>
      <c r="C53" s="114" t="s">
        <v>99</v>
      </c>
      <c r="D53" s="113" t="s">
        <v>99</v>
      </c>
      <c r="E53" s="114" t="s">
        <v>99</v>
      </c>
      <c r="F53" s="115" t="s">
        <v>99</v>
      </c>
      <c r="G53" s="114" t="s">
        <v>99</v>
      </c>
      <c r="H53" s="115" t="s">
        <v>99</v>
      </c>
      <c r="I53" s="114" t="s">
        <v>99</v>
      </c>
      <c r="J53" s="115" t="s">
        <v>99</v>
      </c>
      <c r="K53" s="105" t="s">
        <v>99</v>
      </c>
      <c r="M53" s="105" t="s">
        <v>99</v>
      </c>
      <c r="O53" s="94"/>
      <c r="P53" s="114" t="s">
        <v>99</v>
      </c>
      <c r="Q53" s="105" t="s">
        <v>99</v>
      </c>
      <c r="R53" s="94"/>
      <c r="S53" s="71"/>
      <c r="T53" s="71"/>
      <c r="U53" s="71"/>
      <c r="V53" s="72" t="s">
        <v>99</v>
      </c>
      <c r="W53" s="72" t="str">
        <f t="shared" si="2"/>
        <v/>
      </c>
      <c r="X53" s="73"/>
      <c r="Y53" s="73"/>
      <c r="Z53" s="73"/>
    </row>
    <row r="54" ht="12.0" customHeight="1">
      <c r="A54" s="126" t="s">
        <v>99</v>
      </c>
      <c r="B54" s="115" t="s">
        <v>99</v>
      </c>
      <c r="C54" s="114" t="s">
        <v>99</v>
      </c>
      <c r="D54" s="113" t="s">
        <v>99</v>
      </c>
      <c r="E54" s="114" t="s">
        <v>99</v>
      </c>
      <c r="F54" s="115" t="s">
        <v>99</v>
      </c>
      <c r="G54" s="114" t="s">
        <v>99</v>
      </c>
      <c r="H54" s="115" t="s">
        <v>99</v>
      </c>
      <c r="I54" s="114" t="s">
        <v>99</v>
      </c>
      <c r="J54" s="115" t="s">
        <v>99</v>
      </c>
      <c r="K54" s="105" t="s">
        <v>99</v>
      </c>
      <c r="M54" s="105" t="s">
        <v>99</v>
      </c>
      <c r="O54" s="94"/>
      <c r="P54" s="114" t="s">
        <v>99</v>
      </c>
      <c r="Q54" s="105" t="s">
        <v>99</v>
      </c>
      <c r="R54" s="94"/>
      <c r="S54" s="71"/>
      <c r="T54" s="71"/>
      <c r="U54" s="71"/>
      <c r="V54" s="72" t="s">
        <v>99</v>
      </c>
      <c r="W54" s="72" t="str">
        <f t="shared" si="2"/>
        <v/>
      </c>
      <c r="X54" s="73"/>
      <c r="Y54" s="73"/>
      <c r="Z54" s="73"/>
    </row>
    <row r="55" ht="12.0" customHeight="1">
      <c r="A55" s="126" t="s">
        <v>99</v>
      </c>
      <c r="B55" s="115" t="s">
        <v>99</v>
      </c>
      <c r="C55" s="114" t="s">
        <v>99</v>
      </c>
      <c r="D55" s="113" t="s">
        <v>99</v>
      </c>
      <c r="E55" s="114" t="s">
        <v>99</v>
      </c>
      <c r="F55" s="115" t="s">
        <v>99</v>
      </c>
      <c r="G55" s="114" t="s">
        <v>99</v>
      </c>
      <c r="H55" s="115" t="s">
        <v>99</v>
      </c>
      <c r="I55" s="114" t="s">
        <v>99</v>
      </c>
      <c r="J55" s="115" t="s">
        <v>99</v>
      </c>
      <c r="K55" s="105" t="s">
        <v>99</v>
      </c>
      <c r="M55" s="105" t="s">
        <v>99</v>
      </c>
      <c r="O55" s="94"/>
      <c r="P55" s="114" t="s">
        <v>99</v>
      </c>
      <c r="Q55" s="105" t="s">
        <v>99</v>
      </c>
      <c r="R55" s="94"/>
      <c r="S55" s="71"/>
      <c r="T55" s="71"/>
      <c r="U55" s="71"/>
      <c r="V55" s="72" t="s">
        <v>99</v>
      </c>
      <c r="W55" s="72" t="str">
        <f t="shared" si="2"/>
        <v/>
      </c>
      <c r="X55" s="73"/>
      <c r="Y55" s="73"/>
      <c r="Z55" s="73"/>
    </row>
    <row r="56" ht="12.0" customHeight="1">
      <c r="A56" s="126" t="s">
        <v>99</v>
      </c>
      <c r="B56" s="115" t="s">
        <v>99</v>
      </c>
      <c r="C56" s="114" t="s">
        <v>99</v>
      </c>
      <c r="D56" s="113" t="s">
        <v>99</v>
      </c>
      <c r="E56" s="114" t="s">
        <v>99</v>
      </c>
      <c r="F56" s="115" t="s">
        <v>99</v>
      </c>
      <c r="G56" s="114" t="s">
        <v>99</v>
      </c>
      <c r="H56" s="115" t="s">
        <v>99</v>
      </c>
      <c r="I56" s="114" t="s">
        <v>99</v>
      </c>
      <c r="J56" s="115" t="s">
        <v>99</v>
      </c>
      <c r="K56" s="105" t="s">
        <v>99</v>
      </c>
      <c r="M56" s="105" t="s">
        <v>99</v>
      </c>
      <c r="O56" s="94"/>
      <c r="P56" s="114" t="s">
        <v>99</v>
      </c>
      <c r="Q56" s="105" t="s">
        <v>99</v>
      </c>
      <c r="R56" s="94"/>
      <c r="S56" s="71"/>
      <c r="T56" s="71"/>
      <c r="U56" s="71"/>
      <c r="V56" s="72" t="s">
        <v>99</v>
      </c>
      <c r="W56" s="72" t="str">
        <f t="shared" si="2"/>
        <v/>
      </c>
      <c r="X56" s="73"/>
      <c r="Y56" s="73"/>
      <c r="Z56" s="73"/>
    </row>
    <row r="57" ht="12.0" customHeight="1">
      <c r="A57" s="126" t="s">
        <v>99</v>
      </c>
      <c r="B57" s="115" t="s">
        <v>99</v>
      </c>
      <c r="C57" s="114" t="s">
        <v>99</v>
      </c>
      <c r="D57" s="113" t="s">
        <v>99</v>
      </c>
      <c r="E57" s="114" t="s">
        <v>99</v>
      </c>
      <c r="F57" s="115" t="s">
        <v>99</v>
      </c>
      <c r="G57" s="114" t="s">
        <v>99</v>
      </c>
      <c r="H57" s="115" t="s">
        <v>99</v>
      </c>
      <c r="I57" s="114" t="s">
        <v>99</v>
      </c>
      <c r="J57" s="115" t="s">
        <v>99</v>
      </c>
      <c r="K57" s="105" t="s">
        <v>99</v>
      </c>
      <c r="M57" s="105" t="s">
        <v>99</v>
      </c>
      <c r="O57" s="94"/>
      <c r="P57" s="114" t="s">
        <v>99</v>
      </c>
      <c r="Q57" s="105" t="s">
        <v>99</v>
      </c>
      <c r="R57" s="94"/>
      <c r="S57" s="71"/>
      <c r="T57" s="71"/>
      <c r="U57" s="71"/>
      <c r="V57" s="72" t="s">
        <v>99</v>
      </c>
      <c r="W57" s="72" t="str">
        <f t="shared" si="2"/>
        <v/>
      </c>
      <c r="X57" s="73"/>
      <c r="Y57" s="73"/>
      <c r="Z57" s="73"/>
    </row>
    <row r="58" ht="12.0" customHeight="1">
      <c r="A58" s="126" t="s">
        <v>99</v>
      </c>
      <c r="B58" s="115" t="s">
        <v>99</v>
      </c>
      <c r="C58" s="114" t="s">
        <v>99</v>
      </c>
      <c r="D58" s="113" t="s">
        <v>99</v>
      </c>
      <c r="E58" s="114" t="s">
        <v>99</v>
      </c>
      <c r="F58" s="115" t="s">
        <v>99</v>
      </c>
      <c r="G58" s="114" t="s">
        <v>99</v>
      </c>
      <c r="H58" s="115" t="s">
        <v>99</v>
      </c>
      <c r="I58" s="114" t="s">
        <v>99</v>
      </c>
      <c r="J58" s="115" t="s">
        <v>99</v>
      </c>
      <c r="K58" s="105" t="s">
        <v>99</v>
      </c>
      <c r="M58" s="105" t="s">
        <v>99</v>
      </c>
      <c r="O58" s="94"/>
      <c r="P58" s="114" t="s">
        <v>99</v>
      </c>
      <c r="Q58" s="105" t="s">
        <v>99</v>
      </c>
      <c r="R58" s="94"/>
      <c r="S58" s="71"/>
      <c r="T58" s="71"/>
      <c r="U58" s="71"/>
      <c r="V58" s="72" t="s">
        <v>99</v>
      </c>
      <c r="W58" s="72" t="str">
        <f t="shared" si="2"/>
        <v/>
      </c>
      <c r="X58" s="73"/>
      <c r="Y58" s="73"/>
      <c r="Z58" s="73"/>
    </row>
    <row r="59" ht="12.0" customHeight="1">
      <c r="A59" s="138" t="s">
        <v>99</v>
      </c>
      <c r="B59" s="119" t="s">
        <v>99</v>
      </c>
      <c r="C59" s="118" t="s">
        <v>99</v>
      </c>
      <c r="D59" s="139" t="s">
        <v>99</v>
      </c>
      <c r="E59" s="118" t="s">
        <v>99</v>
      </c>
      <c r="F59" s="119" t="s">
        <v>99</v>
      </c>
      <c r="G59" s="118" t="s">
        <v>99</v>
      </c>
      <c r="H59" s="119" t="s">
        <v>99</v>
      </c>
      <c r="I59" s="118" t="s">
        <v>99</v>
      </c>
      <c r="J59" s="119" t="s">
        <v>99</v>
      </c>
      <c r="K59" s="120" t="s">
        <v>99</v>
      </c>
      <c r="L59" s="91"/>
      <c r="M59" s="120" t="s">
        <v>99</v>
      </c>
      <c r="N59" s="84"/>
      <c r="O59" s="91"/>
      <c r="P59" s="120" t="s">
        <v>99</v>
      </c>
      <c r="Q59" s="120" t="s">
        <v>99</v>
      </c>
      <c r="R59" s="91"/>
      <c r="S59" s="71"/>
      <c r="T59" s="71"/>
      <c r="U59" s="71"/>
      <c r="V59" s="72" t="s">
        <v>99</v>
      </c>
      <c r="W59" s="72" t="str">
        <f t="shared" si="2"/>
        <v/>
      </c>
      <c r="X59" s="73"/>
      <c r="Y59" s="73"/>
      <c r="Z59" s="73"/>
    </row>
    <row r="60" ht="12.0" customHeight="1">
      <c r="A60" s="140" t="s">
        <v>149</v>
      </c>
      <c r="B60" s="141"/>
      <c r="C60" s="97"/>
      <c r="D60" s="97"/>
      <c r="E60" s="97"/>
      <c r="F60" s="97"/>
      <c r="G60" s="97"/>
      <c r="H60" s="97"/>
      <c r="I60" s="97"/>
      <c r="J60" s="97"/>
      <c r="K60" s="97"/>
      <c r="M60" s="97"/>
      <c r="P60" s="97"/>
      <c r="Q60" s="97"/>
      <c r="S60" s="71"/>
      <c r="T60" s="71"/>
      <c r="U60" s="71"/>
      <c r="V60" s="72"/>
      <c r="W60" s="72"/>
      <c r="X60" s="73"/>
      <c r="Y60" s="73"/>
      <c r="Z60" s="73"/>
    </row>
    <row r="61" ht="12.0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M61" s="73"/>
      <c r="P61" s="73"/>
      <c r="Q61" s="73"/>
      <c r="S61" s="71"/>
      <c r="T61" s="71"/>
      <c r="U61" s="71"/>
      <c r="V61" s="72"/>
      <c r="W61" s="72"/>
      <c r="X61" s="73"/>
      <c r="Y61" s="73"/>
      <c r="Z61" s="73"/>
    </row>
    <row r="62" ht="12.0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M62" s="73"/>
      <c r="P62" s="73"/>
      <c r="Q62" s="73"/>
      <c r="S62" s="71"/>
      <c r="T62" s="71"/>
      <c r="U62" s="71"/>
      <c r="V62" s="72"/>
      <c r="W62" s="72"/>
      <c r="X62" s="73"/>
      <c r="Y62" s="73"/>
      <c r="Z62" s="73"/>
    </row>
    <row r="63" ht="12.0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M63" s="73"/>
      <c r="P63" s="73"/>
      <c r="Q63" s="73"/>
      <c r="S63" s="71"/>
      <c r="T63" s="71"/>
      <c r="U63" s="71"/>
      <c r="V63" s="72"/>
      <c r="W63" s="72"/>
      <c r="X63" s="73"/>
      <c r="Y63" s="73"/>
      <c r="Z63" s="73"/>
    </row>
    <row r="64" ht="12.0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1"/>
      <c r="T64" s="71"/>
      <c r="U64" s="71"/>
      <c r="V64" s="72"/>
      <c r="W64" s="72"/>
      <c r="X64" s="73"/>
      <c r="Y64" s="73"/>
      <c r="Z64" s="73"/>
    </row>
    <row r="65" ht="12.0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1"/>
      <c r="T65" s="71"/>
      <c r="U65" s="71"/>
      <c r="V65" s="72"/>
      <c r="W65" s="72"/>
      <c r="X65" s="73"/>
      <c r="Y65" s="73"/>
      <c r="Z65" s="73"/>
    </row>
    <row r="66" ht="12.0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1"/>
      <c r="T66" s="71"/>
      <c r="U66" s="71"/>
      <c r="V66" s="72"/>
      <c r="W66" s="72"/>
      <c r="X66" s="73"/>
      <c r="Y66" s="73"/>
      <c r="Z66" s="73"/>
    </row>
    <row r="67" ht="12.0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1"/>
      <c r="T67" s="71"/>
      <c r="U67" s="71"/>
      <c r="V67" s="72"/>
      <c r="W67" s="72"/>
      <c r="X67" s="73"/>
      <c r="Y67" s="73"/>
      <c r="Z67" s="73"/>
    </row>
    <row r="68" ht="12.0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1"/>
      <c r="T68" s="71"/>
      <c r="U68" s="71"/>
      <c r="V68" s="72"/>
      <c r="W68" s="72"/>
      <c r="X68" s="73"/>
      <c r="Y68" s="73"/>
      <c r="Z68" s="73"/>
    </row>
    <row r="69" ht="12.0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1"/>
      <c r="T69" s="71"/>
      <c r="U69" s="71"/>
      <c r="V69" s="72"/>
      <c r="W69" s="72"/>
      <c r="X69" s="73"/>
      <c r="Y69" s="73"/>
      <c r="Z69" s="73"/>
    </row>
    <row r="70" ht="12.0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1"/>
      <c r="T70" s="71"/>
      <c r="U70" s="71"/>
      <c r="V70" s="72"/>
      <c r="W70" s="72"/>
      <c r="X70" s="73"/>
      <c r="Y70" s="73"/>
      <c r="Z70" s="73"/>
    </row>
    <row r="71" ht="12.0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1"/>
      <c r="T71" s="71"/>
      <c r="U71" s="71"/>
      <c r="V71" s="72"/>
      <c r="W71" s="72"/>
      <c r="X71" s="73"/>
      <c r="Y71" s="73"/>
      <c r="Z71" s="73"/>
    </row>
    <row r="72" ht="12.0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1"/>
      <c r="T72" s="71"/>
      <c r="U72" s="71"/>
      <c r="V72" s="72"/>
      <c r="W72" s="72"/>
      <c r="X72" s="73"/>
      <c r="Y72" s="73"/>
      <c r="Z72" s="73"/>
    </row>
    <row r="73" ht="12.0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1"/>
      <c r="T73" s="71"/>
      <c r="U73" s="71"/>
      <c r="V73" s="72"/>
      <c r="W73" s="72"/>
      <c r="X73" s="73"/>
      <c r="Y73" s="73"/>
      <c r="Z73" s="73"/>
    </row>
    <row r="74" ht="12.0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1"/>
      <c r="T74" s="71"/>
      <c r="U74" s="71"/>
      <c r="V74" s="72"/>
      <c r="W74" s="72"/>
      <c r="X74" s="73"/>
      <c r="Y74" s="73"/>
      <c r="Z74" s="73"/>
    </row>
    <row r="75" ht="12.0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1"/>
      <c r="T75" s="71"/>
      <c r="U75" s="71"/>
      <c r="V75" s="72"/>
      <c r="W75" s="72"/>
      <c r="X75" s="73"/>
      <c r="Y75" s="73"/>
      <c r="Z75" s="73"/>
    </row>
    <row r="76" ht="12.0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1"/>
      <c r="T76" s="71"/>
      <c r="U76" s="71"/>
      <c r="V76" s="72"/>
      <c r="W76" s="72"/>
      <c r="X76" s="73"/>
      <c r="Y76" s="73"/>
      <c r="Z76" s="73"/>
    </row>
    <row r="77" ht="12.0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1"/>
      <c r="T77" s="71"/>
      <c r="U77" s="71"/>
      <c r="V77" s="72"/>
      <c r="W77" s="72"/>
      <c r="X77" s="73"/>
      <c r="Y77" s="73"/>
      <c r="Z77" s="73"/>
    </row>
    <row r="78" ht="12.0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1"/>
      <c r="T78" s="71"/>
      <c r="U78" s="71"/>
      <c r="V78" s="72"/>
      <c r="W78" s="72"/>
      <c r="X78" s="73"/>
      <c r="Y78" s="73"/>
      <c r="Z78" s="73"/>
    </row>
    <row r="79" ht="12.0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1"/>
      <c r="T79" s="71"/>
      <c r="U79" s="71"/>
      <c r="V79" s="72"/>
      <c r="W79" s="72"/>
      <c r="X79" s="73"/>
      <c r="Y79" s="73"/>
      <c r="Z79" s="73"/>
    </row>
    <row r="80" ht="12.0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1"/>
      <c r="T80" s="71"/>
      <c r="U80" s="71"/>
      <c r="V80" s="72"/>
      <c r="W80" s="72"/>
      <c r="X80" s="73"/>
      <c r="Y80" s="73"/>
      <c r="Z80" s="73"/>
    </row>
    <row r="81" ht="12.0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1"/>
      <c r="T81" s="71"/>
      <c r="U81" s="71"/>
      <c r="V81" s="72"/>
      <c r="W81" s="72"/>
      <c r="X81" s="73"/>
      <c r="Y81" s="73"/>
      <c r="Z81" s="73"/>
    </row>
    <row r="82" ht="12.0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1"/>
      <c r="T82" s="71"/>
      <c r="U82" s="71"/>
      <c r="V82" s="72"/>
      <c r="W82" s="72"/>
      <c r="X82" s="73"/>
      <c r="Y82" s="73"/>
      <c r="Z82" s="73"/>
    </row>
    <row r="83" ht="12.0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1"/>
      <c r="T83" s="71"/>
      <c r="U83" s="71"/>
      <c r="V83" s="72"/>
      <c r="W83" s="72"/>
      <c r="X83" s="73"/>
      <c r="Y83" s="73"/>
      <c r="Z83" s="73"/>
    </row>
    <row r="84" ht="12.0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1"/>
      <c r="T84" s="71"/>
      <c r="U84" s="71"/>
      <c r="V84" s="72"/>
      <c r="W84" s="72"/>
      <c r="X84" s="73"/>
      <c r="Y84" s="73"/>
      <c r="Z84" s="73"/>
    </row>
    <row r="85" ht="12.0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1"/>
      <c r="T85" s="71"/>
      <c r="U85" s="71"/>
      <c r="V85" s="72"/>
      <c r="W85" s="72"/>
      <c r="X85" s="73"/>
      <c r="Y85" s="73"/>
      <c r="Z85" s="73"/>
    </row>
    <row r="86" ht="12.0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1"/>
      <c r="T86" s="71"/>
      <c r="U86" s="71"/>
      <c r="V86" s="72"/>
      <c r="W86" s="72"/>
      <c r="X86" s="73"/>
      <c r="Y86" s="73"/>
      <c r="Z86" s="73"/>
    </row>
    <row r="87" ht="12.0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1"/>
      <c r="T87" s="71"/>
      <c r="U87" s="71"/>
      <c r="V87" s="72"/>
      <c r="W87" s="72"/>
      <c r="X87" s="73"/>
      <c r="Y87" s="73"/>
      <c r="Z87" s="73"/>
    </row>
    <row r="88" ht="12.0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1"/>
      <c r="T88" s="71"/>
      <c r="U88" s="71"/>
      <c r="V88" s="72"/>
      <c r="W88" s="72"/>
      <c r="X88" s="73"/>
      <c r="Y88" s="73"/>
      <c r="Z88" s="73"/>
    </row>
    <row r="89" ht="12.0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1"/>
      <c r="T89" s="71"/>
      <c r="U89" s="71"/>
      <c r="V89" s="72"/>
      <c r="W89" s="72"/>
      <c r="X89" s="73"/>
      <c r="Y89" s="73"/>
      <c r="Z89" s="73"/>
    </row>
    <row r="90" ht="12.0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1"/>
      <c r="T90" s="71"/>
      <c r="U90" s="71"/>
      <c r="V90" s="72"/>
      <c r="W90" s="72"/>
      <c r="X90" s="73"/>
      <c r="Y90" s="73"/>
      <c r="Z90" s="73"/>
    </row>
    <row r="91" ht="12.0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1"/>
      <c r="T91" s="71"/>
      <c r="U91" s="71"/>
      <c r="V91" s="72"/>
      <c r="W91" s="72"/>
      <c r="X91" s="73"/>
      <c r="Y91" s="73"/>
      <c r="Z91" s="73"/>
    </row>
    <row r="92" ht="12.0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1"/>
      <c r="T92" s="71"/>
      <c r="U92" s="71"/>
      <c r="V92" s="72"/>
      <c r="W92" s="72"/>
      <c r="X92" s="73"/>
      <c r="Y92" s="73"/>
      <c r="Z92" s="73"/>
    </row>
    <row r="93" ht="12.0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1"/>
      <c r="T93" s="71"/>
      <c r="U93" s="71"/>
      <c r="V93" s="72"/>
      <c r="W93" s="72"/>
      <c r="X93" s="73"/>
      <c r="Y93" s="73"/>
      <c r="Z93" s="73"/>
    </row>
    <row r="94" ht="12.0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1"/>
      <c r="T94" s="71"/>
      <c r="U94" s="71"/>
      <c r="V94" s="72"/>
      <c r="W94" s="72"/>
      <c r="X94" s="73"/>
      <c r="Y94" s="73"/>
      <c r="Z94" s="73"/>
    </row>
    <row r="95" ht="12.0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1"/>
      <c r="T95" s="71"/>
      <c r="U95" s="71"/>
      <c r="V95" s="72"/>
      <c r="W95" s="72"/>
      <c r="X95" s="73"/>
      <c r="Y95" s="73"/>
      <c r="Z95" s="73"/>
    </row>
    <row r="96" ht="12.0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1"/>
      <c r="T96" s="71"/>
      <c r="U96" s="71"/>
      <c r="V96" s="72"/>
      <c r="W96" s="72"/>
      <c r="X96" s="73"/>
      <c r="Y96" s="73"/>
      <c r="Z96" s="73"/>
    </row>
    <row r="97" ht="12.0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1"/>
      <c r="T97" s="71"/>
      <c r="U97" s="71"/>
      <c r="V97" s="72"/>
      <c r="W97" s="72"/>
      <c r="X97" s="73"/>
      <c r="Y97" s="73"/>
      <c r="Z97" s="73"/>
    </row>
    <row r="98" ht="12.0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1"/>
      <c r="T98" s="71"/>
      <c r="U98" s="71"/>
      <c r="V98" s="72"/>
      <c r="W98" s="72"/>
      <c r="X98" s="73"/>
      <c r="Y98" s="73"/>
      <c r="Z98" s="73"/>
    </row>
    <row r="99" ht="12.0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1"/>
      <c r="T99" s="71"/>
      <c r="U99" s="71"/>
      <c r="V99" s="72"/>
      <c r="W99" s="72"/>
      <c r="X99" s="73"/>
      <c r="Y99" s="73"/>
      <c r="Z99" s="73"/>
    </row>
    <row r="100" ht="12.0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1"/>
      <c r="T100" s="71"/>
      <c r="U100" s="71"/>
      <c r="V100" s="72"/>
      <c r="W100" s="72"/>
      <c r="X100" s="73"/>
      <c r="Y100" s="73"/>
      <c r="Z100" s="73"/>
    </row>
    <row r="101" ht="12.0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1"/>
      <c r="T101" s="71"/>
      <c r="U101" s="71"/>
      <c r="V101" s="72"/>
      <c r="W101" s="72"/>
      <c r="X101" s="73"/>
      <c r="Y101" s="73"/>
      <c r="Z101" s="73"/>
    </row>
    <row r="102" ht="12.0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1"/>
      <c r="T102" s="71"/>
      <c r="U102" s="71"/>
      <c r="V102" s="72"/>
      <c r="W102" s="72"/>
      <c r="X102" s="73"/>
      <c r="Y102" s="73"/>
      <c r="Z102" s="73"/>
    </row>
    <row r="103" ht="12.0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1"/>
      <c r="T103" s="71"/>
      <c r="U103" s="71"/>
      <c r="V103" s="72"/>
      <c r="W103" s="72"/>
      <c r="X103" s="73"/>
      <c r="Y103" s="73"/>
      <c r="Z103" s="73"/>
    </row>
    <row r="104" ht="12.0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1"/>
      <c r="T104" s="71"/>
      <c r="U104" s="71"/>
      <c r="V104" s="72"/>
      <c r="W104" s="72"/>
      <c r="X104" s="73"/>
      <c r="Y104" s="73"/>
      <c r="Z104" s="73"/>
    </row>
    <row r="105" ht="12.0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1"/>
      <c r="T105" s="71"/>
      <c r="U105" s="71"/>
      <c r="V105" s="72"/>
      <c r="W105" s="72"/>
      <c r="X105" s="73"/>
      <c r="Y105" s="73"/>
      <c r="Z105" s="73"/>
    </row>
    <row r="106" ht="12.0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1"/>
      <c r="T106" s="71"/>
      <c r="U106" s="71"/>
      <c r="V106" s="72"/>
      <c r="W106" s="72"/>
      <c r="X106" s="73"/>
      <c r="Y106" s="73"/>
      <c r="Z106" s="73"/>
    </row>
    <row r="107" ht="12.0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1"/>
      <c r="T107" s="71"/>
      <c r="U107" s="71"/>
      <c r="V107" s="72"/>
      <c r="W107" s="72"/>
      <c r="X107" s="73"/>
      <c r="Y107" s="73"/>
      <c r="Z107" s="73"/>
    </row>
    <row r="108" ht="12.0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1"/>
      <c r="T108" s="71"/>
      <c r="U108" s="71"/>
      <c r="V108" s="72"/>
      <c r="W108" s="72"/>
      <c r="X108" s="73"/>
      <c r="Y108" s="73"/>
      <c r="Z108" s="73"/>
    </row>
    <row r="109" ht="12.0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1"/>
      <c r="T109" s="71"/>
      <c r="U109" s="71"/>
      <c r="V109" s="72"/>
      <c r="W109" s="72"/>
      <c r="X109" s="73"/>
      <c r="Y109" s="73"/>
      <c r="Z109" s="73"/>
    </row>
    <row r="110" ht="12.0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1"/>
      <c r="T110" s="71"/>
      <c r="U110" s="71"/>
      <c r="V110" s="72"/>
      <c r="W110" s="72"/>
      <c r="X110" s="73"/>
      <c r="Y110" s="73"/>
      <c r="Z110" s="73"/>
    </row>
    <row r="111" ht="12.0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1"/>
      <c r="T111" s="71"/>
      <c r="U111" s="71"/>
      <c r="V111" s="72"/>
      <c r="W111" s="72"/>
      <c r="X111" s="73"/>
      <c r="Y111" s="73"/>
      <c r="Z111" s="73"/>
    </row>
    <row r="112" ht="12.0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1"/>
      <c r="T112" s="71"/>
      <c r="U112" s="71"/>
      <c r="V112" s="72"/>
      <c r="W112" s="72"/>
      <c r="X112" s="73"/>
      <c r="Y112" s="73"/>
      <c r="Z112" s="73"/>
    </row>
    <row r="113" ht="12.0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1"/>
      <c r="T113" s="71"/>
      <c r="U113" s="71"/>
      <c r="V113" s="72"/>
      <c r="W113" s="72"/>
      <c r="X113" s="73"/>
      <c r="Y113" s="73"/>
      <c r="Z113" s="73"/>
    </row>
    <row r="114" ht="12.0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1"/>
      <c r="T114" s="71"/>
      <c r="U114" s="71"/>
      <c r="V114" s="72"/>
      <c r="W114" s="72"/>
      <c r="X114" s="73"/>
      <c r="Y114" s="73"/>
      <c r="Z114" s="73"/>
    </row>
    <row r="115" ht="12.0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1"/>
      <c r="T115" s="71"/>
      <c r="U115" s="71"/>
      <c r="V115" s="72"/>
      <c r="W115" s="72"/>
      <c r="X115" s="73"/>
      <c r="Y115" s="73"/>
      <c r="Z115" s="73"/>
    </row>
    <row r="116" ht="12.0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1"/>
      <c r="T116" s="71"/>
      <c r="U116" s="71"/>
      <c r="V116" s="72"/>
      <c r="W116" s="72"/>
      <c r="X116" s="73"/>
      <c r="Y116" s="73"/>
      <c r="Z116" s="73"/>
    </row>
    <row r="117" ht="12.0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1"/>
      <c r="T117" s="71"/>
      <c r="U117" s="71"/>
      <c r="V117" s="72"/>
      <c r="W117" s="72"/>
      <c r="X117" s="73"/>
      <c r="Y117" s="73"/>
      <c r="Z117" s="73"/>
    </row>
    <row r="118" ht="12.0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1"/>
      <c r="T118" s="71"/>
      <c r="U118" s="71"/>
      <c r="V118" s="72"/>
      <c r="W118" s="72"/>
      <c r="X118" s="73"/>
      <c r="Y118" s="73"/>
      <c r="Z118" s="73"/>
    </row>
    <row r="119" ht="12.0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1"/>
      <c r="T119" s="71"/>
      <c r="U119" s="71"/>
      <c r="V119" s="72"/>
      <c r="W119" s="72"/>
      <c r="X119" s="73"/>
      <c r="Y119" s="73"/>
      <c r="Z119" s="73"/>
    </row>
    <row r="120" ht="12.0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1"/>
      <c r="T120" s="71"/>
      <c r="U120" s="71"/>
      <c r="V120" s="72"/>
      <c r="W120" s="72"/>
      <c r="X120" s="73"/>
      <c r="Y120" s="73"/>
      <c r="Z120" s="73"/>
    </row>
    <row r="121" ht="12.0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1"/>
      <c r="T121" s="71"/>
      <c r="U121" s="71"/>
      <c r="V121" s="72"/>
      <c r="W121" s="72"/>
      <c r="X121" s="73"/>
      <c r="Y121" s="73"/>
      <c r="Z121" s="73"/>
    </row>
    <row r="122" ht="12.0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1"/>
      <c r="T122" s="71"/>
      <c r="U122" s="71"/>
      <c r="V122" s="72"/>
      <c r="W122" s="72"/>
      <c r="X122" s="73"/>
      <c r="Y122" s="73"/>
      <c r="Z122" s="73"/>
    </row>
    <row r="123" ht="12.0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1"/>
      <c r="T123" s="71"/>
      <c r="U123" s="71"/>
      <c r="V123" s="72"/>
      <c r="W123" s="72"/>
      <c r="X123" s="73"/>
      <c r="Y123" s="73"/>
      <c r="Z123" s="73"/>
    </row>
    <row r="124" ht="12.0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1"/>
      <c r="T124" s="71"/>
      <c r="U124" s="71"/>
      <c r="V124" s="72"/>
      <c r="W124" s="72"/>
      <c r="X124" s="73"/>
      <c r="Y124" s="73"/>
      <c r="Z124" s="73"/>
    </row>
    <row r="125" ht="12.0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1"/>
      <c r="T125" s="71"/>
      <c r="U125" s="71"/>
      <c r="V125" s="72"/>
      <c r="W125" s="72"/>
      <c r="X125" s="73"/>
      <c r="Y125" s="73"/>
      <c r="Z125" s="73"/>
    </row>
    <row r="126" ht="12.0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1"/>
      <c r="T126" s="71"/>
      <c r="U126" s="71"/>
      <c r="V126" s="72"/>
      <c r="W126" s="72"/>
      <c r="X126" s="73"/>
      <c r="Y126" s="73"/>
      <c r="Z126" s="73"/>
    </row>
    <row r="127" ht="12.0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1"/>
      <c r="T127" s="71"/>
      <c r="U127" s="71"/>
      <c r="V127" s="72"/>
      <c r="W127" s="72"/>
      <c r="X127" s="73"/>
      <c r="Y127" s="73"/>
      <c r="Z127" s="73"/>
    </row>
    <row r="128" ht="12.0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1"/>
      <c r="T128" s="71"/>
      <c r="U128" s="71"/>
      <c r="V128" s="72"/>
      <c r="W128" s="72"/>
      <c r="X128" s="73"/>
      <c r="Y128" s="73"/>
      <c r="Z128" s="73"/>
    </row>
    <row r="129" ht="12.0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1"/>
      <c r="T129" s="71"/>
      <c r="U129" s="71"/>
      <c r="V129" s="72"/>
      <c r="W129" s="72"/>
      <c r="X129" s="73"/>
      <c r="Y129" s="73"/>
      <c r="Z129" s="73"/>
    </row>
    <row r="130" ht="12.0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1"/>
      <c r="T130" s="71"/>
      <c r="U130" s="71"/>
      <c r="V130" s="72"/>
      <c r="W130" s="72"/>
      <c r="X130" s="73"/>
      <c r="Y130" s="73"/>
      <c r="Z130" s="73"/>
    </row>
    <row r="131" ht="12.0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1"/>
      <c r="T131" s="71"/>
      <c r="U131" s="71"/>
      <c r="V131" s="72"/>
      <c r="W131" s="72"/>
      <c r="X131" s="73"/>
      <c r="Y131" s="73"/>
      <c r="Z131" s="73"/>
    </row>
    <row r="132" ht="12.0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1"/>
      <c r="T132" s="71"/>
      <c r="U132" s="71"/>
      <c r="V132" s="72"/>
      <c r="W132" s="72"/>
      <c r="X132" s="73"/>
      <c r="Y132" s="73"/>
      <c r="Z132" s="73"/>
    </row>
    <row r="133" ht="12.0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1"/>
      <c r="T133" s="71"/>
      <c r="U133" s="71"/>
      <c r="V133" s="72"/>
      <c r="W133" s="72"/>
      <c r="X133" s="73"/>
      <c r="Y133" s="73"/>
      <c r="Z133" s="73"/>
    </row>
    <row r="134" ht="12.0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1"/>
      <c r="T134" s="71"/>
      <c r="U134" s="71"/>
      <c r="V134" s="72"/>
      <c r="W134" s="72"/>
      <c r="X134" s="73"/>
      <c r="Y134" s="73"/>
      <c r="Z134" s="73"/>
    </row>
    <row r="135" ht="12.0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1"/>
      <c r="T135" s="71"/>
      <c r="U135" s="71"/>
      <c r="V135" s="72"/>
      <c r="W135" s="72"/>
      <c r="X135" s="73"/>
      <c r="Y135" s="73"/>
      <c r="Z135" s="73"/>
    </row>
    <row r="136" ht="12.0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1"/>
      <c r="T136" s="71"/>
      <c r="U136" s="71"/>
      <c r="V136" s="72"/>
      <c r="W136" s="72"/>
      <c r="X136" s="73"/>
      <c r="Y136" s="73"/>
      <c r="Z136" s="73"/>
    </row>
    <row r="137" ht="12.0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1"/>
      <c r="T137" s="71"/>
      <c r="U137" s="71"/>
      <c r="V137" s="72"/>
      <c r="W137" s="72"/>
      <c r="X137" s="73"/>
      <c r="Y137" s="73"/>
      <c r="Z137" s="73"/>
    </row>
    <row r="138" ht="12.0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1"/>
      <c r="T138" s="71"/>
      <c r="U138" s="71"/>
      <c r="V138" s="72"/>
      <c r="W138" s="72"/>
      <c r="X138" s="73"/>
      <c r="Y138" s="73"/>
      <c r="Z138" s="73"/>
    </row>
    <row r="139" ht="12.0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1"/>
      <c r="T139" s="71"/>
      <c r="U139" s="71"/>
      <c r="V139" s="72"/>
      <c r="W139" s="72"/>
      <c r="X139" s="73"/>
      <c r="Y139" s="73"/>
      <c r="Z139" s="73"/>
    </row>
    <row r="140" ht="12.0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1"/>
      <c r="T140" s="71"/>
      <c r="U140" s="71"/>
      <c r="V140" s="72"/>
      <c r="W140" s="72"/>
      <c r="X140" s="73"/>
      <c r="Y140" s="73"/>
      <c r="Z140" s="73"/>
    </row>
    <row r="141" ht="12.0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1"/>
      <c r="T141" s="71"/>
      <c r="U141" s="71"/>
      <c r="V141" s="72"/>
      <c r="W141" s="72"/>
      <c r="X141" s="73"/>
      <c r="Y141" s="73"/>
      <c r="Z141" s="73"/>
    </row>
    <row r="142" ht="12.0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1"/>
      <c r="T142" s="71"/>
      <c r="U142" s="71"/>
      <c r="V142" s="72"/>
      <c r="W142" s="72"/>
      <c r="X142" s="73"/>
      <c r="Y142" s="73"/>
      <c r="Z142" s="73"/>
    </row>
    <row r="143" ht="12.0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1"/>
      <c r="T143" s="71"/>
      <c r="U143" s="71"/>
      <c r="V143" s="72"/>
      <c r="W143" s="72"/>
      <c r="X143" s="73"/>
      <c r="Y143" s="73"/>
      <c r="Z143" s="73"/>
    </row>
    <row r="144" ht="12.0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1"/>
      <c r="T144" s="71"/>
      <c r="U144" s="71"/>
      <c r="V144" s="72"/>
      <c r="W144" s="72"/>
      <c r="X144" s="73"/>
      <c r="Y144" s="73"/>
      <c r="Z144" s="73"/>
    </row>
    <row r="145" ht="12.0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1"/>
      <c r="T145" s="71"/>
      <c r="U145" s="71"/>
      <c r="V145" s="72"/>
      <c r="W145" s="72"/>
      <c r="X145" s="73"/>
      <c r="Y145" s="73"/>
      <c r="Z145" s="73"/>
    </row>
    <row r="146" ht="12.0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1"/>
      <c r="T146" s="71"/>
      <c r="U146" s="71"/>
      <c r="V146" s="72"/>
      <c r="W146" s="72"/>
      <c r="X146" s="73"/>
      <c r="Y146" s="73"/>
      <c r="Z146" s="73"/>
    </row>
    <row r="147" ht="12.0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1"/>
      <c r="T147" s="71"/>
      <c r="U147" s="71"/>
      <c r="V147" s="72"/>
      <c r="W147" s="72"/>
      <c r="X147" s="73"/>
      <c r="Y147" s="73"/>
      <c r="Z147" s="73"/>
    </row>
    <row r="148" ht="12.0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1"/>
      <c r="T148" s="71"/>
      <c r="U148" s="71"/>
      <c r="V148" s="72"/>
      <c r="W148" s="72"/>
      <c r="X148" s="73"/>
      <c r="Y148" s="73"/>
      <c r="Z148" s="73"/>
    </row>
    <row r="149" ht="12.0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1"/>
      <c r="T149" s="71"/>
      <c r="U149" s="71"/>
      <c r="V149" s="72"/>
      <c r="W149" s="72"/>
      <c r="X149" s="73"/>
      <c r="Y149" s="73"/>
      <c r="Z149" s="73"/>
    </row>
    <row r="150" ht="12.0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1"/>
      <c r="T150" s="71"/>
      <c r="U150" s="71"/>
      <c r="V150" s="72"/>
      <c r="W150" s="72"/>
      <c r="X150" s="73"/>
      <c r="Y150" s="73"/>
      <c r="Z150" s="73"/>
    </row>
    <row r="151" ht="12.0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1"/>
      <c r="T151" s="71"/>
      <c r="U151" s="71"/>
      <c r="V151" s="72"/>
      <c r="W151" s="72"/>
      <c r="X151" s="73"/>
      <c r="Y151" s="73"/>
      <c r="Z151" s="73"/>
    </row>
    <row r="152" ht="12.0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1"/>
      <c r="T152" s="71"/>
      <c r="U152" s="71"/>
      <c r="V152" s="72"/>
      <c r="W152" s="72"/>
      <c r="X152" s="73"/>
      <c r="Y152" s="73"/>
      <c r="Z152" s="73"/>
    </row>
    <row r="153" ht="12.0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1"/>
      <c r="T153" s="71"/>
      <c r="U153" s="71"/>
      <c r="V153" s="72"/>
      <c r="W153" s="72"/>
      <c r="X153" s="73"/>
      <c r="Y153" s="73"/>
      <c r="Z153" s="73"/>
    </row>
    <row r="154" ht="12.0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1"/>
      <c r="T154" s="71"/>
      <c r="U154" s="71"/>
      <c r="V154" s="72"/>
      <c r="W154" s="72"/>
      <c r="X154" s="73"/>
      <c r="Y154" s="73"/>
      <c r="Z154" s="73"/>
    </row>
    <row r="155" ht="12.0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1"/>
      <c r="T155" s="71"/>
      <c r="U155" s="71"/>
      <c r="V155" s="72"/>
      <c r="W155" s="72"/>
      <c r="X155" s="73"/>
      <c r="Y155" s="73"/>
      <c r="Z155" s="73"/>
    </row>
    <row r="156" ht="12.0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1"/>
      <c r="T156" s="71"/>
      <c r="U156" s="71"/>
      <c r="V156" s="72"/>
      <c r="W156" s="72"/>
      <c r="X156" s="73"/>
      <c r="Y156" s="73"/>
      <c r="Z156" s="73"/>
    </row>
    <row r="157" ht="12.0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1"/>
      <c r="T157" s="71"/>
      <c r="U157" s="71"/>
      <c r="V157" s="72"/>
      <c r="W157" s="72"/>
      <c r="X157" s="73"/>
      <c r="Y157" s="73"/>
      <c r="Z157" s="73"/>
    </row>
    <row r="158" ht="12.0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1"/>
      <c r="T158" s="71"/>
      <c r="U158" s="71"/>
      <c r="V158" s="72"/>
      <c r="W158" s="72"/>
      <c r="X158" s="73"/>
      <c r="Y158" s="73"/>
      <c r="Z158" s="73"/>
    </row>
    <row r="159" ht="12.0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1"/>
      <c r="T159" s="71"/>
      <c r="U159" s="71"/>
      <c r="V159" s="72"/>
      <c r="W159" s="72"/>
      <c r="X159" s="73"/>
      <c r="Y159" s="73"/>
      <c r="Z159" s="73"/>
    </row>
    <row r="160" ht="12.0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1"/>
      <c r="T160" s="71"/>
      <c r="U160" s="71"/>
      <c r="V160" s="72"/>
      <c r="W160" s="72"/>
      <c r="X160" s="73"/>
      <c r="Y160" s="73"/>
      <c r="Z160" s="73"/>
    </row>
    <row r="161" ht="12.0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1"/>
      <c r="T161" s="71"/>
      <c r="U161" s="71"/>
      <c r="V161" s="72"/>
      <c r="W161" s="72"/>
      <c r="X161" s="73"/>
      <c r="Y161" s="73"/>
      <c r="Z161" s="73"/>
    </row>
    <row r="162" ht="12.0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1"/>
      <c r="T162" s="71"/>
      <c r="U162" s="71"/>
      <c r="V162" s="72"/>
      <c r="W162" s="72"/>
      <c r="X162" s="73"/>
      <c r="Y162" s="73"/>
      <c r="Z162" s="73"/>
    </row>
    <row r="163" ht="12.0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1"/>
      <c r="T163" s="71"/>
      <c r="U163" s="71"/>
      <c r="V163" s="72"/>
      <c r="W163" s="72"/>
      <c r="X163" s="73"/>
      <c r="Y163" s="73"/>
      <c r="Z163" s="73"/>
    </row>
    <row r="164" ht="12.0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1"/>
      <c r="T164" s="71"/>
      <c r="U164" s="71"/>
      <c r="V164" s="72"/>
      <c r="W164" s="72"/>
      <c r="X164" s="73"/>
      <c r="Y164" s="73"/>
      <c r="Z164" s="73"/>
    </row>
    <row r="165" ht="12.0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1"/>
      <c r="T165" s="71"/>
      <c r="U165" s="71"/>
      <c r="V165" s="72"/>
      <c r="W165" s="72"/>
      <c r="X165" s="73"/>
      <c r="Y165" s="73"/>
      <c r="Z165" s="73"/>
    </row>
    <row r="166" ht="12.0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1"/>
      <c r="T166" s="71"/>
      <c r="U166" s="71"/>
      <c r="V166" s="72"/>
      <c r="W166" s="72"/>
      <c r="X166" s="73"/>
      <c r="Y166" s="73"/>
      <c r="Z166" s="73"/>
    </row>
    <row r="167" ht="12.0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1"/>
      <c r="T167" s="71"/>
      <c r="U167" s="71"/>
      <c r="V167" s="72"/>
      <c r="W167" s="72"/>
      <c r="X167" s="73"/>
      <c r="Y167" s="73"/>
      <c r="Z167" s="73"/>
    </row>
    <row r="168" ht="12.0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1"/>
      <c r="T168" s="71"/>
      <c r="U168" s="71"/>
      <c r="V168" s="72"/>
      <c r="W168" s="72"/>
      <c r="X168" s="73"/>
      <c r="Y168" s="73"/>
      <c r="Z168" s="73"/>
    </row>
    <row r="169" ht="12.0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1"/>
      <c r="T169" s="71"/>
      <c r="U169" s="71"/>
      <c r="V169" s="72"/>
      <c r="W169" s="72"/>
      <c r="X169" s="73"/>
      <c r="Y169" s="73"/>
      <c r="Z169" s="73"/>
    </row>
    <row r="170" ht="12.0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1"/>
      <c r="T170" s="71"/>
      <c r="U170" s="71"/>
      <c r="V170" s="72"/>
      <c r="W170" s="72"/>
      <c r="X170" s="73"/>
      <c r="Y170" s="73"/>
      <c r="Z170" s="73"/>
    </row>
    <row r="171" ht="12.0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1"/>
      <c r="T171" s="71"/>
      <c r="U171" s="71"/>
      <c r="V171" s="72"/>
      <c r="W171" s="72"/>
      <c r="X171" s="73"/>
      <c r="Y171" s="73"/>
      <c r="Z171" s="73"/>
    </row>
    <row r="172" ht="12.0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1"/>
      <c r="T172" s="71"/>
      <c r="U172" s="71"/>
      <c r="V172" s="72"/>
      <c r="W172" s="72"/>
      <c r="X172" s="73"/>
      <c r="Y172" s="73"/>
      <c r="Z172" s="73"/>
    </row>
    <row r="173" ht="12.0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1"/>
      <c r="T173" s="71"/>
      <c r="U173" s="71"/>
      <c r="V173" s="72"/>
      <c r="W173" s="72"/>
      <c r="X173" s="73"/>
      <c r="Y173" s="73"/>
      <c r="Z173" s="73"/>
    </row>
    <row r="174" ht="12.0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1"/>
      <c r="T174" s="71"/>
      <c r="U174" s="71"/>
      <c r="V174" s="72"/>
      <c r="W174" s="72"/>
      <c r="X174" s="73"/>
      <c r="Y174" s="73"/>
      <c r="Z174" s="73"/>
    </row>
    <row r="175" ht="12.0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1"/>
      <c r="T175" s="71"/>
      <c r="U175" s="71"/>
      <c r="V175" s="72"/>
      <c r="W175" s="72"/>
      <c r="X175" s="73"/>
      <c r="Y175" s="73"/>
      <c r="Z175" s="73"/>
    </row>
    <row r="176" ht="12.0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1"/>
      <c r="T176" s="71"/>
      <c r="U176" s="71"/>
      <c r="V176" s="72"/>
      <c r="W176" s="72"/>
      <c r="X176" s="73"/>
      <c r="Y176" s="73"/>
      <c r="Z176" s="73"/>
    </row>
    <row r="177" ht="12.0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1"/>
      <c r="T177" s="71"/>
      <c r="U177" s="71"/>
      <c r="V177" s="72"/>
      <c r="W177" s="72"/>
      <c r="X177" s="73"/>
      <c r="Y177" s="73"/>
      <c r="Z177" s="73"/>
    </row>
    <row r="178" ht="12.0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1"/>
      <c r="T178" s="71"/>
      <c r="U178" s="71"/>
      <c r="V178" s="72"/>
      <c r="W178" s="72"/>
      <c r="X178" s="73"/>
      <c r="Y178" s="73"/>
      <c r="Z178" s="73"/>
    </row>
    <row r="179" ht="12.0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1"/>
      <c r="T179" s="71"/>
      <c r="U179" s="71"/>
      <c r="V179" s="72"/>
      <c r="W179" s="72"/>
      <c r="X179" s="73"/>
      <c r="Y179" s="73"/>
      <c r="Z179" s="73"/>
    </row>
    <row r="180" ht="12.0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1"/>
      <c r="T180" s="71"/>
      <c r="U180" s="71"/>
      <c r="V180" s="72"/>
      <c r="W180" s="72"/>
      <c r="X180" s="73"/>
      <c r="Y180" s="73"/>
      <c r="Z180" s="73"/>
    </row>
    <row r="181" ht="12.0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1"/>
      <c r="T181" s="71"/>
      <c r="U181" s="71"/>
      <c r="V181" s="72"/>
      <c r="W181" s="72"/>
      <c r="X181" s="73"/>
      <c r="Y181" s="73"/>
      <c r="Z181" s="73"/>
    </row>
    <row r="182" ht="12.0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1"/>
      <c r="T182" s="71"/>
      <c r="U182" s="71"/>
      <c r="V182" s="72"/>
      <c r="W182" s="72"/>
      <c r="X182" s="73"/>
      <c r="Y182" s="73"/>
      <c r="Z182" s="73"/>
    </row>
    <row r="183" ht="12.0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1"/>
      <c r="T183" s="71"/>
      <c r="U183" s="71"/>
      <c r="V183" s="72"/>
      <c r="W183" s="72"/>
      <c r="X183" s="73"/>
      <c r="Y183" s="73"/>
      <c r="Z183" s="73"/>
    </row>
    <row r="184" ht="12.0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1"/>
      <c r="T184" s="71"/>
      <c r="U184" s="71"/>
      <c r="V184" s="72"/>
      <c r="W184" s="72"/>
      <c r="X184" s="73"/>
      <c r="Y184" s="73"/>
      <c r="Z184" s="73"/>
    </row>
    <row r="185" ht="12.0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1"/>
      <c r="T185" s="71"/>
      <c r="U185" s="71"/>
      <c r="V185" s="72"/>
      <c r="W185" s="72"/>
      <c r="X185" s="73"/>
      <c r="Y185" s="73"/>
      <c r="Z185" s="73"/>
    </row>
    <row r="186" ht="12.0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1"/>
      <c r="T186" s="71"/>
      <c r="U186" s="71"/>
      <c r="V186" s="72"/>
      <c r="W186" s="72"/>
      <c r="X186" s="73"/>
      <c r="Y186" s="73"/>
      <c r="Z186" s="73"/>
    </row>
    <row r="187" ht="12.0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1"/>
      <c r="T187" s="71"/>
      <c r="U187" s="71"/>
      <c r="V187" s="72"/>
      <c r="W187" s="72"/>
      <c r="X187" s="73"/>
      <c r="Y187" s="73"/>
      <c r="Z187" s="73"/>
    </row>
    <row r="188" ht="12.0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1"/>
      <c r="T188" s="71"/>
      <c r="U188" s="71"/>
      <c r="V188" s="72"/>
      <c r="W188" s="72"/>
      <c r="X188" s="73"/>
      <c r="Y188" s="73"/>
      <c r="Z188" s="73"/>
    </row>
    <row r="189" ht="12.0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1"/>
      <c r="T189" s="71"/>
      <c r="U189" s="71"/>
      <c r="V189" s="72"/>
      <c r="W189" s="72"/>
      <c r="X189" s="73"/>
      <c r="Y189" s="73"/>
      <c r="Z189" s="73"/>
    </row>
    <row r="190" ht="12.0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1"/>
      <c r="T190" s="71"/>
      <c r="U190" s="71"/>
      <c r="V190" s="72"/>
      <c r="W190" s="72"/>
      <c r="X190" s="73"/>
      <c r="Y190" s="73"/>
      <c r="Z190" s="73"/>
    </row>
    <row r="191" ht="12.0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1"/>
      <c r="T191" s="71"/>
      <c r="U191" s="71"/>
      <c r="V191" s="72"/>
      <c r="W191" s="72"/>
      <c r="X191" s="73"/>
      <c r="Y191" s="73"/>
      <c r="Z191" s="73"/>
    </row>
    <row r="192" ht="12.0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1"/>
      <c r="T192" s="71"/>
      <c r="U192" s="71"/>
      <c r="V192" s="72"/>
      <c r="W192" s="72"/>
      <c r="X192" s="73"/>
      <c r="Y192" s="73"/>
      <c r="Z192" s="73"/>
    </row>
    <row r="193" ht="12.0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1"/>
      <c r="T193" s="71"/>
      <c r="U193" s="71"/>
      <c r="V193" s="72"/>
      <c r="W193" s="72"/>
      <c r="X193" s="73"/>
      <c r="Y193" s="73"/>
      <c r="Z193" s="73"/>
    </row>
    <row r="194" ht="12.0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1"/>
      <c r="T194" s="71"/>
      <c r="U194" s="71"/>
      <c r="V194" s="72"/>
      <c r="W194" s="72"/>
      <c r="X194" s="73"/>
      <c r="Y194" s="73"/>
      <c r="Z194" s="73"/>
    </row>
    <row r="195" ht="12.0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1"/>
      <c r="T195" s="71"/>
      <c r="U195" s="71"/>
      <c r="V195" s="72"/>
      <c r="W195" s="72"/>
      <c r="X195" s="73"/>
      <c r="Y195" s="73"/>
      <c r="Z195" s="73"/>
    </row>
    <row r="196" ht="12.0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1"/>
      <c r="T196" s="71"/>
      <c r="U196" s="71"/>
      <c r="V196" s="72"/>
      <c r="W196" s="72"/>
      <c r="X196" s="73"/>
      <c r="Y196" s="73"/>
      <c r="Z196" s="73"/>
    </row>
    <row r="197" ht="12.0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1"/>
      <c r="T197" s="71"/>
      <c r="U197" s="71"/>
      <c r="V197" s="72"/>
      <c r="W197" s="72"/>
      <c r="X197" s="73"/>
      <c r="Y197" s="73"/>
      <c r="Z197" s="73"/>
    </row>
    <row r="198" ht="12.0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1"/>
      <c r="T198" s="71"/>
      <c r="U198" s="71"/>
      <c r="V198" s="72"/>
      <c r="W198" s="72"/>
      <c r="X198" s="73"/>
      <c r="Y198" s="73"/>
      <c r="Z198" s="73"/>
    </row>
    <row r="199" ht="12.0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1"/>
      <c r="T199" s="71"/>
      <c r="U199" s="71"/>
      <c r="V199" s="72"/>
      <c r="W199" s="72"/>
      <c r="X199" s="73"/>
      <c r="Y199" s="73"/>
      <c r="Z199" s="73"/>
    </row>
    <row r="200" ht="12.0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1"/>
      <c r="T200" s="71"/>
      <c r="U200" s="71"/>
      <c r="V200" s="72"/>
      <c r="W200" s="72"/>
      <c r="X200" s="73"/>
      <c r="Y200" s="73"/>
      <c r="Z200" s="73"/>
    </row>
    <row r="201" ht="12.0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1"/>
      <c r="T201" s="71"/>
      <c r="U201" s="71"/>
      <c r="V201" s="72"/>
      <c r="W201" s="72"/>
      <c r="X201" s="73"/>
      <c r="Y201" s="73"/>
      <c r="Z201" s="73"/>
    </row>
    <row r="202" ht="12.0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1"/>
      <c r="T202" s="71"/>
      <c r="U202" s="71"/>
      <c r="V202" s="72"/>
      <c r="W202" s="72"/>
      <c r="X202" s="73"/>
      <c r="Y202" s="73"/>
      <c r="Z202" s="73"/>
    </row>
    <row r="203" ht="12.0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1"/>
      <c r="T203" s="71"/>
      <c r="U203" s="71"/>
      <c r="V203" s="72"/>
      <c r="W203" s="72"/>
      <c r="X203" s="73"/>
      <c r="Y203" s="73"/>
      <c r="Z203" s="73"/>
    </row>
    <row r="204" ht="12.0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1"/>
      <c r="T204" s="71"/>
      <c r="U204" s="71"/>
      <c r="V204" s="72"/>
      <c r="W204" s="72"/>
      <c r="X204" s="73"/>
      <c r="Y204" s="73"/>
      <c r="Z204" s="73"/>
    </row>
    <row r="205" ht="12.0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1"/>
      <c r="T205" s="71"/>
      <c r="U205" s="71"/>
      <c r="V205" s="72"/>
      <c r="W205" s="72"/>
      <c r="X205" s="73"/>
      <c r="Y205" s="73"/>
      <c r="Z205" s="73"/>
    </row>
    <row r="206" ht="12.0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1"/>
      <c r="T206" s="71"/>
      <c r="U206" s="71"/>
      <c r="V206" s="72"/>
      <c r="W206" s="72"/>
      <c r="X206" s="73"/>
      <c r="Y206" s="73"/>
      <c r="Z206" s="73"/>
    </row>
    <row r="207" ht="12.0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1"/>
      <c r="T207" s="71"/>
      <c r="U207" s="71"/>
      <c r="V207" s="72"/>
      <c r="W207" s="72"/>
      <c r="X207" s="73"/>
      <c r="Y207" s="73"/>
      <c r="Z207" s="73"/>
    </row>
    <row r="208" ht="12.0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1"/>
      <c r="T208" s="71"/>
      <c r="U208" s="71"/>
      <c r="V208" s="72"/>
      <c r="W208" s="72"/>
      <c r="X208" s="73"/>
      <c r="Y208" s="73"/>
      <c r="Z208" s="73"/>
    </row>
    <row r="209" ht="12.0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1"/>
      <c r="T209" s="71"/>
      <c r="U209" s="71"/>
      <c r="V209" s="72"/>
      <c r="W209" s="72"/>
      <c r="X209" s="73"/>
      <c r="Y209" s="73"/>
      <c r="Z209" s="73"/>
    </row>
    <row r="210" ht="12.0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1"/>
      <c r="T210" s="71"/>
      <c r="U210" s="71"/>
      <c r="V210" s="72"/>
      <c r="W210" s="72"/>
      <c r="X210" s="73"/>
      <c r="Y210" s="73"/>
      <c r="Z210" s="73"/>
    </row>
    <row r="211" ht="12.0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1"/>
      <c r="T211" s="71"/>
      <c r="U211" s="71"/>
      <c r="V211" s="72"/>
      <c r="W211" s="72"/>
      <c r="X211" s="73"/>
      <c r="Y211" s="73"/>
      <c r="Z211" s="73"/>
    </row>
    <row r="212" ht="12.0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1"/>
      <c r="T212" s="71"/>
      <c r="U212" s="71"/>
      <c r="V212" s="72"/>
      <c r="W212" s="72"/>
      <c r="X212" s="73"/>
      <c r="Y212" s="73"/>
      <c r="Z212" s="73"/>
    </row>
    <row r="213" ht="12.0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1"/>
      <c r="T213" s="71"/>
      <c r="U213" s="71"/>
      <c r="V213" s="72"/>
      <c r="W213" s="72"/>
      <c r="X213" s="73"/>
      <c r="Y213" s="73"/>
      <c r="Z213" s="73"/>
    </row>
    <row r="214" ht="12.0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1"/>
      <c r="T214" s="71"/>
      <c r="U214" s="71"/>
      <c r="V214" s="72"/>
      <c r="W214" s="72"/>
      <c r="X214" s="73"/>
      <c r="Y214" s="73"/>
      <c r="Z214" s="73"/>
    </row>
    <row r="215" ht="12.0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1"/>
      <c r="T215" s="71"/>
      <c r="U215" s="71"/>
      <c r="V215" s="72"/>
      <c r="W215" s="72"/>
      <c r="X215" s="73"/>
      <c r="Y215" s="73"/>
      <c r="Z215" s="73"/>
    </row>
    <row r="216" ht="12.0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1"/>
      <c r="T216" s="71"/>
      <c r="U216" s="71"/>
      <c r="V216" s="72"/>
      <c r="W216" s="72"/>
      <c r="X216" s="73"/>
      <c r="Y216" s="73"/>
      <c r="Z216" s="73"/>
    </row>
    <row r="217" ht="12.0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1"/>
      <c r="T217" s="71"/>
      <c r="U217" s="71"/>
      <c r="V217" s="72"/>
      <c r="W217" s="72"/>
      <c r="X217" s="73"/>
      <c r="Y217" s="73"/>
      <c r="Z217" s="73"/>
    </row>
    <row r="218" ht="12.0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1"/>
      <c r="T218" s="71"/>
      <c r="U218" s="71"/>
      <c r="V218" s="72"/>
      <c r="W218" s="72"/>
      <c r="X218" s="73"/>
      <c r="Y218" s="73"/>
      <c r="Z218" s="73"/>
    </row>
    <row r="219" ht="12.0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1"/>
      <c r="T219" s="71"/>
      <c r="U219" s="71"/>
      <c r="V219" s="72"/>
      <c r="W219" s="72"/>
      <c r="X219" s="73"/>
      <c r="Y219" s="73"/>
      <c r="Z219" s="73"/>
    </row>
    <row r="220" ht="12.0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1"/>
      <c r="T220" s="71"/>
      <c r="U220" s="71"/>
      <c r="V220" s="72"/>
      <c r="W220" s="72"/>
      <c r="X220" s="73"/>
      <c r="Y220" s="73"/>
      <c r="Z220" s="73"/>
    </row>
    <row r="221" ht="12.0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1"/>
      <c r="T221" s="71"/>
      <c r="U221" s="71"/>
      <c r="V221" s="72"/>
      <c r="W221" s="72"/>
      <c r="X221" s="73"/>
      <c r="Y221" s="73"/>
      <c r="Z221" s="73"/>
    </row>
    <row r="222" ht="12.0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1"/>
      <c r="T222" s="71"/>
      <c r="U222" s="71"/>
      <c r="V222" s="72"/>
      <c r="W222" s="72"/>
      <c r="X222" s="73"/>
      <c r="Y222" s="73"/>
      <c r="Z222" s="73"/>
    </row>
    <row r="223" ht="12.0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1"/>
      <c r="T223" s="71"/>
      <c r="U223" s="71"/>
      <c r="V223" s="72"/>
      <c r="W223" s="72"/>
      <c r="X223" s="73"/>
      <c r="Y223" s="73"/>
      <c r="Z223" s="73"/>
    </row>
    <row r="224" ht="12.0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1"/>
      <c r="T224" s="71"/>
      <c r="U224" s="71"/>
      <c r="V224" s="72"/>
      <c r="W224" s="72"/>
      <c r="X224" s="73"/>
      <c r="Y224" s="73"/>
      <c r="Z224" s="73"/>
    </row>
    <row r="225" ht="12.0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1"/>
      <c r="T225" s="71"/>
      <c r="U225" s="71"/>
      <c r="V225" s="72"/>
      <c r="W225" s="72"/>
      <c r="X225" s="73"/>
      <c r="Y225" s="73"/>
      <c r="Z225" s="73"/>
    </row>
    <row r="226" ht="12.0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1"/>
      <c r="T226" s="71"/>
      <c r="U226" s="71"/>
      <c r="V226" s="72"/>
      <c r="W226" s="72"/>
      <c r="X226" s="73"/>
      <c r="Y226" s="73"/>
      <c r="Z226" s="73"/>
    </row>
    <row r="227" ht="12.0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1"/>
      <c r="T227" s="71"/>
      <c r="U227" s="71"/>
      <c r="V227" s="72"/>
      <c r="W227" s="72"/>
      <c r="X227" s="73"/>
      <c r="Y227" s="73"/>
      <c r="Z227" s="73"/>
    </row>
    <row r="228" ht="12.0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1"/>
      <c r="T228" s="71"/>
      <c r="U228" s="71"/>
      <c r="V228" s="72"/>
      <c r="W228" s="72"/>
      <c r="X228" s="73"/>
      <c r="Y228" s="73"/>
      <c r="Z228" s="73"/>
    </row>
    <row r="229" ht="12.0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1"/>
      <c r="T229" s="71"/>
      <c r="U229" s="71"/>
      <c r="V229" s="72"/>
      <c r="W229" s="72"/>
      <c r="X229" s="73"/>
      <c r="Y229" s="73"/>
      <c r="Z229" s="73"/>
    </row>
    <row r="230" ht="12.0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1"/>
      <c r="T230" s="71"/>
      <c r="U230" s="71"/>
      <c r="V230" s="72"/>
      <c r="W230" s="72"/>
      <c r="X230" s="73"/>
      <c r="Y230" s="73"/>
      <c r="Z230" s="73"/>
    </row>
    <row r="231" ht="12.0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1"/>
      <c r="T231" s="71"/>
      <c r="U231" s="71"/>
      <c r="V231" s="72"/>
      <c r="W231" s="72"/>
      <c r="X231" s="73"/>
      <c r="Y231" s="73"/>
      <c r="Z231" s="73"/>
    </row>
    <row r="232" ht="12.0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1"/>
      <c r="T232" s="71"/>
      <c r="U232" s="71"/>
      <c r="V232" s="72"/>
      <c r="W232" s="72"/>
      <c r="X232" s="73"/>
      <c r="Y232" s="73"/>
      <c r="Z232" s="73"/>
    </row>
    <row r="233" ht="12.0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1"/>
      <c r="T233" s="71"/>
      <c r="U233" s="71"/>
      <c r="V233" s="72"/>
      <c r="W233" s="72"/>
      <c r="X233" s="73"/>
      <c r="Y233" s="73"/>
      <c r="Z233" s="73"/>
    </row>
    <row r="234" ht="12.0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1"/>
      <c r="T234" s="71"/>
      <c r="U234" s="71"/>
      <c r="V234" s="72"/>
      <c r="W234" s="72"/>
      <c r="X234" s="73"/>
      <c r="Y234" s="73"/>
      <c r="Z234" s="73"/>
    </row>
    <row r="235" ht="12.0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1"/>
      <c r="T235" s="71"/>
      <c r="U235" s="71"/>
      <c r="V235" s="72"/>
      <c r="W235" s="72"/>
      <c r="X235" s="73"/>
      <c r="Y235" s="73"/>
      <c r="Z235" s="73"/>
    </row>
    <row r="236" ht="12.0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1"/>
      <c r="T236" s="71"/>
      <c r="U236" s="71"/>
      <c r="V236" s="72"/>
      <c r="W236" s="72"/>
      <c r="X236" s="73"/>
      <c r="Y236" s="73"/>
      <c r="Z236" s="73"/>
    </row>
    <row r="237" ht="12.0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1"/>
      <c r="T237" s="71"/>
      <c r="U237" s="71"/>
      <c r="V237" s="72"/>
      <c r="W237" s="72"/>
      <c r="X237" s="73"/>
      <c r="Y237" s="73"/>
      <c r="Z237" s="73"/>
    </row>
    <row r="238" ht="12.0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1"/>
      <c r="T238" s="71"/>
      <c r="U238" s="71"/>
      <c r="V238" s="72"/>
      <c r="W238" s="72"/>
      <c r="X238" s="73"/>
      <c r="Y238" s="73"/>
      <c r="Z238" s="73"/>
    </row>
    <row r="239" ht="12.0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1"/>
      <c r="T239" s="71"/>
      <c r="U239" s="71"/>
      <c r="V239" s="72"/>
      <c r="W239" s="72"/>
      <c r="X239" s="73"/>
      <c r="Y239" s="73"/>
      <c r="Z239" s="73"/>
    </row>
    <row r="240" ht="12.0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1"/>
      <c r="T240" s="71"/>
      <c r="U240" s="71"/>
      <c r="V240" s="72"/>
      <c r="W240" s="72"/>
      <c r="X240" s="73"/>
      <c r="Y240" s="73"/>
      <c r="Z240" s="73"/>
    </row>
    <row r="241" ht="12.0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1"/>
      <c r="T241" s="71"/>
      <c r="U241" s="71"/>
      <c r="V241" s="72"/>
      <c r="W241" s="72"/>
      <c r="X241" s="73"/>
      <c r="Y241" s="73"/>
      <c r="Z241" s="73"/>
    </row>
    <row r="242" ht="12.0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1"/>
      <c r="T242" s="71"/>
      <c r="U242" s="71"/>
      <c r="V242" s="72"/>
      <c r="W242" s="72"/>
      <c r="X242" s="73"/>
      <c r="Y242" s="73"/>
      <c r="Z242" s="73"/>
    </row>
    <row r="243" ht="12.0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1"/>
      <c r="T243" s="71"/>
      <c r="U243" s="71"/>
      <c r="V243" s="72"/>
      <c r="W243" s="72"/>
      <c r="X243" s="73"/>
      <c r="Y243" s="73"/>
      <c r="Z243" s="73"/>
    </row>
    <row r="244" ht="12.0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1"/>
      <c r="T244" s="71"/>
      <c r="U244" s="71"/>
      <c r="V244" s="72"/>
      <c r="W244" s="72"/>
      <c r="X244" s="73"/>
      <c r="Y244" s="73"/>
      <c r="Z244" s="73"/>
    </row>
    <row r="245" ht="12.0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1"/>
      <c r="T245" s="71"/>
      <c r="U245" s="71"/>
      <c r="V245" s="72"/>
      <c r="W245" s="72"/>
      <c r="X245" s="73"/>
      <c r="Y245" s="73"/>
      <c r="Z245" s="73"/>
    </row>
    <row r="246" ht="12.0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1"/>
      <c r="T246" s="71"/>
      <c r="U246" s="71"/>
      <c r="V246" s="72"/>
      <c r="W246" s="72"/>
      <c r="X246" s="73"/>
      <c r="Y246" s="73"/>
      <c r="Z246" s="73"/>
    </row>
    <row r="247" ht="12.0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1"/>
      <c r="T247" s="71"/>
      <c r="U247" s="71"/>
      <c r="V247" s="72"/>
      <c r="W247" s="72"/>
      <c r="X247" s="73"/>
      <c r="Y247" s="73"/>
      <c r="Z247" s="73"/>
    </row>
    <row r="248" ht="12.0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1"/>
      <c r="T248" s="71"/>
      <c r="U248" s="71"/>
      <c r="V248" s="72"/>
      <c r="W248" s="72"/>
      <c r="X248" s="73"/>
      <c r="Y248" s="73"/>
      <c r="Z248" s="73"/>
    </row>
    <row r="249" ht="12.0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1"/>
      <c r="T249" s="71"/>
      <c r="U249" s="71"/>
      <c r="V249" s="72"/>
      <c r="W249" s="72"/>
      <c r="X249" s="73"/>
      <c r="Y249" s="73"/>
      <c r="Z249" s="73"/>
    </row>
    <row r="250" ht="12.0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1"/>
      <c r="T250" s="71"/>
      <c r="U250" s="71"/>
      <c r="V250" s="72"/>
      <c r="W250" s="72"/>
      <c r="X250" s="73"/>
      <c r="Y250" s="73"/>
      <c r="Z250" s="73"/>
    </row>
    <row r="251" ht="12.0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1"/>
      <c r="T251" s="71"/>
      <c r="U251" s="71"/>
      <c r="V251" s="72"/>
      <c r="W251" s="72"/>
      <c r="X251" s="73"/>
      <c r="Y251" s="73"/>
      <c r="Z251" s="73"/>
    </row>
    <row r="252" ht="12.0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1"/>
      <c r="T252" s="71"/>
      <c r="U252" s="71"/>
      <c r="V252" s="72"/>
      <c r="W252" s="72"/>
      <c r="X252" s="73"/>
      <c r="Y252" s="73"/>
      <c r="Z252" s="73"/>
    </row>
    <row r="253" ht="12.0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1"/>
      <c r="T253" s="71"/>
      <c r="U253" s="71"/>
      <c r="V253" s="72"/>
      <c r="W253" s="72"/>
      <c r="X253" s="73"/>
      <c r="Y253" s="73"/>
      <c r="Z253" s="73"/>
    </row>
    <row r="254" ht="12.0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1"/>
      <c r="T254" s="71"/>
      <c r="U254" s="71"/>
      <c r="V254" s="72"/>
      <c r="W254" s="72"/>
      <c r="X254" s="73"/>
      <c r="Y254" s="73"/>
      <c r="Z254" s="73"/>
    </row>
    <row r="255" ht="12.0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1"/>
      <c r="T255" s="71"/>
      <c r="U255" s="71"/>
      <c r="V255" s="72"/>
      <c r="W255" s="72"/>
      <c r="X255" s="73"/>
      <c r="Y255" s="73"/>
      <c r="Z255" s="73"/>
    </row>
    <row r="256" ht="12.0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1"/>
      <c r="T256" s="71"/>
      <c r="U256" s="71"/>
      <c r="V256" s="72"/>
      <c r="W256" s="72"/>
      <c r="X256" s="73"/>
      <c r="Y256" s="73"/>
      <c r="Z256" s="73"/>
    </row>
    <row r="257" ht="12.0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1"/>
      <c r="T257" s="71"/>
      <c r="U257" s="71"/>
      <c r="V257" s="72"/>
      <c r="W257" s="72"/>
      <c r="X257" s="73"/>
      <c r="Y257" s="73"/>
      <c r="Z257" s="73"/>
    </row>
    <row r="258" ht="12.0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1"/>
      <c r="T258" s="71"/>
      <c r="U258" s="71"/>
      <c r="V258" s="72"/>
      <c r="W258" s="72"/>
      <c r="X258" s="73"/>
      <c r="Y258" s="73"/>
      <c r="Z258" s="73"/>
    </row>
    <row r="259" ht="12.0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1"/>
      <c r="T259" s="71"/>
      <c r="U259" s="71"/>
      <c r="V259" s="72"/>
      <c r="W259" s="72"/>
      <c r="X259" s="73"/>
      <c r="Y259" s="73"/>
      <c r="Z259" s="73"/>
    </row>
    <row r="260" ht="12.0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1"/>
      <c r="T260" s="71"/>
      <c r="U260" s="71"/>
      <c r="V260" s="72"/>
      <c r="W260" s="72"/>
      <c r="X260" s="73"/>
      <c r="Y260" s="73"/>
      <c r="Z260" s="7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2">
    <mergeCell ref="N40:O40"/>
    <mergeCell ref="N41:O41"/>
    <mergeCell ref="E46:L47"/>
    <mergeCell ref="E48:E50"/>
    <mergeCell ref="F48:F50"/>
    <mergeCell ref="G48:G50"/>
    <mergeCell ref="H48:H50"/>
    <mergeCell ref="I48:I50"/>
    <mergeCell ref="J48:J50"/>
    <mergeCell ref="M49:O50"/>
    <mergeCell ref="K32:L32"/>
    <mergeCell ref="E33:J34"/>
    <mergeCell ref="F35:F36"/>
    <mergeCell ref="G35:G36"/>
    <mergeCell ref="H35:H36"/>
    <mergeCell ref="I35:I36"/>
    <mergeCell ref="J35:J36"/>
    <mergeCell ref="K35:K36"/>
    <mergeCell ref="K30:L30"/>
    <mergeCell ref="M30:O30"/>
    <mergeCell ref="K31:L31"/>
    <mergeCell ref="M31:O31"/>
    <mergeCell ref="M32:O32"/>
    <mergeCell ref="A33:A36"/>
    <mergeCell ref="K33:O34"/>
    <mergeCell ref="D33:D36"/>
    <mergeCell ref="E35:E36"/>
    <mergeCell ref="A46:A50"/>
    <mergeCell ref="B46:B50"/>
    <mergeCell ref="C46:D46"/>
    <mergeCell ref="C47:C50"/>
    <mergeCell ref="D47:D50"/>
    <mergeCell ref="K61:L61"/>
    <mergeCell ref="M61:O61"/>
    <mergeCell ref="K62:L62"/>
    <mergeCell ref="M62:O62"/>
    <mergeCell ref="K63:L63"/>
    <mergeCell ref="M63:O63"/>
    <mergeCell ref="K57:L57"/>
    <mergeCell ref="K58:L58"/>
    <mergeCell ref="M58:O58"/>
    <mergeCell ref="K59:L59"/>
    <mergeCell ref="M59:O59"/>
    <mergeCell ref="K60:L60"/>
    <mergeCell ref="M60:O60"/>
    <mergeCell ref="K4:L4"/>
    <mergeCell ref="K5:L5"/>
    <mergeCell ref="M5:N5"/>
    <mergeCell ref="Q5:R5"/>
    <mergeCell ref="A1:R1"/>
    <mergeCell ref="K3:L3"/>
    <mergeCell ref="M3:N3"/>
    <mergeCell ref="Q3:R3"/>
    <mergeCell ref="D4:F4"/>
    <mergeCell ref="M4:N4"/>
    <mergeCell ref="Q4:R4"/>
    <mergeCell ref="A6:B7"/>
    <mergeCell ref="A8:A10"/>
    <mergeCell ref="B8:B10"/>
    <mergeCell ref="C8:C10"/>
    <mergeCell ref="D8:D10"/>
    <mergeCell ref="E8:E10"/>
    <mergeCell ref="F8:F10"/>
    <mergeCell ref="G8:G10"/>
    <mergeCell ref="H8:H10"/>
    <mergeCell ref="Q6:R10"/>
    <mergeCell ref="Q11:R11"/>
    <mergeCell ref="G22:G23"/>
    <mergeCell ref="H22:H23"/>
    <mergeCell ref="I22:I23"/>
    <mergeCell ref="J22:J23"/>
    <mergeCell ref="K19:L19"/>
    <mergeCell ref="A20:A23"/>
    <mergeCell ref="B20:C21"/>
    <mergeCell ref="D20:L21"/>
    <mergeCell ref="M20:O23"/>
    <mergeCell ref="P20:P23"/>
    <mergeCell ref="B22:B23"/>
    <mergeCell ref="K22:L23"/>
    <mergeCell ref="C22:C23"/>
    <mergeCell ref="D22:D23"/>
    <mergeCell ref="D25:E25"/>
    <mergeCell ref="E22:E23"/>
    <mergeCell ref="F22:F23"/>
    <mergeCell ref="K24:L24"/>
    <mergeCell ref="M24:O24"/>
    <mergeCell ref="K25:L25"/>
    <mergeCell ref="M25:O25"/>
    <mergeCell ref="M26:O26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8:R50"/>
    <mergeCell ref="Q51:R51"/>
    <mergeCell ref="Q52:R52"/>
    <mergeCell ref="Q60:R60"/>
    <mergeCell ref="Q61:R61"/>
    <mergeCell ref="Q62:R62"/>
    <mergeCell ref="Q63:R63"/>
    <mergeCell ref="Q53:R53"/>
    <mergeCell ref="Q54:R54"/>
    <mergeCell ref="Q55:R55"/>
    <mergeCell ref="Q56:R56"/>
    <mergeCell ref="Q57:R57"/>
    <mergeCell ref="Q58:R58"/>
    <mergeCell ref="Q59:R59"/>
    <mergeCell ref="C6:E7"/>
    <mergeCell ref="F6:I7"/>
    <mergeCell ref="J6:J10"/>
    <mergeCell ref="K6:L10"/>
    <mergeCell ref="O6:P7"/>
    <mergeCell ref="I8:I10"/>
    <mergeCell ref="P8:P10"/>
    <mergeCell ref="M6:N10"/>
    <mergeCell ref="O8:O10"/>
    <mergeCell ref="K11:L11"/>
    <mergeCell ref="M11:N11"/>
    <mergeCell ref="K12:L12"/>
    <mergeCell ref="M12:N12"/>
    <mergeCell ref="Q12:R12"/>
    <mergeCell ref="K13:L13"/>
    <mergeCell ref="M13:N13"/>
    <mergeCell ref="Q13:R13"/>
    <mergeCell ref="K14:L14"/>
    <mergeCell ref="M14:N14"/>
    <mergeCell ref="K15:L15"/>
    <mergeCell ref="M15:N15"/>
    <mergeCell ref="K16:L16"/>
    <mergeCell ref="M16:N16"/>
    <mergeCell ref="K17:L17"/>
    <mergeCell ref="M17:N17"/>
    <mergeCell ref="K18:L18"/>
    <mergeCell ref="M18:N18"/>
    <mergeCell ref="M19:N19"/>
    <mergeCell ref="Q14:R14"/>
    <mergeCell ref="Q15:R15"/>
    <mergeCell ref="Q16:R16"/>
    <mergeCell ref="Q17:R17"/>
    <mergeCell ref="Q18:R18"/>
    <mergeCell ref="Q19:R19"/>
    <mergeCell ref="Q20:R23"/>
    <mergeCell ref="B33:B36"/>
    <mergeCell ref="C33:C36"/>
    <mergeCell ref="P33:P36"/>
    <mergeCell ref="Q33:R36"/>
    <mergeCell ref="K26:L26"/>
    <mergeCell ref="K27:L27"/>
    <mergeCell ref="M27:O27"/>
    <mergeCell ref="K28:L28"/>
    <mergeCell ref="M28:O28"/>
    <mergeCell ref="K29:L29"/>
    <mergeCell ref="M29:O29"/>
    <mergeCell ref="L35:M36"/>
    <mergeCell ref="N35:O36"/>
    <mergeCell ref="L37:M37"/>
    <mergeCell ref="N37:O37"/>
    <mergeCell ref="L38:M38"/>
    <mergeCell ref="N38:O38"/>
    <mergeCell ref="N39:O39"/>
    <mergeCell ref="L44:M44"/>
    <mergeCell ref="N44:O44"/>
    <mergeCell ref="L45:M45"/>
    <mergeCell ref="N45:O45"/>
    <mergeCell ref="M46:R47"/>
    <mergeCell ref="M48:P48"/>
    <mergeCell ref="P49:P50"/>
    <mergeCell ref="L39:M39"/>
    <mergeCell ref="L40:M40"/>
    <mergeCell ref="L41:M41"/>
    <mergeCell ref="L42:M42"/>
    <mergeCell ref="N42:O42"/>
    <mergeCell ref="L43:M43"/>
    <mergeCell ref="N43:O43"/>
    <mergeCell ref="K48:L50"/>
    <mergeCell ref="K51:L51"/>
    <mergeCell ref="M51:O51"/>
    <mergeCell ref="K52:L52"/>
    <mergeCell ref="M52:O52"/>
    <mergeCell ref="K53:L53"/>
    <mergeCell ref="M53:O53"/>
    <mergeCell ref="K54:L54"/>
    <mergeCell ref="M54:O54"/>
    <mergeCell ref="K55:L55"/>
    <mergeCell ref="M55:O55"/>
    <mergeCell ref="K56:L56"/>
    <mergeCell ref="M56:O56"/>
    <mergeCell ref="M57:O57"/>
  </mergeCells>
  <conditionalFormatting sqref="B24:G24 B25:D25 B26:G32 B37:C45 C51:P59 E37:J45 F11:J19 F25:G25 I24:J32 O11:R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5511811023622047" footer="0.0" header="0.0" left="0.7874015748031497" right="0.5118110236220472" top="0.9448818897637796"/>
  <pageSetup orientation="portrait"/>
  <rowBreaks count="1" manualBreakCount="1">
    <brk id="60" man="1"/>
  </rowBreaks>
  <colBreaks count="1" manualBreakCount="1">
    <brk id="18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0"/>
    <col customWidth="1" min="3" max="3" width="6.29"/>
    <col customWidth="1" min="4" max="4" width="5.14"/>
    <col customWidth="1" min="5" max="5" width="5.29"/>
    <col customWidth="1" min="6" max="6" width="5.71"/>
    <col customWidth="1" min="7" max="7" width="5.86"/>
    <col customWidth="1" min="8" max="8" width="6.14"/>
    <col customWidth="1" min="9" max="9" width="5.86"/>
    <col customWidth="1" min="10" max="10" width="6.86"/>
    <col customWidth="1" min="11" max="11" width="4.71"/>
    <col customWidth="1" min="12" max="12" width="1.14"/>
    <col customWidth="1" min="13" max="13" width="3.86"/>
    <col customWidth="1" min="14" max="14" width="2.43"/>
    <col customWidth="1" min="15" max="15" width="4.14"/>
    <col customWidth="1" min="16" max="16" width="7.0"/>
    <col customWidth="1" min="17" max="17" width="2.29"/>
    <col customWidth="1" min="18" max="18" width="6.14"/>
    <col customWidth="1" hidden="1" min="19" max="21" width="11.43"/>
    <col customWidth="1" min="22" max="26" width="11.43"/>
  </cols>
  <sheetData>
    <row r="1" ht="12.0" customHeight="1">
      <c r="A1" s="70" t="s">
        <v>75</v>
      </c>
      <c r="S1" s="71"/>
      <c r="T1" s="71"/>
      <c r="U1" s="71"/>
      <c r="V1" s="72"/>
      <c r="W1" s="72"/>
      <c r="X1" s="73"/>
      <c r="Y1" s="73"/>
      <c r="Z1" s="73"/>
    </row>
    <row r="2" ht="5.25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  <c r="T2" s="71"/>
      <c r="U2" s="71"/>
      <c r="V2" s="72"/>
      <c r="W2" s="72"/>
      <c r="X2" s="73"/>
      <c r="Y2" s="73"/>
      <c r="Z2" s="73"/>
    </row>
    <row r="3" ht="12.0" customHeight="1">
      <c r="A3" s="74" t="s">
        <v>313</v>
      </c>
      <c r="B3" s="75"/>
      <c r="C3" s="75"/>
      <c r="D3" s="76"/>
      <c r="E3" s="76"/>
      <c r="F3" s="76"/>
      <c r="G3" s="76"/>
      <c r="H3" s="76"/>
      <c r="I3" s="76"/>
      <c r="J3" s="76"/>
      <c r="K3" s="76"/>
      <c r="M3" s="76"/>
      <c r="O3" s="76"/>
      <c r="P3" s="76"/>
      <c r="Q3" s="76"/>
      <c r="S3" s="77"/>
      <c r="T3" s="77"/>
      <c r="U3" s="77"/>
      <c r="V3" s="78"/>
      <c r="W3" s="78"/>
      <c r="X3" s="79"/>
      <c r="Y3" s="79"/>
      <c r="Z3" s="79"/>
    </row>
    <row r="4" ht="12.0" customHeight="1">
      <c r="A4" s="80" t="s">
        <v>259</v>
      </c>
      <c r="B4" s="81"/>
      <c r="C4" s="81"/>
      <c r="D4" s="143" t="s">
        <v>314</v>
      </c>
      <c r="G4" s="82"/>
      <c r="H4" s="82"/>
      <c r="I4" s="82"/>
      <c r="J4" s="82"/>
      <c r="K4" s="82"/>
      <c r="M4" s="82"/>
      <c r="O4" s="82"/>
      <c r="P4" s="82"/>
      <c r="Q4" s="82"/>
      <c r="S4" s="77"/>
      <c r="T4" s="77"/>
      <c r="U4" s="77"/>
      <c r="V4" s="78"/>
      <c r="W4" s="78"/>
      <c r="X4" s="79"/>
      <c r="Y4" s="79"/>
      <c r="Z4" s="79"/>
    </row>
    <row r="5" ht="12.0" customHeight="1">
      <c r="A5" s="74" t="s">
        <v>78</v>
      </c>
      <c r="B5" s="82"/>
      <c r="C5" s="82"/>
      <c r="D5" s="82"/>
      <c r="E5" s="82"/>
      <c r="F5" s="82"/>
      <c r="G5" s="82"/>
      <c r="H5" s="82"/>
      <c r="I5" s="82"/>
      <c r="J5" s="82"/>
      <c r="K5" s="82"/>
      <c r="M5" s="82"/>
      <c r="O5" s="81"/>
      <c r="P5" s="81"/>
      <c r="Q5" s="83"/>
      <c r="R5" s="84"/>
      <c r="S5" s="77"/>
      <c r="T5" s="77"/>
      <c r="U5" s="77"/>
      <c r="V5" s="78"/>
      <c r="W5" s="78"/>
      <c r="X5" s="79"/>
      <c r="Y5" s="79"/>
      <c r="Z5" s="79"/>
    </row>
    <row r="6" ht="12.0" customHeight="1">
      <c r="A6" s="85" t="s">
        <v>79</v>
      </c>
      <c r="B6" s="86"/>
      <c r="C6" s="85" t="s">
        <v>315</v>
      </c>
      <c r="D6" s="87"/>
      <c r="E6" s="86"/>
      <c r="F6" s="85" t="s">
        <v>316</v>
      </c>
      <c r="G6" s="87"/>
      <c r="H6" s="87"/>
      <c r="I6" s="86"/>
      <c r="J6" s="88" t="s">
        <v>317</v>
      </c>
      <c r="K6" s="85" t="s">
        <v>318</v>
      </c>
      <c r="L6" s="86"/>
      <c r="M6" s="85" t="s">
        <v>84</v>
      </c>
      <c r="N6" s="86"/>
      <c r="O6" s="89" t="s">
        <v>319</v>
      </c>
      <c r="P6" s="86"/>
      <c r="Q6" s="85" t="s">
        <v>320</v>
      </c>
      <c r="R6" s="86"/>
      <c r="S6" s="71"/>
      <c r="T6" s="71"/>
      <c r="U6" s="71"/>
      <c r="V6" s="72"/>
      <c r="W6" s="72"/>
      <c r="X6" s="73"/>
      <c r="Y6" s="73"/>
      <c r="Z6" s="73"/>
    </row>
    <row r="7" ht="19.5" customHeight="1">
      <c r="A7" s="90"/>
      <c r="B7" s="91"/>
      <c r="C7" s="90"/>
      <c r="D7" s="84"/>
      <c r="E7" s="91"/>
      <c r="F7" s="90"/>
      <c r="G7" s="84"/>
      <c r="H7" s="84"/>
      <c r="I7" s="91"/>
      <c r="J7" s="92"/>
      <c r="K7" s="93"/>
      <c r="L7" s="94"/>
      <c r="M7" s="93"/>
      <c r="N7" s="94"/>
      <c r="O7" s="84"/>
      <c r="P7" s="91"/>
      <c r="Q7" s="93"/>
      <c r="R7" s="94"/>
      <c r="S7" s="95"/>
      <c r="T7" s="71"/>
      <c r="U7" s="71"/>
      <c r="V7" s="72"/>
      <c r="W7" s="72"/>
      <c r="X7" s="73"/>
      <c r="Y7" s="73"/>
      <c r="Z7" s="73"/>
    </row>
    <row r="8" ht="12.0" customHeight="1">
      <c r="A8" s="88" t="s">
        <v>87</v>
      </c>
      <c r="B8" s="88" t="s">
        <v>321</v>
      </c>
      <c r="C8" s="88" t="s">
        <v>322</v>
      </c>
      <c r="D8" s="88" t="s">
        <v>323</v>
      </c>
      <c r="E8" s="88" t="s">
        <v>324</v>
      </c>
      <c r="F8" s="88" t="s">
        <v>325</v>
      </c>
      <c r="G8" s="88" t="s">
        <v>326</v>
      </c>
      <c r="H8" s="88" t="s">
        <v>327</v>
      </c>
      <c r="I8" s="88" t="s">
        <v>328</v>
      </c>
      <c r="J8" s="92"/>
      <c r="K8" s="93"/>
      <c r="L8" s="94"/>
      <c r="M8" s="93"/>
      <c r="N8" s="94"/>
      <c r="O8" s="96" t="s">
        <v>96</v>
      </c>
      <c r="P8" s="88" t="s">
        <v>97</v>
      </c>
      <c r="Q8" s="93"/>
      <c r="R8" s="94"/>
      <c r="S8" s="95"/>
      <c r="T8" s="95"/>
      <c r="U8" s="95"/>
      <c r="V8" s="72"/>
      <c r="W8" s="72"/>
      <c r="X8" s="73"/>
      <c r="Y8" s="73"/>
      <c r="Z8" s="73"/>
    </row>
    <row r="9" ht="12.0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3"/>
      <c r="L9" s="94"/>
      <c r="M9" s="93"/>
      <c r="N9" s="94"/>
      <c r="O9" s="94"/>
      <c r="P9" s="92"/>
      <c r="Q9" s="93"/>
      <c r="R9" s="94"/>
      <c r="S9" s="95"/>
      <c r="T9" s="71"/>
      <c r="U9" s="95"/>
      <c r="V9" s="72"/>
      <c r="W9" s="72"/>
      <c r="X9" s="73"/>
      <c r="Y9" s="73"/>
      <c r="Z9" s="97"/>
    </row>
    <row r="10" ht="14.25" customHeight="1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0"/>
      <c r="L10" s="91"/>
      <c r="M10" s="90"/>
      <c r="N10" s="91"/>
      <c r="O10" s="91"/>
      <c r="P10" s="98"/>
      <c r="Q10" s="90"/>
      <c r="R10" s="91"/>
      <c r="S10" s="71" t="s">
        <v>98</v>
      </c>
      <c r="T10" s="71" t="s">
        <v>98</v>
      </c>
      <c r="U10" s="71" t="s">
        <v>98</v>
      </c>
      <c r="V10" s="72"/>
      <c r="W10" s="72"/>
      <c r="X10" s="73"/>
      <c r="Y10" s="73"/>
      <c r="Z10" s="97"/>
    </row>
    <row r="11" ht="12.0" customHeight="1">
      <c r="A11" s="99" t="s">
        <v>99</v>
      </c>
      <c r="B11" s="100" t="s">
        <v>54</v>
      </c>
      <c r="C11" s="101" t="s">
        <v>99</v>
      </c>
      <c r="D11" s="102" t="s">
        <v>99</v>
      </c>
      <c r="E11" s="101" t="s">
        <v>99</v>
      </c>
      <c r="F11" s="102">
        <v>396.0</v>
      </c>
      <c r="G11" s="101">
        <v>137.0</v>
      </c>
      <c r="H11" s="102">
        <v>59.0</v>
      </c>
      <c r="I11" s="101">
        <v>408.0</v>
      </c>
      <c r="J11" s="103" t="s">
        <v>99</v>
      </c>
      <c r="K11" s="104" t="s">
        <v>99</v>
      </c>
      <c r="M11" s="105">
        <v>0.14</v>
      </c>
      <c r="N11" s="94"/>
      <c r="O11" s="106" t="s">
        <v>99</v>
      </c>
      <c r="P11" s="107" t="s">
        <v>99</v>
      </c>
      <c r="Q11" s="103" t="s">
        <v>99</v>
      </c>
      <c r="R11" s="86"/>
      <c r="S11" s="108" t="s">
        <v>60</v>
      </c>
      <c r="T11" s="108" t="s">
        <v>60</v>
      </c>
      <c r="U11" s="108" t="s">
        <v>60</v>
      </c>
      <c r="V11" s="109" t="s">
        <v>60</v>
      </c>
      <c r="W11" s="110"/>
      <c r="X11" s="73"/>
      <c r="Y11" s="73"/>
      <c r="Z11" s="97"/>
    </row>
    <row r="12" ht="12.0" customHeight="1">
      <c r="A12" s="142" t="s">
        <v>99</v>
      </c>
      <c r="B12" s="112" t="s">
        <v>59</v>
      </c>
      <c r="C12" s="101" t="s">
        <v>99</v>
      </c>
      <c r="D12" s="113" t="s">
        <v>99</v>
      </c>
      <c r="E12" s="113" t="s">
        <v>99</v>
      </c>
      <c r="F12" s="101">
        <v>412.0</v>
      </c>
      <c r="G12" s="113">
        <v>130.0</v>
      </c>
      <c r="H12" s="101">
        <v>91.0</v>
      </c>
      <c r="I12" s="113">
        <v>367.0</v>
      </c>
      <c r="J12" s="101" t="s">
        <v>99</v>
      </c>
      <c r="K12" s="104" t="s">
        <v>99</v>
      </c>
      <c r="L12" s="94"/>
      <c r="M12" s="114">
        <v>0.25</v>
      </c>
      <c r="O12" s="115" t="s">
        <v>99</v>
      </c>
      <c r="P12" s="114" t="s">
        <v>99</v>
      </c>
      <c r="Q12" s="104" t="s">
        <v>99</v>
      </c>
      <c r="R12" s="94"/>
      <c r="S12" s="108" t="s">
        <v>60</v>
      </c>
      <c r="T12" s="108" t="s">
        <v>60</v>
      </c>
      <c r="U12" s="108" t="s">
        <v>60</v>
      </c>
      <c r="V12" s="109" t="s">
        <v>60</v>
      </c>
      <c r="W12" s="72"/>
      <c r="X12" s="73"/>
      <c r="Y12" s="73"/>
      <c r="Z12" s="97"/>
    </row>
    <row r="13" ht="12.0" customHeight="1">
      <c r="A13" s="142" t="s">
        <v>99</v>
      </c>
      <c r="B13" s="112" t="s">
        <v>99</v>
      </c>
      <c r="C13" s="101" t="s">
        <v>99</v>
      </c>
      <c r="D13" s="113" t="s">
        <v>99</v>
      </c>
      <c r="E13" s="113" t="s">
        <v>99</v>
      </c>
      <c r="F13" s="101" t="s">
        <v>99</v>
      </c>
      <c r="G13" s="113" t="s">
        <v>99</v>
      </c>
      <c r="H13" s="101" t="s">
        <v>99</v>
      </c>
      <c r="I13" s="113" t="s">
        <v>99</v>
      </c>
      <c r="J13" s="101" t="s">
        <v>99</v>
      </c>
      <c r="K13" s="104" t="s">
        <v>99</v>
      </c>
      <c r="L13" s="94"/>
      <c r="M13" s="114" t="s">
        <v>99</v>
      </c>
      <c r="O13" s="115" t="s">
        <v>99</v>
      </c>
      <c r="P13" s="114" t="s">
        <v>99</v>
      </c>
      <c r="Q13" s="104" t="s">
        <v>99</v>
      </c>
      <c r="R13" s="94"/>
      <c r="S13" s="108" t="s">
        <v>99</v>
      </c>
      <c r="T13" s="108" t="s">
        <v>99</v>
      </c>
      <c r="U13" s="108" t="s">
        <v>99</v>
      </c>
      <c r="V13" s="109" t="s">
        <v>99</v>
      </c>
      <c r="W13" s="72"/>
      <c r="X13" s="73"/>
      <c r="Y13" s="73"/>
      <c r="Z13" s="97"/>
    </row>
    <row r="14" ht="12.0" customHeight="1">
      <c r="A14" s="142" t="s">
        <v>99</v>
      </c>
      <c r="B14" s="112" t="s">
        <v>99</v>
      </c>
      <c r="C14" s="101" t="s">
        <v>99</v>
      </c>
      <c r="D14" s="113" t="s">
        <v>99</v>
      </c>
      <c r="E14" s="113" t="s">
        <v>99</v>
      </c>
      <c r="F14" s="101" t="s">
        <v>99</v>
      </c>
      <c r="G14" s="113" t="s">
        <v>99</v>
      </c>
      <c r="H14" s="101" t="s">
        <v>99</v>
      </c>
      <c r="I14" s="113" t="s">
        <v>99</v>
      </c>
      <c r="J14" s="101" t="s">
        <v>99</v>
      </c>
      <c r="K14" s="104" t="s">
        <v>99</v>
      </c>
      <c r="L14" s="94"/>
      <c r="M14" s="114" t="s">
        <v>99</v>
      </c>
      <c r="O14" s="115" t="s">
        <v>99</v>
      </c>
      <c r="P14" s="114" t="s">
        <v>99</v>
      </c>
      <c r="Q14" s="104" t="s">
        <v>99</v>
      </c>
      <c r="R14" s="94"/>
      <c r="S14" s="108" t="s">
        <v>99</v>
      </c>
      <c r="T14" s="108" t="s">
        <v>99</v>
      </c>
      <c r="U14" s="108" t="s">
        <v>99</v>
      </c>
      <c r="V14" s="109" t="s">
        <v>99</v>
      </c>
      <c r="W14" s="72"/>
      <c r="X14" s="73"/>
      <c r="Y14" s="73"/>
      <c r="Z14" s="97"/>
    </row>
    <row r="15" ht="12.0" customHeight="1">
      <c r="A15" s="142" t="s">
        <v>99</v>
      </c>
      <c r="B15" s="112" t="s">
        <v>99</v>
      </c>
      <c r="C15" s="101" t="s">
        <v>99</v>
      </c>
      <c r="D15" s="113" t="s">
        <v>99</v>
      </c>
      <c r="E15" s="113" t="s">
        <v>99</v>
      </c>
      <c r="F15" s="101" t="s">
        <v>99</v>
      </c>
      <c r="G15" s="113" t="s">
        <v>99</v>
      </c>
      <c r="H15" s="101" t="s">
        <v>99</v>
      </c>
      <c r="I15" s="113" t="s">
        <v>99</v>
      </c>
      <c r="J15" s="101" t="s">
        <v>99</v>
      </c>
      <c r="K15" s="104" t="s">
        <v>99</v>
      </c>
      <c r="L15" s="94"/>
      <c r="M15" s="114" t="s">
        <v>99</v>
      </c>
      <c r="O15" s="115" t="s">
        <v>99</v>
      </c>
      <c r="P15" s="114" t="s">
        <v>99</v>
      </c>
      <c r="Q15" s="104" t="s">
        <v>99</v>
      </c>
      <c r="R15" s="94"/>
      <c r="S15" s="108" t="s">
        <v>99</v>
      </c>
      <c r="T15" s="108" t="s">
        <v>99</v>
      </c>
      <c r="U15" s="108" t="s">
        <v>99</v>
      </c>
      <c r="V15" s="109" t="s">
        <v>99</v>
      </c>
      <c r="W15" s="72"/>
      <c r="X15" s="73"/>
      <c r="Y15" s="73"/>
      <c r="Z15" s="97"/>
    </row>
    <row r="16" ht="12.0" customHeight="1">
      <c r="A16" s="142" t="s">
        <v>99</v>
      </c>
      <c r="B16" s="112" t="s">
        <v>99</v>
      </c>
      <c r="C16" s="101" t="s">
        <v>99</v>
      </c>
      <c r="D16" s="113" t="s">
        <v>99</v>
      </c>
      <c r="E16" s="113" t="s">
        <v>99</v>
      </c>
      <c r="F16" s="101" t="s">
        <v>99</v>
      </c>
      <c r="G16" s="113" t="s">
        <v>99</v>
      </c>
      <c r="H16" s="101" t="s">
        <v>99</v>
      </c>
      <c r="I16" s="113" t="s">
        <v>99</v>
      </c>
      <c r="J16" s="101" t="s">
        <v>99</v>
      </c>
      <c r="K16" s="104" t="s">
        <v>99</v>
      </c>
      <c r="L16" s="94"/>
      <c r="M16" s="114" t="s">
        <v>99</v>
      </c>
      <c r="O16" s="115" t="s">
        <v>99</v>
      </c>
      <c r="P16" s="114" t="s">
        <v>99</v>
      </c>
      <c r="Q16" s="104" t="s">
        <v>99</v>
      </c>
      <c r="R16" s="94"/>
      <c r="S16" s="108" t="s">
        <v>99</v>
      </c>
      <c r="T16" s="108" t="s">
        <v>99</v>
      </c>
      <c r="U16" s="108" t="s">
        <v>99</v>
      </c>
      <c r="V16" s="109" t="s">
        <v>99</v>
      </c>
      <c r="W16" s="72"/>
      <c r="X16" s="73"/>
      <c r="Y16" s="73"/>
      <c r="Z16" s="97"/>
    </row>
    <row r="17" ht="12.0" customHeight="1">
      <c r="A17" s="142" t="s">
        <v>99</v>
      </c>
      <c r="B17" s="112" t="s">
        <v>99</v>
      </c>
      <c r="C17" s="114" t="s">
        <v>99</v>
      </c>
      <c r="D17" s="115" t="s">
        <v>99</v>
      </c>
      <c r="E17" s="115" t="s">
        <v>99</v>
      </c>
      <c r="F17" s="114" t="s">
        <v>99</v>
      </c>
      <c r="G17" s="115" t="s">
        <v>99</v>
      </c>
      <c r="H17" s="114" t="s">
        <v>99</v>
      </c>
      <c r="I17" s="115" t="s">
        <v>99</v>
      </c>
      <c r="J17" s="114" t="s">
        <v>99</v>
      </c>
      <c r="K17" s="104" t="s">
        <v>99</v>
      </c>
      <c r="L17" s="94"/>
      <c r="M17" s="114" t="s">
        <v>99</v>
      </c>
      <c r="O17" s="115" t="s">
        <v>99</v>
      </c>
      <c r="P17" s="114" t="s">
        <v>99</v>
      </c>
      <c r="Q17" s="104" t="s">
        <v>99</v>
      </c>
      <c r="R17" s="94"/>
      <c r="S17" s="108" t="s">
        <v>99</v>
      </c>
      <c r="T17" s="108" t="s">
        <v>99</v>
      </c>
      <c r="U17" s="108" t="s">
        <v>99</v>
      </c>
      <c r="V17" s="109" t="s">
        <v>99</v>
      </c>
      <c r="W17" s="72"/>
      <c r="X17" s="73"/>
      <c r="Y17" s="73"/>
      <c r="Z17" s="97"/>
    </row>
    <row r="18" ht="12.0" customHeight="1">
      <c r="A18" s="142" t="s">
        <v>99</v>
      </c>
      <c r="B18" s="112" t="s">
        <v>99</v>
      </c>
      <c r="C18" s="114" t="s">
        <v>99</v>
      </c>
      <c r="D18" s="115" t="s">
        <v>99</v>
      </c>
      <c r="E18" s="115" t="s">
        <v>99</v>
      </c>
      <c r="F18" s="114" t="s">
        <v>99</v>
      </c>
      <c r="G18" s="115" t="s">
        <v>99</v>
      </c>
      <c r="H18" s="114" t="s">
        <v>99</v>
      </c>
      <c r="I18" s="115" t="s">
        <v>99</v>
      </c>
      <c r="J18" s="114" t="s">
        <v>99</v>
      </c>
      <c r="K18" s="104" t="s">
        <v>99</v>
      </c>
      <c r="L18" s="94"/>
      <c r="M18" s="114" t="s">
        <v>99</v>
      </c>
      <c r="O18" s="115" t="s">
        <v>99</v>
      </c>
      <c r="P18" s="114" t="s">
        <v>99</v>
      </c>
      <c r="Q18" s="104" t="s">
        <v>99</v>
      </c>
      <c r="R18" s="94"/>
      <c r="S18" s="108" t="s">
        <v>99</v>
      </c>
      <c r="T18" s="108" t="s">
        <v>99</v>
      </c>
      <c r="U18" s="108" t="s">
        <v>99</v>
      </c>
      <c r="V18" s="109" t="s">
        <v>99</v>
      </c>
      <c r="W18" s="72"/>
      <c r="X18" s="73"/>
      <c r="Y18" s="73"/>
      <c r="Z18" s="97"/>
    </row>
    <row r="19" ht="12.0" customHeight="1">
      <c r="A19" s="116" t="s">
        <v>99</v>
      </c>
      <c r="B19" s="117" t="s">
        <v>99</v>
      </c>
      <c r="C19" s="118" t="s">
        <v>99</v>
      </c>
      <c r="D19" s="119" t="s">
        <v>99</v>
      </c>
      <c r="E19" s="118" t="s">
        <v>99</v>
      </c>
      <c r="F19" s="119" t="s">
        <v>99</v>
      </c>
      <c r="G19" s="118" t="s">
        <v>99</v>
      </c>
      <c r="H19" s="119" t="s">
        <v>99</v>
      </c>
      <c r="I19" s="118" t="s">
        <v>99</v>
      </c>
      <c r="J19" s="120" t="s">
        <v>99</v>
      </c>
      <c r="K19" s="121" t="s">
        <v>99</v>
      </c>
      <c r="L19" s="84"/>
      <c r="M19" s="120" t="s">
        <v>99</v>
      </c>
      <c r="N19" s="91"/>
      <c r="O19" s="122" t="s">
        <v>99</v>
      </c>
      <c r="P19" s="119" t="s">
        <v>99</v>
      </c>
      <c r="Q19" s="121" t="s">
        <v>99</v>
      </c>
      <c r="R19" s="91"/>
      <c r="S19" s="108" t="s">
        <v>99</v>
      </c>
      <c r="T19" s="108" t="s">
        <v>99</v>
      </c>
      <c r="U19" s="108" t="s">
        <v>99</v>
      </c>
      <c r="V19" s="109" t="s">
        <v>99</v>
      </c>
      <c r="W19" s="72"/>
      <c r="X19" s="73"/>
      <c r="Y19" s="73"/>
      <c r="Z19" s="97"/>
    </row>
    <row r="20" ht="12.0" customHeight="1">
      <c r="A20" s="88" t="s">
        <v>79</v>
      </c>
      <c r="B20" s="105" t="s">
        <v>329</v>
      </c>
      <c r="C20" s="94"/>
      <c r="D20" s="105" t="s">
        <v>330</v>
      </c>
      <c r="L20" s="94"/>
      <c r="M20" s="105" t="s">
        <v>331</v>
      </c>
      <c r="O20" s="94"/>
      <c r="P20" s="124" t="s">
        <v>332</v>
      </c>
      <c r="Q20" s="105" t="s">
        <v>333</v>
      </c>
      <c r="R20" s="94"/>
      <c r="S20" s="71"/>
      <c r="T20" s="71"/>
      <c r="U20" s="95"/>
      <c r="V20" s="72"/>
      <c r="W20" s="72"/>
      <c r="X20" s="73"/>
      <c r="Y20" s="73"/>
      <c r="Z20" s="97"/>
    </row>
    <row r="21" ht="9.75" customHeight="1">
      <c r="A21" s="92"/>
      <c r="B21" s="90"/>
      <c r="C21" s="91"/>
      <c r="D21" s="90"/>
      <c r="E21" s="84"/>
      <c r="F21" s="84"/>
      <c r="G21" s="84"/>
      <c r="H21" s="84"/>
      <c r="I21" s="84"/>
      <c r="J21" s="84"/>
      <c r="K21" s="84"/>
      <c r="L21" s="91"/>
      <c r="M21" s="93"/>
      <c r="O21" s="94"/>
      <c r="P21" s="92"/>
      <c r="Q21" s="93"/>
      <c r="R21" s="94"/>
      <c r="S21" s="71"/>
      <c r="T21" s="71"/>
      <c r="U21" s="95"/>
      <c r="V21" s="72"/>
      <c r="W21" s="72"/>
      <c r="X21" s="73"/>
      <c r="Y21" s="73"/>
      <c r="Z21" s="73"/>
    </row>
    <row r="22" ht="9.75" customHeight="1">
      <c r="A22" s="92"/>
      <c r="B22" s="107" t="s">
        <v>105</v>
      </c>
      <c r="C22" s="107" t="s">
        <v>334</v>
      </c>
      <c r="D22" s="107" t="s">
        <v>335</v>
      </c>
      <c r="E22" s="107" t="s">
        <v>336</v>
      </c>
      <c r="F22" s="107" t="s">
        <v>337</v>
      </c>
      <c r="G22" s="107" t="s">
        <v>338</v>
      </c>
      <c r="H22" s="107" t="s">
        <v>339</v>
      </c>
      <c r="I22" s="107" t="s">
        <v>340</v>
      </c>
      <c r="J22" s="107" t="s">
        <v>341</v>
      </c>
      <c r="K22" s="125" t="s">
        <v>114</v>
      </c>
      <c r="L22" s="86"/>
      <c r="M22" s="93"/>
      <c r="O22" s="94"/>
      <c r="P22" s="92"/>
      <c r="Q22" s="93"/>
      <c r="R22" s="94"/>
      <c r="S22" s="71"/>
      <c r="T22" s="71"/>
      <c r="U22" s="71"/>
      <c r="V22" s="72"/>
      <c r="W22" s="72"/>
      <c r="X22" s="73"/>
      <c r="Y22" s="73"/>
      <c r="Z22" s="97"/>
    </row>
    <row r="23" ht="11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0"/>
      <c r="L23" s="91"/>
      <c r="M23" s="90"/>
      <c r="N23" s="84"/>
      <c r="O23" s="91"/>
      <c r="P23" s="98"/>
      <c r="Q23" s="90"/>
      <c r="R23" s="91"/>
      <c r="S23" s="71" t="s">
        <v>98</v>
      </c>
      <c r="T23" s="71" t="s">
        <v>98</v>
      </c>
      <c r="U23" s="71"/>
      <c r="V23" s="72"/>
      <c r="W23" s="72"/>
      <c r="X23" s="73"/>
      <c r="Y23" s="73"/>
      <c r="Z23" s="97"/>
    </row>
    <row r="24" ht="12.0" customHeight="1">
      <c r="A24" s="126" t="s">
        <v>99</v>
      </c>
      <c r="B24" s="127">
        <v>4.6</v>
      </c>
      <c r="C24" s="128" t="s">
        <v>115</v>
      </c>
      <c r="D24" s="144">
        <v>0.0</v>
      </c>
      <c r="E24" s="86"/>
      <c r="F24" s="115">
        <v>0.05</v>
      </c>
      <c r="G24" s="115">
        <v>0.03</v>
      </c>
      <c r="H24" s="127">
        <v>0.1</v>
      </c>
      <c r="I24" s="128">
        <v>1.3</v>
      </c>
      <c r="J24" s="127">
        <v>5.9</v>
      </c>
      <c r="K24" s="129">
        <v>7.3</v>
      </c>
      <c r="L24" s="94"/>
      <c r="M24" s="130">
        <v>1.0</v>
      </c>
      <c r="O24" s="94"/>
      <c r="P24" s="131">
        <v>93.0</v>
      </c>
      <c r="Q24" s="104">
        <v>1.0</v>
      </c>
      <c r="R24" s="94"/>
      <c r="S24" s="71" t="s">
        <v>39</v>
      </c>
      <c r="T24" s="132">
        <v>0.1</v>
      </c>
      <c r="U24" s="71"/>
      <c r="V24" s="72" t="s">
        <v>61</v>
      </c>
      <c r="W24" s="72" t="str">
        <f t="shared" ref="W24:W32" si="1">IF(OR(H24="",I24="",I11="",M24=""),"",IF(1000*(H24+I24)/I11&gt;1.5,"",IF(C24&gt;=5,"ácrico",IF(C24-B24&gt;=0,"ácrico",""))))</f>
        <v/>
      </c>
      <c r="X24" s="73"/>
      <c r="Y24" s="73"/>
      <c r="Z24" s="97"/>
    </row>
    <row r="25" ht="12.0" customHeight="1">
      <c r="A25" s="126" t="s">
        <v>99</v>
      </c>
      <c r="B25" s="127">
        <v>4.5</v>
      </c>
      <c r="C25" s="128" t="s">
        <v>115</v>
      </c>
      <c r="D25" s="129">
        <v>0.0</v>
      </c>
      <c r="E25" s="94"/>
      <c r="F25" s="115">
        <v>0.03</v>
      </c>
      <c r="G25" s="115">
        <v>0.02</v>
      </c>
      <c r="H25" s="127">
        <v>0.0</v>
      </c>
      <c r="I25" s="128">
        <v>1.3</v>
      </c>
      <c r="J25" s="127">
        <v>5.7</v>
      </c>
      <c r="K25" s="129">
        <v>7.0</v>
      </c>
      <c r="L25" s="94"/>
      <c r="M25" s="130">
        <v>0.0</v>
      </c>
      <c r="O25" s="94"/>
      <c r="P25" s="131">
        <v>100.0</v>
      </c>
      <c r="Q25" s="104">
        <v>1.0</v>
      </c>
      <c r="R25" s="94"/>
      <c r="S25" s="71" t="s">
        <v>39</v>
      </c>
      <c r="T25" s="71">
        <v>0.0</v>
      </c>
      <c r="U25" s="71"/>
      <c r="V25" s="72" t="s">
        <v>61</v>
      </c>
      <c r="W25" s="72" t="str">
        <f t="shared" si="1"/>
        <v/>
      </c>
      <c r="X25" s="73"/>
      <c r="Y25" s="73"/>
      <c r="Z25" s="97"/>
    </row>
    <row r="26" ht="12.0" customHeight="1">
      <c r="A26" s="126" t="s">
        <v>99</v>
      </c>
      <c r="B26" s="127" t="s">
        <v>99</v>
      </c>
      <c r="C26" s="128" t="s">
        <v>99</v>
      </c>
      <c r="D26" s="127" t="s">
        <v>99</v>
      </c>
      <c r="E26" s="128" t="s">
        <v>99</v>
      </c>
      <c r="F26" s="115" t="s">
        <v>99</v>
      </c>
      <c r="G26" s="115" t="s">
        <v>99</v>
      </c>
      <c r="H26" s="127" t="s">
        <v>99</v>
      </c>
      <c r="I26" s="128" t="s">
        <v>99</v>
      </c>
      <c r="J26" s="127" t="s">
        <v>99</v>
      </c>
      <c r="K26" s="129" t="s">
        <v>99</v>
      </c>
      <c r="L26" s="94"/>
      <c r="M26" s="130" t="s">
        <v>99</v>
      </c>
      <c r="O26" s="94"/>
      <c r="P26" s="131" t="s">
        <v>99</v>
      </c>
      <c r="Q26" s="104" t="s">
        <v>99</v>
      </c>
      <c r="R26" s="94"/>
      <c r="S26" s="71" t="s">
        <v>99</v>
      </c>
      <c r="T26" s="71" t="s">
        <v>99</v>
      </c>
      <c r="U26" s="71"/>
      <c r="V26" s="72" t="s">
        <v>99</v>
      </c>
      <c r="W26" s="72" t="str">
        <f t="shared" si="1"/>
        <v/>
      </c>
      <c r="X26" s="73"/>
      <c r="Y26" s="73"/>
      <c r="Z26" s="97"/>
    </row>
    <row r="27" ht="12.0" customHeight="1">
      <c r="A27" s="126" t="s">
        <v>99</v>
      </c>
      <c r="B27" s="127" t="s">
        <v>99</v>
      </c>
      <c r="C27" s="128" t="s">
        <v>99</v>
      </c>
      <c r="D27" s="127" t="s">
        <v>99</v>
      </c>
      <c r="E27" s="128" t="s">
        <v>99</v>
      </c>
      <c r="F27" s="115" t="s">
        <v>99</v>
      </c>
      <c r="G27" s="115" t="s">
        <v>99</v>
      </c>
      <c r="H27" s="127" t="s">
        <v>99</v>
      </c>
      <c r="I27" s="128" t="s">
        <v>99</v>
      </c>
      <c r="J27" s="127" t="s">
        <v>99</v>
      </c>
      <c r="K27" s="129" t="s">
        <v>99</v>
      </c>
      <c r="L27" s="94"/>
      <c r="M27" s="130" t="s">
        <v>99</v>
      </c>
      <c r="O27" s="94"/>
      <c r="P27" s="131" t="s">
        <v>99</v>
      </c>
      <c r="Q27" s="104" t="s">
        <v>99</v>
      </c>
      <c r="R27" s="94"/>
      <c r="S27" s="71" t="s">
        <v>99</v>
      </c>
      <c r="T27" s="71" t="s">
        <v>99</v>
      </c>
      <c r="U27" s="71"/>
      <c r="V27" s="72" t="s">
        <v>99</v>
      </c>
      <c r="W27" s="72" t="str">
        <f t="shared" si="1"/>
        <v/>
      </c>
      <c r="X27" s="73"/>
      <c r="Y27" s="73"/>
      <c r="Z27" s="97"/>
    </row>
    <row r="28" ht="12.0" customHeight="1">
      <c r="A28" s="126" t="s">
        <v>99</v>
      </c>
      <c r="B28" s="127" t="s">
        <v>99</v>
      </c>
      <c r="C28" s="128" t="s">
        <v>99</v>
      </c>
      <c r="D28" s="127" t="s">
        <v>99</v>
      </c>
      <c r="E28" s="128" t="s">
        <v>99</v>
      </c>
      <c r="F28" s="115" t="s">
        <v>99</v>
      </c>
      <c r="G28" s="115" t="s">
        <v>99</v>
      </c>
      <c r="H28" s="127" t="s">
        <v>99</v>
      </c>
      <c r="I28" s="128" t="s">
        <v>99</v>
      </c>
      <c r="J28" s="127" t="s">
        <v>99</v>
      </c>
      <c r="K28" s="129" t="s">
        <v>99</v>
      </c>
      <c r="L28" s="94"/>
      <c r="M28" s="130" t="s">
        <v>99</v>
      </c>
      <c r="O28" s="94"/>
      <c r="P28" s="131" t="s">
        <v>99</v>
      </c>
      <c r="Q28" s="104" t="s">
        <v>99</v>
      </c>
      <c r="R28" s="94"/>
      <c r="S28" s="71" t="s">
        <v>99</v>
      </c>
      <c r="T28" s="71" t="s">
        <v>99</v>
      </c>
      <c r="U28" s="71"/>
      <c r="V28" s="72" t="s">
        <v>99</v>
      </c>
      <c r="W28" s="72" t="str">
        <f t="shared" si="1"/>
        <v/>
      </c>
      <c r="X28" s="73"/>
      <c r="Y28" s="73"/>
      <c r="Z28" s="97"/>
    </row>
    <row r="29" ht="12.0" customHeight="1">
      <c r="A29" s="126" t="s">
        <v>99</v>
      </c>
      <c r="B29" s="127" t="s">
        <v>99</v>
      </c>
      <c r="C29" s="128" t="s">
        <v>99</v>
      </c>
      <c r="D29" s="127" t="s">
        <v>99</v>
      </c>
      <c r="E29" s="128" t="s">
        <v>99</v>
      </c>
      <c r="F29" s="115" t="s">
        <v>99</v>
      </c>
      <c r="G29" s="115" t="s">
        <v>99</v>
      </c>
      <c r="H29" s="127" t="s">
        <v>99</v>
      </c>
      <c r="I29" s="128" t="s">
        <v>99</v>
      </c>
      <c r="J29" s="127" t="s">
        <v>99</v>
      </c>
      <c r="K29" s="129" t="s">
        <v>99</v>
      </c>
      <c r="L29" s="94"/>
      <c r="M29" s="130" t="s">
        <v>99</v>
      </c>
      <c r="O29" s="94"/>
      <c r="P29" s="131" t="s">
        <v>99</v>
      </c>
      <c r="Q29" s="104" t="s">
        <v>99</v>
      </c>
      <c r="R29" s="94"/>
      <c r="S29" s="71" t="s">
        <v>99</v>
      </c>
      <c r="T29" s="71" t="s">
        <v>99</v>
      </c>
      <c r="U29" s="71"/>
      <c r="V29" s="72" t="s">
        <v>99</v>
      </c>
      <c r="W29" s="72" t="str">
        <f t="shared" si="1"/>
        <v/>
      </c>
      <c r="X29" s="73"/>
      <c r="Y29" s="73"/>
      <c r="Z29" s="97"/>
    </row>
    <row r="30" ht="12.0" customHeight="1">
      <c r="A30" s="126" t="s">
        <v>99</v>
      </c>
      <c r="B30" s="127" t="s">
        <v>99</v>
      </c>
      <c r="C30" s="128" t="s">
        <v>99</v>
      </c>
      <c r="D30" s="127" t="s">
        <v>99</v>
      </c>
      <c r="E30" s="128" t="s">
        <v>99</v>
      </c>
      <c r="F30" s="115" t="s">
        <v>99</v>
      </c>
      <c r="G30" s="115" t="s">
        <v>99</v>
      </c>
      <c r="H30" s="127" t="s">
        <v>99</v>
      </c>
      <c r="I30" s="128" t="s">
        <v>99</v>
      </c>
      <c r="J30" s="127" t="s">
        <v>99</v>
      </c>
      <c r="K30" s="129" t="s">
        <v>99</v>
      </c>
      <c r="L30" s="94"/>
      <c r="M30" s="130" t="s">
        <v>99</v>
      </c>
      <c r="O30" s="94"/>
      <c r="P30" s="131" t="s">
        <v>99</v>
      </c>
      <c r="Q30" s="104" t="s">
        <v>99</v>
      </c>
      <c r="R30" s="94"/>
      <c r="S30" s="71" t="s">
        <v>99</v>
      </c>
      <c r="T30" s="71" t="s">
        <v>99</v>
      </c>
      <c r="U30" s="71"/>
      <c r="V30" s="72" t="s">
        <v>99</v>
      </c>
      <c r="W30" s="72" t="str">
        <f t="shared" si="1"/>
        <v/>
      </c>
      <c r="X30" s="73"/>
      <c r="Y30" s="73"/>
      <c r="Z30" s="97"/>
    </row>
    <row r="31" ht="12.0" customHeight="1">
      <c r="A31" s="126" t="s">
        <v>99</v>
      </c>
      <c r="B31" s="127" t="s">
        <v>99</v>
      </c>
      <c r="C31" s="128" t="s">
        <v>99</v>
      </c>
      <c r="D31" s="127" t="s">
        <v>99</v>
      </c>
      <c r="E31" s="128" t="s">
        <v>99</v>
      </c>
      <c r="F31" s="115" t="s">
        <v>99</v>
      </c>
      <c r="G31" s="115" t="s">
        <v>99</v>
      </c>
      <c r="H31" s="127" t="s">
        <v>99</v>
      </c>
      <c r="I31" s="128" t="s">
        <v>99</v>
      </c>
      <c r="J31" s="127" t="s">
        <v>99</v>
      </c>
      <c r="K31" s="129" t="s">
        <v>99</v>
      </c>
      <c r="L31" s="94"/>
      <c r="M31" s="130" t="s">
        <v>99</v>
      </c>
      <c r="O31" s="94"/>
      <c r="P31" s="131" t="s">
        <v>99</v>
      </c>
      <c r="Q31" s="104" t="s">
        <v>99</v>
      </c>
      <c r="R31" s="94"/>
      <c r="S31" s="71" t="s">
        <v>99</v>
      </c>
      <c r="T31" s="71" t="s">
        <v>99</v>
      </c>
      <c r="U31" s="71"/>
      <c r="V31" s="72" t="s">
        <v>99</v>
      </c>
      <c r="W31" s="72" t="str">
        <f t="shared" si="1"/>
        <v/>
      </c>
      <c r="X31" s="73"/>
      <c r="Y31" s="73"/>
      <c r="Z31" s="97"/>
    </row>
    <row r="32" ht="12.0" customHeight="1">
      <c r="A32" s="126" t="s">
        <v>99</v>
      </c>
      <c r="B32" s="127" t="s">
        <v>99</v>
      </c>
      <c r="C32" s="128" t="s">
        <v>99</v>
      </c>
      <c r="D32" s="127" t="s">
        <v>99</v>
      </c>
      <c r="E32" s="128" t="s">
        <v>99</v>
      </c>
      <c r="F32" s="115" t="s">
        <v>99</v>
      </c>
      <c r="G32" s="115" t="s">
        <v>99</v>
      </c>
      <c r="H32" s="127" t="s">
        <v>99</v>
      </c>
      <c r="I32" s="128" t="s">
        <v>99</v>
      </c>
      <c r="J32" s="127" t="s">
        <v>99</v>
      </c>
      <c r="K32" s="129" t="s">
        <v>99</v>
      </c>
      <c r="L32" s="94"/>
      <c r="M32" s="130" t="s">
        <v>99</v>
      </c>
      <c r="O32" s="94"/>
      <c r="P32" s="131" t="s">
        <v>99</v>
      </c>
      <c r="Q32" s="104" t="s">
        <v>99</v>
      </c>
      <c r="R32" s="94"/>
      <c r="S32" s="71" t="s">
        <v>99</v>
      </c>
      <c r="T32" s="71" t="s">
        <v>99</v>
      </c>
      <c r="U32" s="71"/>
      <c r="V32" s="72" t="s">
        <v>99</v>
      </c>
      <c r="W32" s="72" t="str">
        <f t="shared" si="1"/>
        <v/>
      </c>
      <c r="X32" s="73"/>
      <c r="Y32" s="73"/>
      <c r="Z32" s="97"/>
    </row>
    <row r="33" ht="12.0" customHeight="1">
      <c r="A33" s="88" t="s">
        <v>79</v>
      </c>
      <c r="B33" s="107" t="s">
        <v>342</v>
      </c>
      <c r="C33" s="107" t="s">
        <v>343</v>
      </c>
      <c r="D33" s="107" t="s">
        <v>40</v>
      </c>
      <c r="E33" s="125" t="s">
        <v>344</v>
      </c>
      <c r="F33" s="87"/>
      <c r="G33" s="87"/>
      <c r="H33" s="87"/>
      <c r="I33" s="87"/>
      <c r="J33" s="86"/>
      <c r="K33" s="125" t="s">
        <v>119</v>
      </c>
      <c r="L33" s="87"/>
      <c r="M33" s="87"/>
      <c r="N33" s="87"/>
      <c r="O33" s="86"/>
      <c r="P33" s="107" t="s">
        <v>345</v>
      </c>
      <c r="Q33" s="125" t="s">
        <v>346</v>
      </c>
      <c r="R33" s="86"/>
      <c r="S33" s="71"/>
      <c r="T33" s="71"/>
      <c r="U33" s="71"/>
      <c r="V33" s="72"/>
      <c r="W33" s="72"/>
      <c r="X33" s="73"/>
      <c r="Y33" s="73"/>
      <c r="Z33" s="97"/>
    </row>
    <row r="34" ht="8.25" customHeight="1">
      <c r="A34" s="92"/>
      <c r="B34" s="92"/>
      <c r="C34" s="92"/>
      <c r="D34" s="92"/>
      <c r="E34" s="90"/>
      <c r="F34" s="84"/>
      <c r="G34" s="84"/>
      <c r="H34" s="84"/>
      <c r="I34" s="84"/>
      <c r="J34" s="91"/>
      <c r="K34" s="90"/>
      <c r="L34" s="84"/>
      <c r="M34" s="84"/>
      <c r="N34" s="84"/>
      <c r="O34" s="91"/>
      <c r="P34" s="92"/>
      <c r="Q34" s="93"/>
      <c r="R34" s="94"/>
      <c r="S34" s="71"/>
      <c r="T34" s="71"/>
      <c r="U34" s="71"/>
      <c r="V34" s="72"/>
      <c r="W34" s="72"/>
      <c r="X34" s="73"/>
      <c r="Y34" s="73"/>
      <c r="Z34" s="97"/>
    </row>
    <row r="35" ht="10.5" customHeight="1">
      <c r="A35" s="92"/>
      <c r="B35" s="92"/>
      <c r="C35" s="92"/>
      <c r="D35" s="92"/>
      <c r="E35" s="107" t="s">
        <v>347</v>
      </c>
      <c r="F35" s="107" t="s">
        <v>348</v>
      </c>
      <c r="G35" s="107" t="s">
        <v>349</v>
      </c>
      <c r="H35" s="107" t="s">
        <v>350</v>
      </c>
      <c r="I35" s="107" t="s">
        <v>351</v>
      </c>
      <c r="J35" s="107" t="s">
        <v>127</v>
      </c>
      <c r="K35" s="107" t="s">
        <v>352</v>
      </c>
      <c r="L35" s="125" t="s">
        <v>353</v>
      </c>
      <c r="M35" s="86"/>
      <c r="N35" s="133" t="s">
        <v>354</v>
      </c>
      <c r="O35" s="86"/>
      <c r="P35" s="92"/>
      <c r="Q35" s="93"/>
      <c r="R35" s="94"/>
      <c r="S35" s="71"/>
      <c r="T35" s="71"/>
      <c r="U35" s="71"/>
      <c r="V35" s="72"/>
      <c r="W35" s="72"/>
      <c r="X35" s="73"/>
      <c r="Y35" s="73"/>
      <c r="Z35" s="73"/>
    </row>
    <row r="36" ht="21.0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0"/>
      <c r="M36" s="91"/>
      <c r="N36" s="90"/>
      <c r="O36" s="91"/>
      <c r="P36" s="98"/>
      <c r="Q36" s="90"/>
      <c r="R36" s="91"/>
      <c r="S36" s="71"/>
      <c r="T36" s="71"/>
      <c r="U36" s="71"/>
      <c r="V36" s="72"/>
      <c r="W36" s="72"/>
      <c r="X36" s="73"/>
      <c r="Y36" s="73"/>
      <c r="Z36" s="73"/>
    </row>
    <row r="37" ht="12.0" customHeight="1">
      <c r="A37" s="126" t="s">
        <v>99</v>
      </c>
      <c r="B37" s="127">
        <v>9.3</v>
      </c>
      <c r="C37" s="127">
        <v>0.9</v>
      </c>
      <c r="D37" s="113">
        <v>10.0</v>
      </c>
      <c r="E37" s="101" t="s">
        <v>99</v>
      </c>
      <c r="F37" s="113" t="s">
        <v>99</v>
      </c>
      <c r="G37" s="101" t="s">
        <v>99</v>
      </c>
      <c r="H37" s="127" t="s">
        <v>99</v>
      </c>
      <c r="I37" s="128" t="s">
        <v>99</v>
      </c>
      <c r="J37" s="127" t="s">
        <v>99</v>
      </c>
      <c r="K37" s="114" t="s">
        <v>99</v>
      </c>
      <c r="L37" s="125" t="s">
        <v>99</v>
      </c>
      <c r="M37" s="86"/>
      <c r="N37" s="105" t="s">
        <v>99</v>
      </c>
      <c r="O37" s="94"/>
      <c r="P37" s="115" t="s">
        <v>99</v>
      </c>
      <c r="Q37" s="105" t="s">
        <v>99</v>
      </c>
      <c r="R37" s="94"/>
      <c r="S37" s="71"/>
      <c r="T37" s="71"/>
      <c r="U37" s="71"/>
      <c r="V37" s="72" t="s">
        <v>99</v>
      </c>
      <c r="W37" s="72"/>
      <c r="X37" s="73"/>
      <c r="Y37" s="73"/>
      <c r="Z37" s="73"/>
    </row>
    <row r="38" ht="12.0" customHeight="1">
      <c r="A38" s="126" t="s">
        <v>99</v>
      </c>
      <c r="B38" s="127">
        <v>12.1</v>
      </c>
      <c r="C38" s="127">
        <v>1.0</v>
      </c>
      <c r="D38" s="113">
        <v>12.0</v>
      </c>
      <c r="E38" s="101" t="s">
        <v>99</v>
      </c>
      <c r="F38" s="113" t="s">
        <v>99</v>
      </c>
      <c r="G38" s="101" t="s">
        <v>99</v>
      </c>
      <c r="H38" s="127" t="s">
        <v>99</v>
      </c>
      <c r="I38" s="128" t="s">
        <v>99</v>
      </c>
      <c r="J38" s="127" t="s">
        <v>99</v>
      </c>
      <c r="K38" s="114" t="s">
        <v>99</v>
      </c>
      <c r="L38" s="105" t="s">
        <v>99</v>
      </c>
      <c r="M38" s="94"/>
      <c r="N38" s="114" t="s">
        <v>99</v>
      </c>
      <c r="O38" s="94"/>
      <c r="P38" s="115" t="s">
        <v>99</v>
      </c>
      <c r="Q38" s="105" t="s">
        <v>99</v>
      </c>
      <c r="R38" s="94"/>
      <c r="S38" s="71"/>
      <c r="T38" s="71"/>
      <c r="U38" s="71"/>
      <c r="V38" s="72" t="s">
        <v>99</v>
      </c>
      <c r="W38" s="72"/>
      <c r="X38" s="73"/>
      <c r="Y38" s="73"/>
      <c r="Z38" s="73"/>
    </row>
    <row r="39" ht="12.0" customHeight="1">
      <c r="A39" s="126" t="s">
        <v>99</v>
      </c>
      <c r="B39" s="127" t="s">
        <v>99</v>
      </c>
      <c r="C39" s="127" t="s">
        <v>99</v>
      </c>
      <c r="D39" s="113" t="s">
        <v>99</v>
      </c>
      <c r="E39" s="101" t="s">
        <v>99</v>
      </c>
      <c r="F39" s="113" t="s">
        <v>99</v>
      </c>
      <c r="G39" s="101" t="s">
        <v>99</v>
      </c>
      <c r="H39" s="127" t="s">
        <v>99</v>
      </c>
      <c r="I39" s="128" t="s">
        <v>99</v>
      </c>
      <c r="J39" s="127" t="s">
        <v>99</v>
      </c>
      <c r="K39" s="114" t="s">
        <v>99</v>
      </c>
      <c r="L39" s="105" t="s">
        <v>99</v>
      </c>
      <c r="M39" s="94"/>
      <c r="N39" s="114" t="s">
        <v>99</v>
      </c>
      <c r="O39" s="94"/>
      <c r="P39" s="115" t="s">
        <v>99</v>
      </c>
      <c r="Q39" s="105" t="s">
        <v>99</v>
      </c>
      <c r="R39" s="94"/>
      <c r="S39" s="71"/>
      <c r="T39" s="71"/>
      <c r="U39" s="71"/>
      <c r="V39" s="72" t="s">
        <v>99</v>
      </c>
      <c r="W39" s="72"/>
      <c r="X39" s="73"/>
      <c r="Y39" s="73"/>
      <c r="Z39" s="73"/>
    </row>
    <row r="40" ht="12.0" customHeight="1">
      <c r="A40" s="126" t="s">
        <v>99</v>
      </c>
      <c r="B40" s="127" t="s">
        <v>99</v>
      </c>
      <c r="C40" s="127" t="s">
        <v>99</v>
      </c>
      <c r="D40" s="113" t="s">
        <v>99</v>
      </c>
      <c r="E40" s="101" t="s">
        <v>99</v>
      </c>
      <c r="F40" s="113" t="s">
        <v>99</v>
      </c>
      <c r="G40" s="101" t="s">
        <v>99</v>
      </c>
      <c r="H40" s="127" t="s">
        <v>99</v>
      </c>
      <c r="I40" s="128" t="s">
        <v>99</v>
      </c>
      <c r="J40" s="127" t="s">
        <v>99</v>
      </c>
      <c r="K40" s="114" t="s">
        <v>99</v>
      </c>
      <c r="L40" s="105" t="s">
        <v>99</v>
      </c>
      <c r="M40" s="94"/>
      <c r="N40" s="114" t="s">
        <v>99</v>
      </c>
      <c r="O40" s="94"/>
      <c r="P40" s="115" t="s">
        <v>99</v>
      </c>
      <c r="Q40" s="105" t="s">
        <v>99</v>
      </c>
      <c r="R40" s="94"/>
      <c r="S40" s="71"/>
      <c r="T40" s="71"/>
      <c r="U40" s="71"/>
      <c r="V40" s="72" t="s">
        <v>99</v>
      </c>
      <c r="W40" s="72"/>
      <c r="X40" s="73"/>
      <c r="Y40" s="73"/>
      <c r="Z40" s="73"/>
    </row>
    <row r="41" ht="12.0" customHeight="1">
      <c r="A41" s="126" t="s">
        <v>99</v>
      </c>
      <c r="B41" s="127" t="s">
        <v>99</v>
      </c>
      <c r="C41" s="127" t="s">
        <v>99</v>
      </c>
      <c r="D41" s="113" t="s">
        <v>99</v>
      </c>
      <c r="E41" s="101" t="s">
        <v>99</v>
      </c>
      <c r="F41" s="113" t="s">
        <v>99</v>
      </c>
      <c r="G41" s="101" t="s">
        <v>99</v>
      </c>
      <c r="H41" s="127" t="s">
        <v>99</v>
      </c>
      <c r="I41" s="128" t="s">
        <v>99</v>
      </c>
      <c r="J41" s="127" t="s">
        <v>99</v>
      </c>
      <c r="K41" s="114" t="s">
        <v>99</v>
      </c>
      <c r="L41" s="105" t="s">
        <v>99</v>
      </c>
      <c r="M41" s="94"/>
      <c r="N41" s="114" t="s">
        <v>99</v>
      </c>
      <c r="O41" s="94"/>
      <c r="P41" s="115" t="s">
        <v>99</v>
      </c>
      <c r="Q41" s="105" t="s">
        <v>99</v>
      </c>
      <c r="R41" s="94"/>
      <c r="S41" s="71"/>
      <c r="T41" s="71"/>
      <c r="U41" s="71"/>
      <c r="V41" s="72" t="s">
        <v>99</v>
      </c>
      <c r="W41" s="72"/>
      <c r="X41" s="73"/>
      <c r="Y41" s="73"/>
      <c r="Z41" s="73"/>
    </row>
    <row r="42" ht="12.0" customHeight="1">
      <c r="A42" s="126" t="s">
        <v>99</v>
      </c>
      <c r="B42" s="127" t="s">
        <v>99</v>
      </c>
      <c r="C42" s="127" t="s">
        <v>99</v>
      </c>
      <c r="D42" s="113" t="s">
        <v>99</v>
      </c>
      <c r="E42" s="101" t="s">
        <v>99</v>
      </c>
      <c r="F42" s="113" t="s">
        <v>99</v>
      </c>
      <c r="G42" s="101" t="s">
        <v>99</v>
      </c>
      <c r="H42" s="127" t="s">
        <v>99</v>
      </c>
      <c r="I42" s="128" t="s">
        <v>99</v>
      </c>
      <c r="J42" s="127" t="s">
        <v>99</v>
      </c>
      <c r="K42" s="114" t="s">
        <v>99</v>
      </c>
      <c r="L42" s="105" t="s">
        <v>99</v>
      </c>
      <c r="M42" s="94"/>
      <c r="N42" s="114" t="s">
        <v>99</v>
      </c>
      <c r="O42" s="94"/>
      <c r="P42" s="115" t="s">
        <v>99</v>
      </c>
      <c r="Q42" s="105" t="s">
        <v>99</v>
      </c>
      <c r="R42" s="94"/>
      <c r="S42" s="71"/>
      <c r="T42" s="71"/>
      <c r="U42" s="71"/>
      <c r="V42" s="72" t="s">
        <v>99</v>
      </c>
      <c r="W42" s="72"/>
      <c r="X42" s="73"/>
      <c r="Y42" s="73"/>
      <c r="Z42" s="73"/>
    </row>
    <row r="43" ht="12.0" customHeight="1">
      <c r="A43" s="126" t="s">
        <v>99</v>
      </c>
      <c r="B43" s="127" t="s">
        <v>99</v>
      </c>
      <c r="C43" s="127" t="s">
        <v>99</v>
      </c>
      <c r="D43" s="113" t="s">
        <v>99</v>
      </c>
      <c r="E43" s="101" t="s">
        <v>99</v>
      </c>
      <c r="F43" s="113" t="s">
        <v>99</v>
      </c>
      <c r="G43" s="101" t="s">
        <v>99</v>
      </c>
      <c r="H43" s="127" t="s">
        <v>99</v>
      </c>
      <c r="I43" s="128" t="s">
        <v>99</v>
      </c>
      <c r="J43" s="127" t="s">
        <v>99</v>
      </c>
      <c r="K43" s="114" t="s">
        <v>99</v>
      </c>
      <c r="L43" s="105" t="s">
        <v>99</v>
      </c>
      <c r="M43" s="94"/>
      <c r="N43" s="114" t="s">
        <v>99</v>
      </c>
      <c r="O43" s="94"/>
      <c r="P43" s="115" t="s">
        <v>99</v>
      </c>
      <c r="Q43" s="105" t="s">
        <v>99</v>
      </c>
      <c r="R43" s="94"/>
      <c r="S43" s="71"/>
      <c r="T43" s="71"/>
      <c r="U43" s="71"/>
      <c r="V43" s="72" t="s">
        <v>99</v>
      </c>
      <c r="W43" s="72"/>
      <c r="X43" s="73"/>
      <c r="Y43" s="73"/>
      <c r="Z43" s="73"/>
    </row>
    <row r="44" ht="12.0" customHeight="1">
      <c r="A44" s="126" t="s">
        <v>99</v>
      </c>
      <c r="B44" s="127" t="s">
        <v>99</v>
      </c>
      <c r="C44" s="127" t="s">
        <v>99</v>
      </c>
      <c r="D44" s="113" t="s">
        <v>99</v>
      </c>
      <c r="E44" s="101" t="s">
        <v>99</v>
      </c>
      <c r="F44" s="113" t="s">
        <v>99</v>
      </c>
      <c r="G44" s="101" t="s">
        <v>99</v>
      </c>
      <c r="H44" s="127" t="s">
        <v>99</v>
      </c>
      <c r="I44" s="128" t="s">
        <v>99</v>
      </c>
      <c r="J44" s="127" t="s">
        <v>99</v>
      </c>
      <c r="K44" s="114" t="s">
        <v>99</v>
      </c>
      <c r="L44" s="105" t="s">
        <v>99</v>
      </c>
      <c r="M44" s="94"/>
      <c r="N44" s="114" t="s">
        <v>99</v>
      </c>
      <c r="O44" s="94"/>
      <c r="P44" s="115" t="s">
        <v>99</v>
      </c>
      <c r="Q44" s="105" t="s">
        <v>99</v>
      </c>
      <c r="R44" s="94"/>
      <c r="S44" s="71"/>
      <c r="T44" s="71"/>
      <c r="U44" s="71"/>
      <c r="V44" s="72" t="s">
        <v>99</v>
      </c>
      <c r="W44" s="72"/>
      <c r="X44" s="73"/>
      <c r="Y44" s="73"/>
      <c r="Z44" s="73"/>
    </row>
    <row r="45" ht="12.0" customHeight="1">
      <c r="A45" s="126" t="s">
        <v>99</v>
      </c>
      <c r="B45" s="127" t="s">
        <v>99</v>
      </c>
      <c r="C45" s="127" t="s">
        <v>99</v>
      </c>
      <c r="D45" s="113" t="s">
        <v>99</v>
      </c>
      <c r="E45" s="101" t="s">
        <v>99</v>
      </c>
      <c r="F45" s="113" t="s">
        <v>99</v>
      </c>
      <c r="G45" s="101" t="s">
        <v>99</v>
      </c>
      <c r="H45" s="127" t="s">
        <v>99</v>
      </c>
      <c r="I45" s="128" t="s">
        <v>99</v>
      </c>
      <c r="J45" s="127" t="s">
        <v>99</v>
      </c>
      <c r="K45" s="114" t="s">
        <v>99</v>
      </c>
      <c r="L45" s="105" t="s">
        <v>99</v>
      </c>
      <c r="M45" s="94"/>
      <c r="N45" s="105" t="s">
        <v>99</v>
      </c>
      <c r="O45" s="94"/>
      <c r="P45" s="115" t="s">
        <v>99</v>
      </c>
      <c r="Q45" s="105" t="s">
        <v>99</v>
      </c>
      <c r="R45" s="94"/>
      <c r="S45" s="71"/>
      <c r="T45" s="71"/>
      <c r="U45" s="71"/>
      <c r="V45" s="72" t="s">
        <v>99</v>
      </c>
      <c r="W45" s="72"/>
      <c r="X45" s="73"/>
      <c r="Y45" s="73"/>
      <c r="Z45" s="73"/>
    </row>
    <row r="46" ht="12.0" customHeight="1">
      <c r="A46" s="88" t="s">
        <v>79</v>
      </c>
      <c r="B46" s="134" t="s">
        <v>355</v>
      </c>
      <c r="C46" s="135" t="s">
        <v>132</v>
      </c>
      <c r="D46" s="136"/>
      <c r="E46" s="125" t="s">
        <v>356</v>
      </c>
      <c r="F46" s="87"/>
      <c r="G46" s="87"/>
      <c r="H46" s="87"/>
      <c r="I46" s="87"/>
      <c r="J46" s="87"/>
      <c r="K46" s="87"/>
      <c r="L46" s="86"/>
      <c r="M46" s="125" t="s">
        <v>357</v>
      </c>
      <c r="N46" s="87"/>
      <c r="O46" s="87"/>
      <c r="P46" s="87"/>
      <c r="Q46" s="87"/>
      <c r="R46" s="86"/>
      <c r="S46" s="71"/>
      <c r="T46" s="71"/>
      <c r="U46" s="71"/>
      <c r="V46" s="72"/>
      <c r="W46" s="72"/>
      <c r="X46" s="73"/>
      <c r="Y46" s="73"/>
      <c r="Z46" s="73"/>
    </row>
    <row r="47" ht="9.0" customHeight="1">
      <c r="A47" s="92"/>
      <c r="B47" s="92"/>
      <c r="C47" s="107" t="s">
        <v>358</v>
      </c>
      <c r="D47" s="107" t="s">
        <v>359</v>
      </c>
      <c r="E47" s="90"/>
      <c r="F47" s="84"/>
      <c r="G47" s="84"/>
      <c r="H47" s="84"/>
      <c r="I47" s="84"/>
      <c r="J47" s="84"/>
      <c r="K47" s="84"/>
      <c r="L47" s="91"/>
      <c r="M47" s="90"/>
      <c r="N47" s="84"/>
      <c r="O47" s="84"/>
      <c r="P47" s="84"/>
      <c r="Q47" s="84"/>
      <c r="R47" s="91"/>
      <c r="S47" s="71"/>
      <c r="T47" s="71"/>
      <c r="U47" s="71"/>
      <c r="V47" s="72"/>
      <c r="W47" s="72"/>
      <c r="X47" s="73"/>
      <c r="Y47" s="73"/>
      <c r="Z47" s="73"/>
    </row>
    <row r="48" ht="12.0" customHeight="1">
      <c r="A48" s="92"/>
      <c r="B48" s="92"/>
      <c r="C48" s="92"/>
      <c r="D48" s="92"/>
      <c r="E48" s="107" t="s">
        <v>360</v>
      </c>
      <c r="F48" s="107" t="s">
        <v>361</v>
      </c>
      <c r="G48" s="107" t="s">
        <v>362</v>
      </c>
      <c r="H48" s="107" t="s">
        <v>363</v>
      </c>
      <c r="I48" s="107" t="s">
        <v>364</v>
      </c>
      <c r="J48" s="107" t="s">
        <v>365</v>
      </c>
      <c r="K48" s="125" t="s">
        <v>366</v>
      </c>
      <c r="L48" s="86"/>
      <c r="M48" s="135" t="s">
        <v>144</v>
      </c>
      <c r="N48" s="137"/>
      <c r="O48" s="137"/>
      <c r="P48" s="136"/>
      <c r="Q48" s="125" t="s">
        <v>145</v>
      </c>
      <c r="R48" s="86"/>
      <c r="S48" s="71"/>
      <c r="T48" s="71"/>
      <c r="U48" s="71"/>
      <c r="V48" s="72"/>
      <c r="W48" s="72"/>
      <c r="X48" s="73"/>
      <c r="Y48" s="73"/>
      <c r="Z48" s="73"/>
    </row>
    <row r="49" ht="12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3"/>
      <c r="L49" s="94"/>
      <c r="M49" s="125" t="s">
        <v>146</v>
      </c>
      <c r="N49" s="87"/>
      <c r="O49" s="86"/>
      <c r="P49" s="107" t="s">
        <v>147</v>
      </c>
      <c r="Q49" s="93"/>
      <c r="R49" s="94"/>
      <c r="S49" s="71"/>
      <c r="T49" s="71"/>
      <c r="U49" s="71"/>
      <c r="V49" s="72"/>
      <c r="W49" s="72"/>
      <c r="X49" s="73"/>
      <c r="Y49" s="73"/>
      <c r="Z49" s="73"/>
    </row>
    <row r="50" ht="6.0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0"/>
      <c r="L50" s="91"/>
      <c r="M50" s="90"/>
      <c r="N50" s="84"/>
      <c r="O50" s="91"/>
      <c r="P50" s="98"/>
      <c r="Q50" s="90"/>
      <c r="R50" s="91"/>
      <c r="S50" s="71"/>
      <c r="T50" s="71"/>
      <c r="U50" s="71"/>
      <c r="V50" s="72"/>
      <c r="W50" s="72"/>
      <c r="X50" s="73"/>
      <c r="Y50" s="73"/>
      <c r="Z50" s="73"/>
    </row>
    <row r="51" ht="12.0" customHeight="1">
      <c r="A51" s="126" t="s">
        <v>99</v>
      </c>
      <c r="B51" s="115" t="s">
        <v>148</v>
      </c>
      <c r="C51" s="114" t="s">
        <v>99</v>
      </c>
      <c r="D51" s="113" t="s">
        <v>99</v>
      </c>
      <c r="E51" s="114" t="s">
        <v>99</v>
      </c>
      <c r="F51" s="115" t="s">
        <v>99</v>
      </c>
      <c r="G51" s="114" t="s">
        <v>99</v>
      </c>
      <c r="H51" s="115" t="s">
        <v>99</v>
      </c>
      <c r="I51" s="114" t="s">
        <v>99</v>
      </c>
      <c r="J51" s="115" t="s">
        <v>99</v>
      </c>
      <c r="K51" s="105" t="s">
        <v>99</v>
      </c>
      <c r="L51" s="94"/>
      <c r="M51" s="125" t="s">
        <v>99</v>
      </c>
      <c r="N51" s="87"/>
      <c r="O51" s="86"/>
      <c r="P51" s="105" t="s">
        <v>99</v>
      </c>
      <c r="Q51" s="125" t="s">
        <v>99</v>
      </c>
      <c r="R51" s="86"/>
      <c r="S51" s="71"/>
      <c r="T51" s="71"/>
      <c r="U51" s="71"/>
      <c r="V51" s="72" t="s">
        <v>99</v>
      </c>
      <c r="W51" s="72" t="str">
        <f t="shared" ref="W51:W59" si="2">IF(C51="","",IF(C51&gt;=7,"sálico",IF(C51&gt;=4,"salino","")))</f>
        <v/>
      </c>
      <c r="X51" s="73"/>
      <c r="Y51" s="73"/>
      <c r="Z51" s="73"/>
    </row>
    <row r="52" ht="12.0" customHeight="1">
      <c r="A52" s="126" t="s">
        <v>99</v>
      </c>
      <c r="B52" s="115" t="s">
        <v>148</v>
      </c>
      <c r="C52" s="114" t="s">
        <v>99</v>
      </c>
      <c r="D52" s="113" t="s">
        <v>99</v>
      </c>
      <c r="E52" s="114" t="s">
        <v>99</v>
      </c>
      <c r="F52" s="115" t="s">
        <v>99</v>
      </c>
      <c r="G52" s="114" t="s">
        <v>99</v>
      </c>
      <c r="H52" s="115" t="s">
        <v>99</v>
      </c>
      <c r="I52" s="114" t="s">
        <v>99</v>
      </c>
      <c r="J52" s="115" t="s">
        <v>99</v>
      </c>
      <c r="K52" s="105" t="s">
        <v>99</v>
      </c>
      <c r="M52" s="105" t="s">
        <v>99</v>
      </c>
      <c r="O52" s="94"/>
      <c r="P52" s="114" t="s">
        <v>99</v>
      </c>
      <c r="Q52" s="105" t="s">
        <v>99</v>
      </c>
      <c r="R52" s="94"/>
      <c r="S52" s="71"/>
      <c r="T52" s="71"/>
      <c r="U52" s="71"/>
      <c r="V52" s="72" t="s">
        <v>99</v>
      </c>
      <c r="W52" s="72" t="str">
        <f t="shared" si="2"/>
        <v/>
      </c>
      <c r="X52" s="73"/>
      <c r="Y52" s="73"/>
      <c r="Z52" s="73"/>
    </row>
    <row r="53" ht="12.0" customHeight="1">
      <c r="A53" s="126" t="s">
        <v>99</v>
      </c>
      <c r="B53" s="115" t="s">
        <v>99</v>
      </c>
      <c r="C53" s="114" t="s">
        <v>99</v>
      </c>
      <c r="D53" s="113" t="s">
        <v>99</v>
      </c>
      <c r="E53" s="114" t="s">
        <v>99</v>
      </c>
      <c r="F53" s="115" t="s">
        <v>99</v>
      </c>
      <c r="G53" s="114" t="s">
        <v>99</v>
      </c>
      <c r="H53" s="115" t="s">
        <v>99</v>
      </c>
      <c r="I53" s="114" t="s">
        <v>99</v>
      </c>
      <c r="J53" s="115" t="s">
        <v>99</v>
      </c>
      <c r="K53" s="105" t="s">
        <v>99</v>
      </c>
      <c r="M53" s="105" t="s">
        <v>99</v>
      </c>
      <c r="O53" s="94"/>
      <c r="P53" s="114" t="s">
        <v>99</v>
      </c>
      <c r="Q53" s="105" t="s">
        <v>99</v>
      </c>
      <c r="R53" s="94"/>
      <c r="S53" s="71"/>
      <c r="T53" s="71"/>
      <c r="U53" s="71"/>
      <c r="V53" s="72" t="s">
        <v>99</v>
      </c>
      <c r="W53" s="72" t="str">
        <f t="shared" si="2"/>
        <v/>
      </c>
      <c r="X53" s="73"/>
      <c r="Y53" s="73"/>
      <c r="Z53" s="73"/>
    </row>
    <row r="54" ht="12.0" customHeight="1">
      <c r="A54" s="126" t="s">
        <v>99</v>
      </c>
      <c r="B54" s="115" t="s">
        <v>99</v>
      </c>
      <c r="C54" s="114" t="s">
        <v>99</v>
      </c>
      <c r="D54" s="113" t="s">
        <v>99</v>
      </c>
      <c r="E54" s="114" t="s">
        <v>99</v>
      </c>
      <c r="F54" s="115" t="s">
        <v>99</v>
      </c>
      <c r="G54" s="114" t="s">
        <v>99</v>
      </c>
      <c r="H54" s="115" t="s">
        <v>99</v>
      </c>
      <c r="I54" s="114" t="s">
        <v>99</v>
      </c>
      <c r="J54" s="115" t="s">
        <v>99</v>
      </c>
      <c r="K54" s="105" t="s">
        <v>99</v>
      </c>
      <c r="M54" s="105" t="s">
        <v>99</v>
      </c>
      <c r="O54" s="94"/>
      <c r="P54" s="114" t="s">
        <v>99</v>
      </c>
      <c r="Q54" s="105" t="s">
        <v>99</v>
      </c>
      <c r="R54" s="94"/>
      <c r="S54" s="71"/>
      <c r="T54" s="71"/>
      <c r="U54" s="71"/>
      <c r="V54" s="72" t="s">
        <v>99</v>
      </c>
      <c r="W54" s="72" t="str">
        <f t="shared" si="2"/>
        <v/>
      </c>
      <c r="X54" s="73"/>
      <c r="Y54" s="73"/>
      <c r="Z54" s="73"/>
    </row>
    <row r="55" ht="12.0" customHeight="1">
      <c r="A55" s="126" t="s">
        <v>99</v>
      </c>
      <c r="B55" s="115" t="s">
        <v>99</v>
      </c>
      <c r="C55" s="114" t="s">
        <v>99</v>
      </c>
      <c r="D55" s="113" t="s">
        <v>99</v>
      </c>
      <c r="E55" s="114" t="s">
        <v>99</v>
      </c>
      <c r="F55" s="115" t="s">
        <v>99</v>
      </c>
      <c r="G55" s="114" t="s">
        <v>99</v>
      </c>
      <c r="H55" s="115" t="s">
        <v>99</v>
      </c>
      <c r="I55" s="114" t="s">
        <v>99</v>
      </c>
      <c r="J55" s="115" t="s">
        <v>99</v>
      </c>
      <c r="K55" s="105" t="s">
        <v>99</v>
      </c>
      <c r="M55" s="105" t="s">
        <v>99</v>
      </c>
      <c r="O55" s="94"/>
      <c r="P55" s="114" t="s">
        <v>99</v>
      </c>
      <c r="Q55" s="105" t="s">
        <v>99</v>
      </c>
      <c r="R55" s="94"/>
      <c r="S55" s="71"/>
      <c r="T55" s="71"/>
      <c r="U55" s="71"/>
      <c r="V55" s="72" t="s">
        <v>99</v>
      </c>
      <c r="W55" s="72" t="str">
        <f t="shared" si="2"/>
        <v/>
      </c>
      <c r="X55" s="73"/>
      <c r="Y55" s="73"/>
      <c r="Z55" s="73"/>
    </row>
    <row r="56" ht="12.0" customHeight="1">
      <c r="A56" s="126" t="s">
        <v>99</v>
      </c>
      <c r="B56" s="115" t="s">
        <v>99</v>
      </c>
      <c r="C56" s="114" t="s">
        <v>99</v>
      </c>
      <c r="D56" s="113" t="s">
        <v>99</v>
      </c>
      <c r="E56" s="114" t="s">
        <v>99</v>
      </c>
      <c r="F56" s="115" t="s">
        <v>99</v>
      </c>
      <c r="G56" s="114" t="s">
        <v>99</v>
      </c>
      <c r="H56" s="115" t="s">
        <v>99</v>
      </c>
      <c r="I56" s="114" t="s">
        <v>99</v>
      </c>
      <c r="J56" s="115" t="s">
        <v>99</v>
      </c>
      <c r="K56" s="105" t="s">
        <v>99</v>
      </c>
      <c r="M56" s="105" t="s">
        <v>99</v>
      </c>
      <c r="O56" s="94"/>
      <c r="P56" s="114" t="s">
        <v>99</v>
      </c>
      <c r="Q56" s="105" t="s">
        <v>99</v>
      </c>
      <c r="R56" s="94"/>
      <c r="S56" s="71"/>
      <c r="T56" s="71"/>
      <c r="U56" s="71"/>
      <c r="V56" s="72" t="s">
        <v>99</v>
      </c>
      <c r="W56" s="72" t="str">
        <f t="shared" si="2"/>
        <v/>
      </c>
      <c r="X56" s="73"/>
      <c r="Y56" s="73"/>
      <c r="Z56" s="73"/>
    </row>
    <row r="57" ht="12.0" customHeight="1">
      <c r="A57" s="126" t="s">
        <v>99</v>
      </c>
      <c r="B57" s="115" t="s">
        <v>99</v>
      </c>
      <c r="C57" s="114" t="s">
        <v>99</v>
      </c>
      <c r="D57" s="113" t="s">
        <v>99</v>
      </c>
      <c r="E57" s="114" t="s">
        <v>99</v>
      </c>
      <c r="F57" s="115" t="s">
        <v>99</v>
      </c>
      <c r="G57" s="114" t="s">
        <v>99</v>
      </c>
      <c r="H57" s="115" t="s">
        <v>99</v>
      </c>
      <c r="I57" s="114" t="s">
        <v>99</v>
      </c>
      <c r="J57" s="115" t="s">
        <v>99</v>
      </c>
      <c r="K57" s="105" t="s">
        <v>99</v>
      </c>
      <c r="M57" s="105" t="s">
        <v>99</v>
      </c>
      <c r="O57" s="94"/>
      <c r="P57" s="114" t="s">
        <v>99</v>
      </c>
      <c r="Q57" s="105" t="s">
        <v>99</v>
      </c>
      <c r="R57" s="94"/>
      <c r="S57" s="71"/>
      <c r="T57" s="71"/>
      <c r="U57" s="71"/>
      <c r="V57" s="72" t="s">
        <v>99</v>
      </c>
      <c r="W57" s="72" t="str">
        <f t="shared" si="2"/>
        <v/>
      </c>
      <c r="X57" s="73"/>
      <c r="Y57" s="73"/>
      <c r="Z57" s="73"/>
    </row>
    <row r="58" ht="12.0" customHeight="1">
      <c r="A58" s="126" t="s">
        <v>99</v>
      </c>
      <c r="B58" s="115" t="s">
        <v>99</v>
      </c>
      <c r="C58" s="114" t="s">
        <v>99</v>
      </c>
      <c r="D58" s="113" t="s">
        <v>99</v>
      </c>
      <c r="E58" s="114" t="s">
        <v>99</v>
      </c>
      <c r="F58" s="115" t="s">
        <v>99</v>
      </c>
      <c r="G58" s="114" t="s">
        <v>99</v>
      </c>
      <c r="H58" s="115" t="s">
        <v>99</v>
      </c>
      <c r="I58" s="114" t="s">
        <v>99</v>
      </c>
      <c r="J58" s="115" t="s">
        <v>99</v>
      </c>
      <c r="K58" s="105" t="s">
        <v>99</v>
      </c>
      <c r="M58" s="105" t="s">
        <v>99</v>
      </c>
      <c r="O58" s="94"/>
      <c r="P58" s="114" t="s">
        <v>99</v>
      </c>
      <c r="Q58" s="105" t="s">
        <v>99</v>
      </c>
      <c r="R58" s="94"/>
      <c r="S58" s="71"/>
      <c r="T58" s="71"/>
      <c r="U58" s="71"/>
      <c r="V58" s="72" t="s">
        <v>99</v>
      </c>
      <c r="W58" s="72" t="str">
        <f t="shared" si="2"/>
        <v/>
      </c>
      <c r="X58" s="73"/>
      <c r="Y58" s="73"/>
      <c r="Z58" s="73"/>
    </row>
    <row r="59" ht="12.0" customHeight="1">
      <c r="A59" s="138" t="s">
        <v>99</v>
      </c>
      <c r="B59" s="119" t="s">
        <v>99</v>
      </c>
      <c r="C59" s="118" t="s">
        <v>99</v>
      </c>
      <c r="D59" s="139" t="s">
        <v>99</v>
      </c>
      <c r="E59" s="118" t="s">
        <v>99</v>
      </c>
      <c r="F59" s="119" t="s">
        <v>99</v>
      </c>
      <c r="G59" s="118" t="s">
        <v>99</v>
      </c>
      <c r="H59" s="119" t="s">
        <v>99</v>
      </c>
      <c r="I59" s="118" t="s">
        <v>99</v>
      </c>
      <c r="J59" s="119" t="s">
        <v>99</v>
      </c>
      <c r="K59" s="120" t="s">
        <v>99</v>
      </c>
      <c r="L59" s="91"/>
      <c r="M59" s="120" t="s">
        <v>99</v>
      </c>
      <c r="N59" s="84"/>
      <c r="O59" s="91"/>
      <c r="P59" s="120" t="s">
        <v>99</v>
      </c>
      <c r="Q59" s="120" t="s">
        <v>99</v>
      </c>
      <c r="R59" s="91"/>
      <c r="S59" s="71"/>
      <c r="T59" s="71"/>
      <c r="U59" s="71"/>
      <c r="V59" s="72" t="s">
        <v>99</v>
      </c>
      <c r="W59" s="72" t="str">
        <f t="shared" si="2"/>
        <v/>
      </c>
      <c r="X59" s="73"/>
      <c r="Y59" s="73"/>
      <c r="Z59" s="73"/>
    </row>
    <row r="60" ht="12.0" customHeight="1">
      <c r="A60" s="140" t="s">
        <v>149</v>
      </c>
      <c r="B60" s="141"/>
      <c r="C60" s="97"/>
      <c r="D60" s="97"/>
      <c r="E60" s="97"/>
      <c r="F60" s="97"/>
      <c r="G60" s="97"/>
      <c r="H60" s="97"/>
      <c r="I60" s="97"/>
      <c r="J60" s="97"/>
      <c r="K60" s="97"/>
      <c r="M60" s="97"/>
      <c r="P60" s="97"/>
      <c r="Q60" s="97"/>
      <c r="S60" s="71"/>
      <c r="T60" s="71"/>
      <c r="U60" s="71"/>
      <c r="V60" s="72"/>
      <c r="W60" s="72"/>
      <c r="X60" s="73"/>
      <c r="Y60" s="73"/>
      <c r="Z60" s="73"/>
    </row>
    <row r="61" ht="12.0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M61" s="73"/>
      <c r="P61" s="73"/>
      <c r="Q61" s="73"/>
      <c r="S61" s="71"/>
      <c r="T61" s="71"/>
      <c r="U61" s="71"/>
      <c r="V61" s="72"/>
      <c r="W61" s="72"/>
      <c r="X61" s="73"/>
      <c r="Y61" s="73"/>
      <c r="Z61" s="73"/>
    </row>
    <row r="62" ht="12.0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M62" s="73"/>
      <c r="P62" s="73"/>
      <c r="Q62" s="73"/>
      <c r="S62" s="71"/>
      <c r="T62" s="71"/>
      <c r="U62" s="71"/>
      <c r="V62" s="72"/>
      <c r="W62" s="72"/>
      <c r="X62" s="73"/>
      <c r="Y62" s="73"/>
      <c r="Z62" s="73"/>
    </row>
    <row r="63" ht="12.0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M63" s="73"/>
      <c r="P63" s="73"/>
      <c r="Q63" s="73"/>
      <c r="S63" s="71"/>
      <c r="T63" s="71"/>
      <c r="U63" s="71"/>
      <c r="V63" s="72"/>
      <c r="W63" s="72"/>
      <c r="X63" s="73"/>
      <c r="Y63" s="73"/>
      <c r="Z63" s="73"/>
    </row>
    <row r="64" ht="12.0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1"/>
      <c r="T64" s="71"/>
      <c r="U64" s="71"/>
      <c r="V64" s="72"/>
      <c r="W64" s="72"/>
      <c r="X64" s="73"/>
      <c r="Y64" s="73"/>
      <c r="Z64" s="73"/>
    </row>
    <row r="65" ht="12.0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1"/>
      <c r="T65" s="71"/>
      <c r="U65" s="71"/>
      <c r="V65" s="72"/>
      <c r="W65" s="72"/>
      <c r="X65" s="73"/>
      <c r="Y65" s="73"/>
      <c r="Z65" s="73"/>
    </row>
    <row r="66" ht="12.0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1"/>
      <c r="T66" s="71"/>
      <c r="U66" s="71"/>
      <c r="V66" s="72"/>
      <c r="W66" s="72"/>
      <c r="X66" s="73"/>
      <c r="Y66" s="73"/>
      <c r="Z66" s="73"/>
    </row>
    <row r="67" ht="12.0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1"/>
      <c r="T67" s="71"/>
      <c r="U67" s="71"/>
      <c r="V67" s="72"/>
      <c r="W67" s="72"/>
      <c r="X67" s="73"/>
      <c r="Y67" s="73"/>
      <c r="Z67" s="73"/>
    </row>
    <row r="68" ht="12.0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1"/>
      <c r="T68" s="71"/>
      <c r="U68" s="71"/>
      <c r="V68" s="72"/>
      <c r="W68" s="72"/>
      <c r="X68" s="73"/>
      <c r="Y68" s="73"/>
      <c r="Z68" s="73"/>
    </row>
    <row r="69" ht="12.0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1"/>
      <c r="T69" s="71"/>
      <c r="U69" s="71"/>
      <c r="V69" s="72"/>
      <c r="W69" s="72"/>
      <c r="X69" s="73"/>
      <c r="Y69" s="73"/>
      <c r="Z69" s="73"/>
    </row>
    <row r="70" ht="12.0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1"/>
      <c r="T70" s="71"/>
      <c r="U70" s="71"/>
      <c r="V70" s="72"/>
      <c r="W70" s="72"/>
      <c r="X70" s="73"/>
      <c r="Y70" s="73"/>
      <c r="Z70" s="73"/>
    </row>
    <row r="71" ht="12.0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1"/>
      <c r="T71" s="71"/>
      <c r="U71" s="71"/>
      <c r="V71" s="72"/>
      <c r="W71" s="72"/>
      <c r="X71" s="73"/>
      <c r="Y71" s="73"/>
      <c r="Z71" s="73"/>
    </row>
    <row r="72" ht="12.0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1"/>
      <c r="T72" s="71"/>
      <c r="U72" s="71"/>
      <c r="V72" s="72"/>
      <c r="W72" s="72"/>
      <c r="X72" s="73"/>
      <c r="Y72" s="73"/>
      <c r="Z72" s="73"/>
    </row>
    <row r="73" ht="12.0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1"/>
      <c r="T73" s="71"/>
      <c r="U73" s="71"/>
      <c r="V73" s="72"/>
      <c r="W73" s="72"/>
      <c r="X73" s="73"/>
      <c r="Y73" s="73"/>
      <c r="Z73" s="73"/>
    </row>
    <row r="74" ht="12.0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1"/>
      <c r="T74" s="71"/>
      <c r="U74" s="71"/>
      <c r="V74" s="72"/>
      <c r="W74" s="72"/>
      <c r="X74" s="73"/>
      <c r="Y74" s="73"/>
      <c r="Z74" s="73"/>
    </row>
    <row r="75" ht="12.0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1"/>
      <c r="T75" s="71"/>
      <c r="U75" s="71"/>
      <c r="V75" s="72"/>
      <c r="W75" s="72"/>
      <c r="X75" s="73"/>
      <c r="Y75" s="73"/>
      <c r="Z75" s="73"/>
    </row>
    <row r="76" ht="12.0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1"/>
      <c r="T76" s="71"/>
      <c r="U76" s="71"/>
      <c r="V76" s="72"/>
      <c r="W76" s="72"/>
      <c r="X76" s="73"/>
      <c r="Y76" s="73"/>
      <c r="Z76" s="73"/>
    </row>
    <row r="77" ht="12.0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1"/>
      <c r="T77" s="71"/>
      <c r="U77" s="71"/>
      <c r="V77" s="72"/>
      <c r="W77" s="72"/>
      <c r="X77" s="73"/>
      <c r="Y77" s="73"/>
      <c r="Z77" s="73"/>
    </row>
    <row r="78" ht="12.0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1"/>
      <c r="T78" s="71"/>
      <c r="U78" s="71"/>
      <c r="V78" s="72"/>
      <c r="W78" s="72"/>
      <c r="X78" s="73"/>
      <c r="Y78" s="73"/>
      <c r="Z78" s="73"/>
    </row>
    <row r="79" ht="12.0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1"/>
      <c r="T79" s="71"/>
      <c r="U79" s="71"/>
      <c r="V79" s="72"/>
      <c r="W79" s="72"/>
      <c r="X79" s="73"/>
      <c r="Y79" s="73"/>
      <c r="Z79" s="73"/>
    </row>
    <row r="80" ht="12.0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1"/>
      <c r="T80" s="71"/>
      <c r="U80" s="71"/>
      <c r="V80" s="72"/>
      <c r="W80" s="72"/>
      <c r="X80" s="73"/>
      <c r="Y80" s="73"/>
      <c r="Z80" s="73"/>
    </row>
    <row r="81" ht="12.0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1"/>
      <c r="T81" s="71"/>
      <c r="U81" s="71"/>
      <c r="V81" s="72"/>
      <c r="W81" s="72"/>
      <c r="X81" s="73"/>
      <c r="Y81" s="73"/>
      <c r="Z81" s="73"/>
    </row>
    <row r="82" ht="12.0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1"/>
      <c r="T82" s="71"/>
      <c r="U82" s="71"/>
      <c r="V82" s="72"/>
      <c r="W82" s="72"/>
      <c r="X82" s="73"/>
      <c r="Y82" s="73"/>
      <c r="Z82" s="73"/>
    </row>
    <row r="83" ht="12.0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1"/>
      <c r="T83" s="71"/>
      <c r="U83" s="71"/>
      <c r="V83" s="72"/>
      <c r="W83" s="72"/>
      <c r="X83" s="73"/>
      <c r="Y83" s="73"/>
      <c r="Z83" s="73"/>
    </row>
    <row r="84" ht="12.0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1"/>
      <c r="T84" s="71"/>
      <c r="U84" s="71"/>
      <c r="V84" s="72"/>
      <c r="W84" s="72"/>
      <c r="X84" s="73"/>
      <c r="Y84" s="73"/>
      <c r="Z84" s="73"/>
    </row>
    <row r="85" ht="12.0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1"/>
      <c r="T85" s="71"/>
      <c r="U85" s="71"/>
      <c r="V85" s="72"/>
      <c r="W85" s="72"/>
      <c r="X85" s="73"/>
      <c r="Y85" s="73"/>
      <c r="Z85" s="73"/>
    </row>
    <row r="86" ht="12.0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1"/>
      <c r="T86" s="71"/>
      <c r="U86" s="71"/>
      <c r="V86" s="72"/>
      <c r="W86" s="72"/>
      <c r="X86" s="73"/>
      <c r="Y86" s="73"/>
      <c r="Z86" s="73"/>
    </row>
    <row r="87" ht="12.0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1"/>
      <c r="T87" s="71"/>
      <c r="U87" s="71"/>
      <c r="V87" s="72"/>
      <c r="W87" s="72"/>
      <c r="X87" s="73"/>
      <c r="Y87" s="73"/>
      <c r="Z87" s="73"/>
    </row>
    <row r="88" ht="12.0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1"/>
      <c r="T88" s="71"/>
      <c r="U88" s="71"/>
      <c r="V88" s="72"/>
      <c r="W88" s="72"/>
      <c r="X88" s="73"/>
      <c r="Y88" s="73"/>
      <c r="Z88" s="73"/>
    </row>
    <row r="89" ht="12.0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1"/>
      <c r="T89" s="71"/>
      <c r="U89" s="71"/>
      <c r="V89" s="72"/>
      <c r="W89" s="72"/>
      <c r="X89" s="73"/>
      <c r="Y89" s="73"/>
      <c r="Z89" s="73"/>
    </row>
    <row r="90" ht="12.0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1"/>
      <c r="T90" s="71"/>
      <c r="U90" s="71"/>
      <c r="V90" s="72"/>
      <c r="W90" s="72"/>
      <c r="X90" s="73"/>
      <c r="Y90" s="73"/>
      <c r="Z90" s="73"/>
    </row>
    <row r="91" ht="12.0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1"/>
      <c r="T91" s="71"/>
      <c r="U91" s="71"/>
      <c r="V91" s="72"/>
      <c r="W91" s="72"/>
      <c r="X91" s="73"/>
      <c r="Y91" s="73"/>
      <c r="Z91" s="73"/>
    </row>
    <row r="92" ht="12.0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1"/>
      <c r="T92" s="71"/>
      <c r="U92" s="71"/>
      <c r="V92" s="72"/>
      <c r="W92" s="72"/>
      <c r="X92" s="73"/>
      <c r="Y92" s="73"/>
      <c r="Z92" s="73"/>
    </row>
    <row r="93" ht="12.0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1"/>
      <c r="T93" s="71"/>
      <c r="U93" s="71"/>
      <c r="V93" s="72"/>
      <c r="W93" s="72"/>
      <c r="X93" s="73"/>
      <c r="Y93" s="73"/>
      <c r="Z93" s="73"/>
    </row>
    <row r="94" ht="12.0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1"/>
      <c r="T94" s="71"/>
      <c r="U94" s="71"/>
      <c r="V94" s="72"/>
      <c r="W94" s="72"/>
      <c r="X94" s="73"/>
      <c r="Y94" s="73"/>
      <c r="Z94" s="73"/>
    </row>
    <row r="95" ht="12.0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1"/>
      <c r="T95" s="71"/>
      <c r="U95" s="71"/>
      <c r="V95" s="72"/>
      <c r="W95" s="72"/>
      <c r="X95" s="73"/>
      <c r="Y95" s="73"/>
      <c r="Z95" s="73"/>
    </row>
    <row r="96" ht="12.0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1"/>
      <c r="T96" s="71"/>
      <c r="U96" s="71"/>
      <c r="V96" s="72"/>
      <c r="W96" s="72"/>
      <c r="X96" s="73"/>
      <c r="Y96" s="73"/>
      <c r="Z96" s="73"/>
    </row>
    <row r="97" ht="12.0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1"/>
      <c r="T97" s="71"/>
      <c r="U97" s="71"/>
      <c r="V97" s="72"/>
      <c r="W97" s="72"/>
      <c r="X97" s="73"/>
      <c r="Y97" s="73"/>
      <c r="Z97" s="73"/>
    </row>
    <row r="98" ht="12.0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1"/>
      <c r="T98" s="71"/>
      <c r="U98" s="71"/>
      <c r="V98" s="72"/>
      <c r="W98" s="72"/>
      <c r="X98" s="73"/>
      <c r="Y98" s="73"/>
      <c r="Z98" s="73"/>
    </row>
    <row r="99" ht="12.0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1"/>
      <c r="T99" s="71"/>
      <c r="U99" s="71"/>
      <c r="V99" s="72"/>
      <c r="W99" s="72"/>
      <c r="X99" s="73"/>
      <c r="Y99" s="73"/>
      <c r="Z99" s="73"/>
    </row>
    <row r="100" ht="12.0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1"/>
      <c r="T100" s="71"/>
      <c r="U100" s="71"/>
      <c r="V100" s="72"/>
      <c r="W100" s="72"/>
      <c r="X100" s="73"/>
      <c r="Y100" s="73"/>
      <c r="Z100" s="73"/>
    </row>
    <row r="101" ht="12.0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1"/>
      <c r="T101" s="71"/>
      <c r="U101" s="71"/>
      <c r="V101" s="72"/>
      <c r="W101" s="72"/>
      <c r="X101" s="73"/>
      <c r="Y101" s="73"/>
      <c r="Z101" s="73"/>
    </row>
    <row r="102" ht="12.0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1"/>
      <c r="T102" s="71"/>
      <c r="U102" s="71"/>
      <c r="V102" s="72"/>
      <c r="W102" s="72"/>
      <c r="X102" s="73"/>
      <c r="Y102" s="73"/>
      <c r="Z102" s="73"/>
    </row>
    <row r="103" ht="12.0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1"/>
      <c r="T103" s="71"/>
      <c r="U103" s="71"/>
      <c r="V103" s="72"/>
      <c r="W103" s="72"/>
      <c r="X103" s="73"/>
      <c r="Y103" s="73"/>
      <c r="Z103" s="73"/>
    </row>
    <row r="104" ht="12.0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1"/>
      <c r="T104" s="71"/>
      <c r="U104" s="71"/>
      <c r="V104" s="72"/>
      <c r="W104" s="72"/>
      <c r="X104" s="73"/>
      <c r="Y104" s="73"/>
      <c r="Z104" s="73"/>
    </row>
    <row r="105" ht="12.0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1"/>
      <c r="T105" s="71"/>
      <c r="U105" s="71"/>
      <c r="V105" s="72"/>
      <c r="W105" s="72"/>
      <c r="X105" s="73"/>
      <c r="Y105" s="73"/>
      <c r="Z105" s="73"/>
    </row>
    <row r="106" ht="12.0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1"/>
      <c r="T106" s="71"/>
      <c r="U106" s="71"/>
      <c r="V106" s="72"/>
      <c r="W106" s="72"/>
      <c r="X106" s="73"/>
      <c r="Y106" s="73"/>
      <c r="Z106" s="73"/>
    </row>
    <row r="107" ht="12.0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1"/>
      <c r="T107" s="71"/>
      <c r="U107" s="71"/>
      <c r="V107" s="72"/>
      <c r="W107" s="72"/>
      <c r="X107" s="73"/>
      <c r="Y107" s="73"/>
      <c r="Z107" s="73"/>
    </row>
    <row r="108" ht="12.0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1"/>
      <c r="T108" s="71"/>
      <c r="U108" s="71"/>
      <c r="V108" s="72"/>
      <c r="W108" s="72"/>
      <c r="X108" s="73"/>
      <c r="Y108" s="73"/>
      <c r="Z108" s="73"/>
    </row>
    <row r="109" ht="12.0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1"/>
      <c r="T109" s="71"/>
      <c r="U109" s="71"/>
      <c r="V109" s="72"/>
      <c r="W109" s="72"/>
      <c r="X109" s="73"/>
      <c r="Y109" s="73"/>
      <c r="Z109" s="73"/>
    </row>
    <row r="110" ht="12.0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1"/>
      <c r="T110" s="71"/>
      <c r="U110" s="71"/>
      <c r="V110" s="72"/>
      <c r="W110" s="72"/>
      <c r="X110" s="73"/>
      <c r="Y110" s="73"/>
      <c r="Z110" s="73"/>
    </row>
    <row r="111" ht="12.0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1"/>
      <c r="T111" s="71"/>
      <c r="U111" s="71"/>
      <c r="V111" s="72"/>
      <c r="W111" s="72"/>
      <c r="X111" s="73"/>
      <c r="Y111" s="73"/>
      <c r="Z111" s="73"/>
    </row>
    <row r="112" ht="12.0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1"/>
      <c r="T112" s="71"/>
      <c r="U112" s="71"/>
      <c r="V112" s="72"/>
      <c r="W112" s="72"/>
      <c r="X112" s="73"/>
      <c r="Y112" s="73"/>
      <c r="Z112" s="73"/>
    </row>
    <row r="113" ht="12.0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1"/>
      <c r="T113" s="71"/>
      <c r="U113" s="71"/>
      <c r="V113" s="72"/>
      <c r="W113" s="72"/>
      <c r="X113" s="73"/>
      <c r="Y113" s="73"/>
      <c r="Z113" s="73"/>
    </row>
    <row r="114" ht="12.0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1"/>
      <c r="T114" s="71"/>
      <c r="U114" s="71"/>
      <c r="V114" s="72"/>
      <c r="W114" s="72"/>
      <c r="X114" s="73"/>
      <c r="Y114" s="73"/>
      <c r="Z114" s="73"/>
    </row>
    <row r="115" ht="12.0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1"/>
      <c r="T115" s="71"/>
      <c r="U115" s="71"/>
      <c r="V115" s="72"/>
      <c r="W115" s="72"/>
      <c r="X115" s="73"/>
      <c r="Y115" s="73"/>
      <c r="Z115" s="73"/>
    </row>
    <row r="116" ht="12.0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1"/>
      <c r="T116" s="71"/>
      <c r="U116" s="71"/>
      <c r="V116" s="72"/>
      <c r="W116" s="72"/>
      <c r="X116" s="73"/>
      <c r="Y116" s="73"/>
      <c r="Z116" s="73"/>
    </row>
    <row r="117" ht="12.0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1"/>
      <c r="T117" s="71"/>
      <c r="U117" s="71"/>
      <c r="V117" s="72"/>
      <c r="W117" s="72"/>
      <c r="X117" s="73"/>
      <c r="Y117" s="73"/>
      <c r="Z117" s="73"/>
    </row>
    <row r="118" ht="12.0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1"/>
      <c r="T118" s="71"/>
      <c r="U118" s="71"/>
      <c r="V118" s="72"/>
      <c r="W118" s="72"/>
      <c r="X118" s="73"/>
      <c r="Y118" s="73"/>
      <c r="Z118" s="73"/>
    </row>
    <row r="119" ht="12.0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1"/>
      <c r="T119" s="71"/>
      <c r="U119" s="71"/>
      <c r="V119" s="72"/>
      <c r="W119" s="72"/>
      <c r="X119" s="73"/>
      <c r="Y119" s="73"/>
      <c r="Z119" s="73"/>
    </row>
    <row r="120" ht="12.0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1"/>
      <c r="T120" s="71"/>
      <c r="U120" s="71"/>
      <c r="V120" s="72"/>
      <c r="W120" s="72"/>
      <c r="X120" s="73"/>
      <c r="Y120" s="73"/>
      <c r="Z120" s="73"/>
    </row>
    <row r="121" ht="12.0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1"/>
      <c r="T121" s="71"/>
      <c r="U121" s="71"/>
      <c r="V121" s="72"/>
      <c r="W121" s="72"/>
      <c r="X121" s="73"/>
      <c r="Y121" s="73"/>
      <c r="Z121" s="73"/>
    </row>
    <row r="122" ht="12.0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1"/>
      <c r="T122" s="71"/>
      <c r="U122" s="71"/>
      <c r="V122" s="72"/>
      <c r="W122" s="72"/>
      <c r="X122" s="73"/>
      <c r="Y122" s="73"/>
      <c r="Z122" s="73"/>
    </row>
    <row r="123" ht="12.0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1"/>
      <c r="T123" s="71"/>
      <c r="U123" s="71"/>
      <c r="V123" s="72"/>
      <c r="W123" s="72"/>
      <c r="X123" s="73"/>
      <c r="Y123" s="73"/>
      <c r="Z123" s="73"/>
    </row>
    <row r="124" ht="12.0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1"/>
      <c r="T124" s="71"/>
      <c r="U124" s="71"/>
      <c r="V124" s="72"/>
      <c r="W124" s="72"/>
      <c r="X124" s="73"/>
      <c r="Y124" s="73"/>
      <c r="Z124" s="73"/>
    </row>
    <row r="125" ht="12.0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1"/>
      <c r="T125" s="71"/>
      <c r="U125" s="71"/>
      <c r="V125" s="72"/>
      <c r="W125" s="72"/>
      <c r="X125" s="73"/>
      <c r="Y125" s="73"/>
      <c r="Z125" s="73"/>
    </row>
    <row r="126" ht="12.0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1"/>
      <c r="T126" s="71"/>
      <c r="U126" s="71"/>
      <c r="V126" s="72"/>
      <c r="W126" s="72"/>
      <c r="X126" s="73"/>
      <c r="Y126" s="73"/>
      <c r="Z126" s="73"/>
    </row>
    <row r="127" ht="12.0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1"/>
      <c r="T127" s="71"/>
      <c r="U127" s="71"/>
      <c r="V127" s="72"/>
      <c r="W127" s="72"/>
      <c r="X127" s="73"/>
      <c r="Y127" s="73"/>
      <c r="Z127" s="73"/>
    </row>
    <row r="128" ht="12.0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1"/>
      <c r="T128" s="71"/>
      <c r="U128" s="71"/>
      <c r="V128" s="72"/>
      <c r="W128" s="72"/>
      <c r="X128" s="73"/>
      <c r="Y128" s="73"/>
      <c r="Z128" s="73"/>
    </row>
    <row r="129" ht="12.0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1"/>
      <c r="T129" s="71"/>
      <c r="U129" s="71"/>
      <c r="V129" s="72"/>
      <c r="W129" s="72"/>
      <c r="X129" s="73"/>
      <c r="Y129" s="73"/>
      <c r="Z129" s="73"/>
    </row>
    <row r="130" ht="12.0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1"/>
      <c r="T130" s="71"/>
      <c r="U130" s="71"/>
      <c r="V130" s="72"/>
      <c r="W130" s="72"/>
      <c r="X130" s="73"/>
      <c r="Y130" s="73"/>
      <c r="Z130" s="73"/>
    </row>
    <row r="131" ht="12.0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1"/>
      <c r="T131" s="71"/>
      <c r="U131" s="71"/>
      <c r="V131" s="72"/>
      <c r="W131" s="72"/>
      <c r="X131" s="73"/>
      <c r="Y131" s="73"/>
      <c r="Z131" s="73"/>
    </row>
    <row r="132" ht="12.0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1"/>
      <c r="T132" s="71"/>
      <c r="U132" s="71"/>
      <c r="V132" s="72"/>
      <c r="W132" s="72"/>
      <c r="X132" s="73"/>
      <c r="Y132" s="73"/>
      <c r="Z132" s="73"/>
    </row>
    <row r="133" ht="12.0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1"/>
      <c r="T133" s="71"/>
      <c r="U133" s="71"/>
      <c r="V133" s="72"/>
      <c r="W133" s="72"/>
      <c r="X133" s="73"/>
      <c r="Y133" s="73"/>
      <c r="Z133" s="73"/>
    </row>
    <row r="134" ht="12.0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1"/>
      <c r="T134" s="71"/>
      <c r="U134" s="71"/>
      <c r="V134" s="72"/>
      <c r="W134" s="72"/>
      <c r="X134" s="73"/>
      <c r="Y134" s="73"/>
      <c r="Z134" s="73"/>
    </row>
    <row r="135" ht="12.0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1"/>
      <c r="T135" s="71"/>
      <c r="U135" s="71"/>
      <c r="V135" s="72"/>
      <c r="W135" s="72"/>
      <c r="X135" s="73"/>
      <c r="Y135" s="73"/>
      <c r="Z135" s="73"/>
    </row>
    <row r="136" ht="12.0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1"/>
      <c r="T136" s="71"/>
      <c r="U136" s="71"/>
      <c r="V136" s="72"/>
      <c r="W136" s="72"/>
      <c r="X136" s="73"/>
      <c r="Y136" s="73"/>
      <c r="Z136" s="73"/>
    </row>
    <row r="137" ht="12.0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1"/>
      <c r="T137" s="71"/>
      <c r="U137" s="71"/>
      <c r="V137" s="72"/>
      <c r="W137" s="72"/>
      <c r="X137" s="73"/>
      <c r="Y137" s="73"/>
      <c r="Z137" s="73"/>
    </row>
    <row r="138" ht="12.0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1"/>
      <c r="T138" s="71"/>
      <c r="U138" s="71"/>
      <c r="V138" s="72"/>
      <c r="W138" s="72"/>
      <c r="X138" s="73"/>
      <c r="Y138" s="73"/>
      <c r="Z138" s="73"/>
    </row>
    <row r="139" ht="12.0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1"/>
      <c r="T139" s="71"/>
      <c r="U139" s="71"/>
      <c r="V139" s="72"/>
      <c r="W139" s="72"/>
      <c r="X139" s="73"/>
      <c r="Y139" s="73"/>
      <c r="Z139" s="73"/>
    </row>
    <row r="140" ht="12.0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1"/>
      <c r="T140" s="71"/>
      <c r="U140" s="71"/>
      <c r="V140" s="72"/>
      <c r="W140" s="72"/>
      <c r="X140" s="73"/>
      <c r="Y140" s="73"/>
      <c r="Z140" s="73"/>
    </row>
    <row r="141" ht="12.0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1"/>
      <c r="T141" s="71"/>
      <c r="U141" s="71"/>
      <c r="V141" s="72"/>
      <c r="W141" s="72"/>
      <c r="X141" s="73"/>
      <c r="Y141" s="73"/>
      <c r="Z141" s="73"/>
    </row>
    <row r="142" ht="12.0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1"/>
      <c r="T142" s="71"/>
      <c r="U142" s="71"/>
      <c r="V142" s="72"/>
      <c r="W142" s="72"/>
      <c r="X142" s="73"/>
      <c r="Y142" s="73"/>
      <c r="Z142" s="73"/>
    </row>
    <row r="143" ht="12.0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1"/>
      <c r="T143" s="71"/>
      <c r="U143" s="71"/>
      <c r="V143" s="72"/>
      <c r="W143" s="72"/>
      <c r="X143" s="73"/>
      <c r="Y143" s="73"/>
      <c r="Z143" s="73"/>
    </row>
    <row r="144" ht="12.0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1"/>
      <c r="T144" s="71"/>
      <c r="U144" s="71"/>
      <c r="V144" s="72"/>
      <c r="W144" s="72"/>
      <c r="X144" s="73"/>
      <c r="Y144" s="73"/>
      <c r="Z144" s="73"/>
    </row>
    <row r="145" ht="12.0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1"/>
      <c r="T145" s="71"/>
      <c r="U145" s="71"/>
      <c r="V145" s="72"/>
      <c r="W145" s="72"/>
      <c r="X145" s="73"/>
      <c r="Y145" s="73"/>
      <c r="Z145" s="73"/>
    </row>
    <row r="146" ht="12.0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1"/>
      <c r="T146" s="71"/>
      <c r="U146" s="71"/>
      <c r="V146" s="72"/>
      <c r="W146" s="72"/>
      <c r="X146" s="73"/>
      <c r="Y146" s="73"/>
      <c r="Z146" s="73"/>
    </row>
    <row r="147" ht="12.0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1"/>
      <c r="T147" s="71"/>
      <c r="U147" s="71"/>
      <c r="V147" s="72"/>
      <c r="W147" s="72"/>
      <c r="X147" s="73"/>
      <c r="Y147" s="73"/>
      <c r="Z147" s="73"/>
    </row>
    <row r="148" ht="12.0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1"/>
      <c r="T148" s="71"/>
      <c r="U148" s="71"/>
      <c r="V148" s="72"/>
      <c r="W148" s="72"/>
      <c r="X148" s="73"/>
      <c r="Y148" s="73"/>
      <c r="Z148" s="73"/>
    </row>
    <row r="149" ht="12.0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1"/>
      <c r="T149" s="71"/>
      <c r="U149" s="71"/>
      <c r="V149" s="72"/>
      <c r="W149" s="72"/>
      <c r="X149" s="73"/>
      <c r="Y149" s="73"/>
      <c r="Z149" s="73"/>
    </row>
    <row r="150" ht="12.0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1"/>
      <c r="T150" s="71"/>
      <c r="U150" s="71"/>
      <c r="V150" s="72"/>
      <c r="W150" s="72"/>
      <c r="X150" s="73"/>
      <c r="Y150" s="73"/>
      <c r="Z150" s="73"/>
    </row>
    <row r="151" ht="12.0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1"/>
      <c r="T151" s="71"/>
      <c r="U151" s="71"/>
      <c r="V151" s="72"/>
      <c r="W151" s="72"/>
      <c r="X151" s="73"/>
      <c r="Y151" s="73"/>
      <c r="Z151" s="73"/>
    </row>
    <row r="152" ht="12.0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1"/>
      <c r="T152" s="71"/>
      <c r="U152" s="71"/>
      <c r="V152" s="72"/>
      <c r="W152" s="72"/>
      <c r="X152" s="73"/>
      <c r="Y152" s="73"/>
      <c r="Z152" s="73"/>
    </row>
    <row r="153" ht="12.0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1"/>
      <c r="T153" s="71"/>
      <c r="U153" s="71"/>
      <c r="V153" s="72"/>
      <c r="W153" s="72"/>
      <c r="X153" s="73"/>
      <c r="Y153" s="73"/>
      <c r="Z153" s="73"/>
    </row>
    <row r="154" ht="12.0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1"/>
      <c r="T154" s="71"/>
      <c r="U154" s="71"/>
      <c r="V154" s="72"/>
      <c r="W154" s="72"/>
      <c r="X154" s="73"/>
      <c r="Y154" s="73"/>
      <c r="Z154" s="73"/>
    </row>
    <row r="155" ht="12.0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1"/>
      <c r="T155" s="71"/>
      <c r="U155" s="71"/>
      <c r="V155" s="72"/>
      <c r="W155" s="72"/>
      <c r="X155" s="73"/>
      <c r="Y155" s="73"/>
      <c r="Z155" s="73"/>
    </row>
    <row r="156" ht="12.0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1"/>
      <c r="T156" s="71"/>
      <c r="U156" s="71"/>
      <c r="V156" s="72"/>
      <c r="W156" s="72"/>
      <c r="X156" s="73"/>
      <c r="Y156" s="73"/>
      <c r="Z156" s="73"/>
    </row>
    <row r="157" ht="12.0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1"/>
      <c r="T157" s="71"/>
      <c r="U157" s="71"/>
      <c r="V157" s="72"/>
      <c r="W157" s="72"/>
      <c r="X157" s="73"/>
      <c r="Y157" s="73"/>
      <c r="Z157" s="73"/>
    </row>
    <row r="158" ht="12.0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1"/>
      <c r="T158" s="71"/>
      <c r="U158" s="71"/>
      <c r="V158" s="72"/>
      <c r="W158" s="72"/>
      <c r="X158" s="73"/>
      <c r="Y158" s="73"/>
      <c r="Z158" s="73"/>
    </row>
    <row r="159" ht="12.0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1"/>
      <c r="T159" s="71"/>
      <c r="U159" s="71"/>
      <c r="V159" s="72"/>
      <c r="W159" s="72"/>
      <c r="X159" s="73"/>
      <c r="Y159" s="73"/>
      <c r="Z159" s="73"/>
    </row>
    <row r="160" ht="12.0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1"/>
      <c r="T160" s="71"/>
      <c r="U160" s="71"/>
      <c r="V160" s="72"/>
      <c r="W160" s="72"/>
      <c r="X160" s="73"/>
      <c r="Y160" s="73"/>
      <c r="Z160" s="73"/>
    </row>
    <row r="161" ht="12.0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1"/>
      <c r="T161" s="71"/>
      <c r="U161" s="71"/>
      <c r="V161" s="72"/>
      <c r="W161" s="72"/>
      <c r="X161" s="73"/>
      <c r="Y161" s="73"/>
      <c r="Z161" s="73"/>
    </row>
    <row r="162" ht="12.0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1"/>
      <c r="T162" s="71"/>
      <c r="U162" s="71"/>
      <c r="V162" s="72"/>
      <c r="W162" s="72"/>
      <c r="X162" s="73"/>
      <c r="Y162" s="73"/>
      <c r="Z162" s="73"/>
    </row>
    <row r="163" ht="12.0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1"/>
      <c r="T163" s="71"/>
      <c r="U163" s="71"/>
      <c r="V163" s="72"/>
      <c r="W163" s="72"/>
      <c r="X163" s="73"/>
      <c r="Y163" s="73"/>
      <c r="Z163" s="73"/>
    </row>
    <row r="164" ht="12.0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1"/>
      <c r="T164" s="71"/>
      <c r="U164" s="71"/>
      <c r="V164" s="72"/>
      <c r="W164" s="72"/>
      <c r="X164" s="73"/>
      <c r="Y164" s="73"/>
      <c r="Z164" s="73"/>
    </row>
    <row r="165" ht="12.0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1"/>
      <c r="T165" s="71"/>
      <c r="U165" s="71"/>
      <c r="V165" s="72"/>
      <c r="W165" s="72"/>
      <c r="X165" s="73"/>
      <c r="Y165" s="73"/>
      <c r="Z165" s="73"/>
    </row>
    <row r="166" ht="12.0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1"/>
      <c r="T166" s="71"/>
      <c r="U166" s="71"/>
      <c r="V166" s="72"/>
      <c r="W166" s="72"/>
      <c r="X166" s="73"/>
      <c r="Y166" s="73"/>
      <c r="Z166" s="73"/>
    </row>
    <row r="167" ht="12.0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1"/>
      <c r="T167" s="71"/>
      <c r="U167" s="71"/>
      <c r="V167" s="72"/>
      <c r="W167" s="72"/>
      <c r="X167" s="73"/>
      <c r="Y167" s="73"/>
      <c r="Z167" s="73"/>
    </row>
    <row r="168" ht="12.0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1"/>
      <c r="T168" s="71"/>
      <c r="U168" s="71"/>
      <c r="V168" s="72"/>
      <c r="W168" s="72"/>
      <c r="X168" s="73"/>
      <c r="Y168" s="73"/>
      <c r="Z168" s="73"/>
    </row>
    <row r="169" ht="12.0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1"/>
      <c r="T169" s="71"/>
      <c r="U169" s="71"/>
      <c r="V169" s="72"/>
      <c r="W169" s="72"/>
      <c r="X169" s="73"/>
      <c r="Y169" s="73"/>
      <c r="Z169" s="73"/>
    </row>
    <row r="170" ht="12.0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1"/>
      <c r="T170" s="71"/>
      <c r="U170" s="71"/>
      <c r="V170" s="72"/>
      <c r="W170" s="72"/>
      <c r="X170" s="73"/>
      <c r="Y170" s="73"/>
      <c r="Z170" s="73"/>
    </row>
    <row r="171" ht="12.0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1"/>
      <c r="T171" s="71"/>
      <c r="U171" s="71"/>
      <c r="V171" s="72"/>
      <c r="W171" s="72"/>
      <c r="X171" s="73"/>
      <c r="Y171" s="73"/>
      <c r="Z171" s="73"/>
    </row>
    <row r="172" ht="12.0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1"/>
      <c r="T172" s="71"/>
      <c r="U172" s="71"/>
      <c r="V172" s="72"/>
      <c r="W172" s="72"/>
      <c r="X172" s="73"/>
      <c r="Y172" s="73"/>
      <c r="Z172" s="73"/>
    </row>
    <row r="173" ht="12.0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1"/>
      <c r="T173" s="71"/>
      <c r="U173" s="71"/>
      <c r="V173" s="72"/>
      <c r="W173" s="72"/>
      <c r="X173" s="73"/>
      <c r="Y173" s="73"/>
      <c r="Z173" s="73"/>
    </row>
    <row r="174" ht="12.0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1"/>
      <c r="T174" s="71"/>
      <c r="U174" s="71"/>
      <c r="V174" s="72"/>
      <c r="W174" s="72"/>
      <c r="X174" s="73"/>
      <c r="Y174" s="73"/>
      <c r="Z174" s="73"/>
    </row>
    <row r="175" ht="12.0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1"/>
      <c r="T175" s="71"/>
      <c r="U175" s="71"/>
      <c r="V175" s="72"/>
      <c r="W175" s="72"/>
      <c r="X175" s="73"/>
      <c r="Y175" s="73"/>
      <c r="Z175" s="73"/>
    </row>
    <row r="176" ht="12.0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1"/>
      <c r="T176" s="71"/>
      <c r="U176" s="71"/>
      <c r="V176" s="72"/>
      <c r="W176" s="72"/>
      <c r="X176" s="73"/>
      <c r="Y176" s="73"/>
      <c r="Z176" s="73"/>
    </row>
    <row r="177" ht="12.0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1"/>
      <c r="T177" s="71"/>
      <c r="U177" s="71"/>
      <c r="V177" s="72"/>
      <c r="W177" s="72"/>
      <c r="X177" s="73"/>
      <c r="Y177" s="73"/>
      <c r="Z177" s="73"/>
    </row>
    <row r="178" ht="12.0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1"/>
      <c r="T178" s="71"/>
      <c r="U178" s="71"/>
      <c r="V178" s="72"/>
      <c r="W178" s="72"/>
      <c r="X178" s="73"/>
      <c r="Y178" s="73"/>
      <c r="Z178" s="73"/>
    </row>
    <row r="179" ht="12.0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1"/>
      <c r="T179" s="71"/>
      <c r="U179" s="71"/>
      <c r="V179" s="72"/>
      <c r="W179" s="72"/>
      <c r="X179" s="73"/>
      <c r="Y179" s="73"/>
      <c r="Z179" s="73"/>
    </row>
    <row r="180" ht="12.0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1"/>
      <c r="T180" s="71"/>
      <c r="U180" s="71"/>
      <c r="V180" s="72"/>
      <c r="W180" s="72"/>
      <c r="X180" s="73"/>
      <c r="Y180" s="73"/>
      <c r="Z180" s="73"/>
    </row>
    <row r="181" ht="12.0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1"/>
      <c r="T181" s="71"/>
      <c r="U181" s="71"/>
      <c r="V181" s="72"/>
      <c r="W181" s="72"/>
      <c r="X181" s="73"/>
      <c r="Y181" s="73"/>
      <c r="Z181" s="73"/>
    </row>
    <row r="182" ht="12.0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1"/>
      <c r="T182" s="71"/>
      <c r="U182" s="71"/>
      <c r="V182" s="72"/>
      <c r="W182" s="72"/>
      <c r="X182" s="73"/>
      <c r="Y182" s="73"/>
      <c r="Z182" s="73"/>
    </row>
    <row r="183" ht="12.0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1"/>
      <c r="T183" s="71"/>
      <c r="U183" s="71"/>
      <c r="V183" s="72"/>
      <c r="W183" s="72"/>
      <c r="X183" s="73"/>
      <c r="Y183" s="73"/>
      <c r="Z183" s="73"/>
    </row>
    <row r="184" ht="12.0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1"/>
      <c r="T184" s="71"/>
      <c r="U184" s="71"/>
      <c r="V184" s="72"/>
      <c r="W184" s="72"/>
      <c r="X184" s="73"/>
      <c r="Y184" s="73"/>
      <c r="Z184" s="73"/>
    </row>
    <row r="185" ht="12.0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1"/>
      <c r="T185" s="71"/>
      <c r="U185" s="71"/>
      <c r="V185" s="72"/>
      <c r="W185" s="72"/>
      <c r="X185" s="73"/>
      <c r="Y185" s="73"/>
      <c r="Z185" s="73"/>
    </row>
    <row r="186" ht="12.0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1"/>
      <c r="T186" s="71"/>
      <c r="U186" s="71"/>
      <c r="V186" s="72"/>
      <c r="W186" s="72"/>
      <c r="X186" s="73"/>
      <c r="Y186" s="73"/>
      <c r="Z186" s="73"/>
    </row>
    <row r="187" ht="12.0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1"/>
      <c r="T187" s="71"/>
      <c r="U187" s="71"/>
      <c r="V187" s="72"/>
      <c r="W187" s="72"/>
      <c r="X187" s="73"/>
      <c r="Y187" s="73"/>
      <c r="Z187" s="73"/>
    </row>
    <row r="188" ht="12.0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1"/>
      <c r="T188" s="71"/>
      <c r="U188" s="71"/>
      <c r="V188" s="72"/>
      <c r="W188" s="72"/>
      <c r="X188" s="73"/>
      <c r="Y188" s="73"/>
      <c r="Z188" s="73"/>
    </row>
    <row r="189" ht="12.0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1"/>
      <c r="T189" s="71"/>
      <c r="U189" s="71"/>
      <c r="V189" s="72"/>
      <c r="W189" s="72"/>
      <c r="X189" s="73"/>
      <c r="Y189" s="73"/>
      <c r="Z189" s="73"/>
    </row>
    <row r="190" ht="12.0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1"/>
      <c r="T190" s="71"/>
      <c r="U190" s="71"/>
      <c r="V190" s="72"/>
      <c r="W190" s="72"/>
      <c r="X190" s="73"/>
      <c r="Y190" s="73"/>
      <c r="Z190" s="73"/>
    </row>
    <row r="191" ht="12.0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1"/>
      <c r="T191" s="71"/>
      <c r="U191" s="71"/>
      <c r="V191" s="72"/>
      <c r="W191" s="72"/>
      <c r="X191" s="73"/>
      <c r="Y191" s="73"/>
      <c r="Z191" s="73"/>
    </row>
    <row r="192" ht="12.0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1"/>
      <c r="T192" s="71"/>
      <c r="U192" s="71"/>
      <c r="V192" s="72"/>
      <c r="W192" s="72"/>
      <c r="X192" s="73"/>
      <c r="Y192" s="73"/>
      <c r="Z192" s="73"/>
    </row>
    <row r="193" ht="12.0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1"/>
      <c r="T193" s="71"/>
      <c r="U193" s="71"/>
      <c r="V193" s="72"/>
      <c r="W193" s="72"/>
      <c r="X193" s="73"/>
      <c r="Y193" s="73"/>
      <c r="Z193" s="73"/>
    </row>
    <row r="194" ht="12.0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1"/>
      <c r="T194" s="71"/>
      <c r="U194" s="71"/>
      <c r="V194" s="72"/>
      <c r="W194" s="72"/>
      <c r="X194" s="73"/>
      <c r="Y194" s="73"/>
      <c r="Z194" s="73"/>
    </row>
    <row r="195" ht="12.0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1"/>
      <c r="T195" s="71"/>
      <c r="U195" s="71"/>
      <c r="V195" s="72"/>
      <c r="W195" s="72"/>
      <c r="X195" s="73"/>
      <c r="Y195" s="73"/>
      <c r="Z195" s="73"/>
    </row>
    <row r="196" ht="12.0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1"/>
      <c r="T196" s="71"/>
      <c r="U196" s="71"/>
      <c r="V196" s="72"/>
      <c r="W196" s="72"/>
      <c r="X196" s="73"/>
      <c r="Y196" s="73"/>
      <c r="Z196" s="73"/>
    </row>
    <row r="197" ht="12.0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1"/>
      <c r="T197" s="71"/>
      <c r="U197" s="71"/>
      <c r="V197" s="72"/>
      <c r="W197" s="72"/>
      <c r="X197" s="73"/>
      <c r="Y197" s="73"/>
      <c r="Z197" s="73"/>
    </row>
    <row r="198" ht="12.0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1"/>
      <c r="T198" s="71"/>
      <c r="U198" s="71"/>
      <c r="V198" s="72"/>
      <c r="W198" s="72"/>
      <c r="X198" s="73"/>
      <c r="Y198" s="73"/>
      <c r="Z198" s="73"/>
    </row>
    <row r="199" ht="12.0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1"/>
      <c r="T199" s="71"/>
      <c r="U199" s="71"/>
      <c r="V199" s="72"/>
      <c r="W199" s="72"/>
      <c r="X199" s="73"/>
      <c r="Y199" s="73"/>
      <c r="Z199" s="73"/>
    </row>
    <row r="200" ht="12.0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1"/>
      <c r="T200" s="71"/>
      <c r="U200" s="71"/>
      <c r="V200" s="72"/>
      <c r="W200" s="72"/>
      <c r="X200" s="73"/>
      <c r="Y200" s="73"/>
      <c r="Z200" s="73"/>
    </row>
    <row r="201" ht="12.0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1"/>
      <c r="T201" s="71"/>
      <c r="U201" s="71"/>
      <c r="V201" s="72"/>
      <c r="W201" s="72"/>
      <c r="X201" s="73"/>
      <c r="Y201" s="73"/>
      <c r="Z201" s="73"/>
    </row>
    <row r="202" ht="12.0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1"/>
      <c r="T202" s="71"/>
      <c r="U202" s="71"/>
      <c r="V202" s="72"/>
      <c r="W202" s="72"/>
      <c r="X202" s="73"/>
      <c r="Y202" s="73"/>
      <c r="Z202" s="73"/>
    </row>
    <row r="203" ht="12.0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1"/>
      <c r="T203" s="71"/>
      <c r="U203" s="71"/>
      <c r="V203" s="72"/>
      <c r="W203" s="72"/>
      <c r="X203" s="73"/>
      <c r="Y203" s="73"/>
      <c r="Z203" s="73"/>
    </row>
    <row r="204" ht="12.0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1"/>
      <c r="T204" s="71"/>
      <c r="U204" s="71"/>
      <c r="V204" s="72"/>
      <c r="W204" s="72"/>
      <c r="X204" s="73"/>
      <c r="Y204" s="73"/>
      <c r="Z204" s="73"/>
    </row>
    <row r="205" ht="12.0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1"/>
      <c r="T205" s="71"/>
      <c r="U205" s="71"/>
      <c r="V205" s="72"/>
      <c r="W205" s="72"/>
      <c r="X205" s="73"/>
      <c r="Y205" s="73"/>
      <c r="Z205" s="73"/>
    </row>
    <row r="206" ht="12.0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1"/>
      <c r="T206" s="71"/>
      <c r="U206" s="71"/>
      <c r="V206" s="72"/>
      <c r="W206" s="72"/>
      <c r="X206" s="73"/>
      <c r="Y206" s="73"/>
      <c r="Z206" s="73"/>
    </row>
    <row r="207" ht="12.0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1"/>
      <c r="T207" s="71"/>
      <c r="U207" s="71"/>
      <c r="V207" s="72"/>
      <c r="W207" s="72"/>
      <c r="X207" s="73"/>
      <c r="Y207" s="73"/>
      <c r="Z207" s="73"/>
    </row>
    <row r="208" ht="12.0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1"/>
      <c r="T208" s="71"/>
      <c r="U208" s="71"/>
      <c r="V208" s="72"/>
      <c r="W208" s="72"/>
      <c r="X208" s="73"/>
      <c r="Y208" s="73"/>
      <c r="Z208" s="73"/>
    </row>
    <row r="209" ht="12.0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1"/>
      <c r="T209" s="71"/>
      <c r="U209" s="71"/>
      <c r="V209" s="72"/>
      <c r="W209" s="72"/>
      <c r="X209" s="73"/>
      <c r="Y209" s="73"/>
      <c r="Z209" s="73"/>
    </row>
    <row r="210" ht="12.0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1"/>
      <c r="T210" s="71"/>
      <c r="U210" s="71"/>
      <c r="V210" s="72"/>
      <c r="W210" s="72"/>
      <c r="X210" s="73"/>
      <c r="Y210" s="73"/>
      <c r="Z210" s="73"/>
    </row>
    <row r="211" ht="12.0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1"/>
      <c r="T211" s="71"/>
      <c r="U211" s="71"/>
      <c r="V211" s="72"/>
      <c r="W211" s="72"/>
      <c r="X211" s="73"/>
      <c r="Y211" s="73"/>
      <c r="Z211" s="73"/>
    </row>
    <row r="212" ht="12.0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1"/>
      <c r="T212" s="71"/>
      <c r="U212" s="71"/>
      <c r="V212" s="72"/>
      <c r="W212" s="72"/>
      <c r="X212" s="73"/>
      <c r="Y212" s="73"/>
      <c r="Z212" s="73"/>
    </row>
    <row r="213" ht="12.0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1"/>
      <c r="T213" s="71"/>
      <c r="U213" s="71"/>
      <c r="V213" s="72"/>
      <c r="W213" s="72"/>
      <c r="X213" s="73"/>
      <c r="Y213" s="73"/>
      <c r="Z213" s="73"/>
    </row>
    <row r="214" ht="12.0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1"/>
      <c r="T214" s="71"/>
      <c r="U214" s="71"/>
      <c r="V214" s="72"/>
      <c r="W214" s="72"/>
      <c r="X214" s="73"/>
      <c r="Y214" s="73"/>
      <c r="Z214" s="73"/>
    </row>
    <row r="215" ht="12.0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1"/>
      <c r="T215" s="71"/>
      <c r="U215" s="71"/>
      <c r="V215" s="72"/>
      <c r="W215" s="72"/>
      <c r="X215" s="73"/>
      <c r="Y215" s="73"/>
      <c r="Z215" s="73"/>
    </row>
    <row r="216" ht="12.0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1"/>
      <c r="T216" s="71"/>
      <c r="U216" s="71"/>
      <c r="V216" s="72"/>
      <c r="W216" s="72"/>
      <c r="X216" s="73"/>
      <c r="Y216" s="73"/>
      <c r="Z216" s="73"/>
    </row>
    <row r="217" ht="12.0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1"/>
      <c r="T217" s="71"/>
      <c r="U217" s="71"/>
      <c r="V217" s="72"/>
      <c r="W217" s="72"/>
      <c r="X217" s="73"/>
      <c r="Y217" s="73"/>
      <c r="Z217" s="73"/>
    </row>
    <row r="218" ht="12.0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1"/>
      <c r="T218" s="71"/>
      <c r="U218" s="71"/>
      <c r="V218" s="72"/>
      <c r="W218" s="72"/>
      <c r="X218" s="73"/>
      <c r="Y218" s="73"/>
      <c r="Z218" s="73"/>
    </row>
    <row r="219" ht="12.0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1"/>
      <c r="T219" s="71"/>
      <c r="U219" s="71"/>
      <c r="V219" s="72"/>
      <c r="W219" s="72"/>
      <c r="X219" s="73"/>
      <c r="Y219" s="73"/>
      <c r="Z219" s="73"/>
    </row>
    <row r="220" ht="12.0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1"/>
      <c r="T220" s="71"/>
      <c r="U220" s="71"/>
      <c r="V220" s="72"/>
      <c r="W220" s="72"/>
      <c r="X220" s="73"/>
      <c r="Y220" s="73"/>
      <c r="Z220" s="73"/>
    </row>
    <row r="221" ht="12.0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1"/>
      <c r="T221" s="71"/>
      <c r="U221" s="71"/>
      <c r="V221" s="72"/>
      <c r="W221" s="72"/>
      <c r="X221" s="73"/>
      <c r="Y221" s="73"/>
      <c r="Z221" s="73"/>
    </row>
    <row r="222" ht="12.0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1"/>
      <c r="T222" s="71"/>
      <c r="U222" s="71"/>
      <c r="V222" s="72"/>
      <c r="W222" s="72"/>
      <c r="X222" s="73"/>
      <c r="Y222" s="73"/>
      <c r="Z222" s="73"/>
    </row>
    <row r="223" ht="12.0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1"/>
      <c r="T223" s="71"/>
      <c r="U223" s="71"/>
      <c r="V223" s="72"/>
      <c r="W223" s="72"/>
      <c r="X223" s="73"/>
      <c r="Y223" s="73"/>
      <c r="Z223" s="73"/>
    </row>
    <row r="224" ht="12.0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1"/>
      <c r="T224" s="71"/>
      <c r="U224" s="71"/>
      <c r="V224" s="72"/>
      <c r="W224" s="72"/>
      <c r="X224" s="73"/>
      <c r="Y224" s="73"/>
      <c r="Z224" s="73"/>
    </row>
    <row r="225" ht="12.0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1"/>
      <c r="T225" s="71"/>
      <c r="U225" s="71"/>
      <c r="V225" s="72"/>
      <c r="W225" s="72"/>
      <c r="X225" s="73"/>
      <c r="Y225" s="73"/>
      <c r="Z225" s="73"/>
    </row>
    <row r="226" ht="12.0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1"/>
      <c r="T226" s="71"/>
      <c r="U226" s="71"/>
      <c r="V226" s="72"/>
      <c r="W226" s="72"/>
      <c r="X226" s="73"/>
      <c r="Y226" s="73"/>
      <c r="Z226" s="73"/>
    </row>
    <row r="227" ht="12.0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1"/>
      <c r="T227" s="71"/>
      <c r="U227" s="71"/>
      <c r="V227" s="72"/>
      <c r="W227" s="72"/>
      <c r="X227" s="73"/>
      <c r="Y227" s="73"/>
      <c r="Z227" s="73"/>
    </row>
    <row r="228" ht="12.0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1"/>
      <c r="T228" s="71"/>
      <c r="U228" s="71"/>
      <c r="V228" s="72"/>
      <c r="W228" s="72"/>
      <c r="X228" s="73"/>
      <c r="Y228" s="73"/>
      <c r="Z228" s="73"/>
    </row>
    <row r="229" ht="12.0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1"/>
      <c r="T229" s="71"/>
      <c r="U229" s="71"/>
      <c r="V229" s="72"/>
      <c r="W229" s="72"/>
      <c r="X229" s="73"/>
      <c r="Y229" s="73"/>
      <c r="Z229" s="73"/>
    </row>
    <row r="230" ht="12.0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1"/>
      <c r="T230" s="71"/>
      <c r="U230" s="71"/>
      <c r="V230" s="72"/>
      <c r="W230" s="72"/>
      <c r="X230" s="73"/>
      <c r="Y230" s="73"/>
      <c r="Z230" s="73"/>
    </row>
    <row r="231" ht="12.0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1"/>
      <c r="T231" s="71"/>
      <c r="U231" s="71"/>
      <c r="V231" s="72"/>
      <c r="W231" s="72"/>
      <c r="X231" s="73"/>
      <c r="Y231" s="73"/>
      <c r="Z231" s="73"/>
    </row>
    <row r="232" ht="12.0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1"/>
      <c r="T232" s="71"/>
      <c r="U232" s="71"/>
      <c r="V232" s="72"/>
      <c r="W232" s="72"/>
      <c r="X232" s="73"/>
      <c r="Y232" s="73"/>
      <c r="Z232" s="73"/>
    </row>
    <row r="233" ht="12.0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1"/>
      <c r="T233" s="71"/>
      <c r="U233" s="71"/>
      <c r="V233" s="72"/>
      <c r="W233" s="72"/>
      <c r="X233" s="73"/>
      <c r="Y233" s="73"/>
      <c r="Z233" s="73"/>
    </row>
    <row r="234" ht="12.0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1"/>
      <c r="T234" s="71"/>
      <c r="U234" s="71"/>
      <c r="V234" s="72"/>
      <c r="W234" s="72"/>
      <c r="X234" s="73"/>
      <c r="Y234" s="73"/>
      <c r="Z234" s="73"/>
    </row>
    <row r="235" ht="12.0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1"/>
      <c r="T235" s="71"/>
      <c r="U235" s="71"/>
      <c r="V235" s="72"/>
      <c r="W235" s="72"/>
      <c r="X235" s="73"/>
      <c r="Y235" s="73"/>
      <c r="Z235" s="73"/>
    </row>
    <row r="236" ht="12.0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1"/>
      <c r="T236" s="71"/>
      <c r="U236" s="71"/>
      <c r="V236" s="72"/>
      <c r="W236" s="72"/>
      <c r="X236" s="73"/>
      <c r="Y236" s="73"/>
      <c r="Z236" s="73"/>
    </row>
    <row r="237" ht="12.0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1"/>
      <c r="T237" s="71"/>
      <c r="U237" s="71"/>
      <c r="V237" s="72"/>
      <c r="W237" s="72"/>
      <c r="X237" s="73"/>
      <c r="Y237" s="73"/>
      <c r="Z237" s="73"/>
    </row>
    <row r="238" ht="12.0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1"/>
      <c r="T238" s="71"/>
      <c r="U238" s="71"/>
      <c r="V238" s="72"/>
      <c r="W238" s="72"/>
      <c r="X238" s="73"/>
      <c r="Y238" s="73"/>
      <c r="Z238" s="73"/>
    </row>
    <row r="239" ht="12.0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1"/>
      <c r="T239" s="71"/>
      <c r="U239" s="71"/>
      <c r="V239" s="72"/>
      <c r="W239" s="72"/>
      <c r="X239" s="73"/>
      <c r="Y239" s="73"/>
      <c r="Z239" s="73"/>
    </row>
    <row r="240" ht="12.0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1"/>
      <c r="T240" s="71"/>
      <c r="U240" s="71"/>
      <c r="V240" s="72"/>
      <c r="W240" s="72"/>
      <c r="X240" s="73"/>
      <c r="Y240" s="73"/>
      <c r="Z240" s="73"/>
    </row>
    <row r="241" ht="12.0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1"/>
      <c r="T241" s="71"/>
      <c r="U241" s="71"/>
      <c r="V241" s="72"/>
      <c r="W241" s="72"/>
      <c r="X241" s="73"/>
      <c r="Y241" s="73"/>
      <c r="Z241" s="73"/>
    </row>
    <row r="242" ht="12.0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1"/>
      <c r="T242" s="71"/>
      <c r="U242" s="71"/>
      <c r="V242" s="72"/>
      <c r="W242" s="72"/>
      <c r="X242" s="73"/>
      <c r="Y242" s="73"/>
      <c r="Z242" s="73"/>
    </row>
    <row r="243" ht="12.0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1"/>
      <c r="T243" s="71"/>
      <c r="U243" s="71"/>
      <c r="V243" s="72"/>
      <c r="W243" s="72"/>
      <c r="X243" s="73"/>
      <c r="Y243" s="73"/>
      <c r="Z243" s="73"/>
    </row>
    <row r="244" ht="12.0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1"/>
      <c r="T244" s="71"/>
      <c r="U244" s="71"/>
      <c r="V244" s="72"/>
      <c r="W244" s="72"/>
      <c r="X244" s="73"/>
      <c r="Y244" s="73"/>
      <c r="Z244" s="73"/>
    </row>
    <row r="245" ht="12.0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1"/>
      <c r="T245" s="71"/>
      <c r="U245" s="71"/>
      <c r="V245" s="72"/>
      <c r="W245" s="72"/>
      <c r="X245" s="73"/>
      <c r="Y245" s="73"/>
      <c r="Z245" s="73"/>
    </row>
    <row r="246" ht="12.0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1"/>
      <c r="T246" s="71"/>
      <c r="U246" s="71"/>
      <c r="V246" s="72"/>
      <c r="W246" s="72"/>
      <c r="X246" s="73"/>
      <c r="Y246" s="73"/>
      <c r="Z246" s="73"/>
    </row>
    <row r="247" ht="12.0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1"/>
      <c r="T247" s="71"/>
      <c r="U247" s="71"/>
      <c r="V247" s="72"/>
      <c r="W247" s="72"/>
      <c r="X247" s="73"/>
      <c r="Y247" s="73"/>
      <c r="Z247" s="73"/>
    </row>
    <row r="248" ht="12.0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1"/>
      <c r="T248" s="71"/>
      <c r="U248" s="71"/>
      <c r="V248" s="72"/>
      <c r="W248" s="72"/>
      <c r="X248" s="73"/>
      <c r="Y248" s="73"/>
      <c r="Z248" s="73"/>
    </row>
    <row r="249" ht="12.0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1"/>
      <c r="T249" s="71"/>
      <c r="U249" s="71"/>
      <c r="V249" s="72"/>
      <c r="W249" s="72"/>
      <c r="X249" s="73"/>
      <c r="Y249" s="73"/>
      <c r="Z249" s="73"/>
    </row>
    <row r="250" ht="12.0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1"/>
      <c r="T250" s="71"/>
      <c r="U250" s="71"/>
      <c r="V250" s="72"/>
      <c r="W250" s="72"/>
      <c r="X250" s="73"/>
      <c r="Y250" s="73"/>
      <c r="Z250" s="73"/>
    </row>
    <row r="251" ht="12.0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1"/>
      <c r="T251" s="71"/>
      <c r="U251" s="71"/>
      <c r="V251" s="72"/>
      <c r="W251" s="72"/>
      <c r="X251" s="73"/>
      <c r="Y251" s="73"/>
      <c r="Z251" s="73"/>
    </row>
    <row r="252" ht="12.0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1"/>
      <c r="T252" s="71"/>
      <c r="U252" s="71"/>
      <c r="V252" s="72"/>
      <c r="W252" s="72"/>
      <c r="X252" s="73"/>
      <c r="Y252" s="73"/>
      <c r="Z252" s="73"/>
    </row>
    <row r="253" ht="12.0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1"/>
      <c r="T253" s="71"/>
      <c r="U253" s="71"/>
      <c r="V253" s="72"/>
      <c r="W253" s="72"/>
      <c r="X253" s="73"/>
      <c r="Y253" s="73"/>
      <c r="Z253" s="73"/>
    </row>
    <row r="254" ht="12.0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1"/>
      <c r="T254" s="71"/>
      <c r="U254" s="71"/>
      <c r="V254" s="72"/>
      <c r="W254" s="72"/>
      <c r="X254" s="73"/>
      <c r="Y254" s="73"/>
      <c r="Z254" s="73"/>
    </row>
    <row r="255" ht="12.0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1"/>
      <c r="T255" s="71"/>
      <c r="U255" s="71"/>
      <c r="V255" s="72"/>
      <c r="W255" s="72"/>
      <c r="X255" s="73"/>
      <c r="Y255" s="73"/>
      <c r="Z255" s="73"/>
    </row>
    <row r="256" ht="12.0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1"/>
      <c r="T256" s="71"/>
      <c r="U256" s="71"/>
      <c r="V256" s="72"/>
      <c r="W256" s="72"/>
      <c r="X256" s="73"/>
      <c r="Y256" s="73"/>
      <c r="Z256" s="73"/>
    </row>
    <row r="257" ht="12.0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1"/>
      <c r="T257" s="71"/>
      <c r="U257" s="71"/>
      <c r="V257" s="72"/>
      <c r="W257" s="72"/>
      <c r="X257" s="73"/>
      <c r="Y257" s="73"/>
      <c r="Z257" s="73"/>
    </row>
    <row r="258" ht="12.0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1"/>
      <c r="T258" s="71"/>
      <c r="U258" s="71"/>
      <c r="V258" s="72"/>
      <c r="W258" s="72"/>
      <c r="X258" s="73"/>
      <c r="Y258" s="73"/>
      <c r="Z258" s="73"/>
    </row>
    <row r="259" ht="12.0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1"/>
      <c r="T259" s="71"/>
      <c r="U259" s="71"/>
      <c r="V259" s="72"/>
      <c r="W259" s="72"/>
      <c r="X259" s="73"/>
      <c r="Y259" s="73"/>
      <c r="Z259" s="73"/>
    </row>
    <row r="260" ht="12.0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1"/>
      <c r="T260" s="71"/>
      <c r="U260" s="71"/>
      <c r="V260" s="72"/>
      <c r="W260" s="72"/>
      <c r="X260" s="73"/>
      <c r="Y260" s="73"/>
      <c r="Z260" s="7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3">
    <mergeCell ref="B46:B50"/>
    <mergeCell ref="C47:C50"/>
    <mergeCell ref="F48:F50"/>
    <mergeCell ref="G48:G50"/>
    <mergeCell ref="H48:H50"/>
    <mergeCell ref="I48:I50"/>
    <mergeCell ref="J48:J50"/>
    <mergeCell ref="K48:L50"/>
    <mergeCell ref="Q44:R44"/>
    <mergeCell ref="Q48:R50"/>
    <mergeCell ref="M49:O50"/>
    <mergeCell ref="P49:P50"/>
    <mergeCell ref="L44:M44"/>
    <mergeCell ref="N44:O44"/>
    <mergeCell ref="A46:A50"/>
    <mergeCell ref="C46:D46"/>
    <mergeCell ref="E46:L47"/>
    <mergeCell ref="M46:R47"/>
    <mergeCell ref="M48:P48"/>
    <mergeCell ref="H35:H36"/>
    <mergeCell ref="I35:I36"/>
    <mergeCell ref="J35:J36"/>
    <mergeCell ref="K35:K36"/>
    <mergeCell ref="K29:L29"/>
    <mergeCell ref="K30:L30"/>
    <mergeCell ref="K31:L31"/>
    <mergeCell ref="A33:A36"/>
    <mergeCell ref="B33:B36"/>
    <mergeCell ref="C33:C36"/>
    <mergeCell ref="D33:D36"/>
    <mergeCell ref="E33:J34"/>
    <mergeCell ref="K33:O34"/>
    <mergeCell ref="P33:P36"/>
    <mergeCell ref="Q33:R36"/>
    <mergeCell ref="E35:E36"/>
    <mergeCell ref="F35:F36"/>
    <mergeCell ref="G35:G36"/>
    <mergeCell ref="L35:M36"/>
    <mergeCell ref="N35:O36"/>
    <mergeCell ref="L37:M37"/>
    <mergeCell ref="N37:O37"/>
    <mergeCell ref="Q37:R37"/>
    <mergeCell ref="N38:O38"/>
    <mergeCell ref="Q38:R38"/>
    <mergeCell ref="L38:M38"/>
    <mergeCell ref="L39:M39"/>
    <mergeCell ref="N39:O39"/>
    <mergeCell ref="Q39:R39"/>
    <mergeCell ref="L40:M40"/>
    <mergeCell ref="N40:O40"/>
    <mergeCell ref="Q40:R40"/>
    <mergeCell ref="D47:D50"/>
    <mergeCell ref="E48:E50"/>
    <mergeCell ref="K51:L51"/>
    <mergeCell ref="M51:O51"/>
    <mergeCell ref="Q51:R51"/>
    <mergeCell ref="M52:O52"/>
    <mergeCell ref="Q52:R52"/>
    <mergeCell ref="K4:L4"/>
    <mergeCell ref="K5:L5"/>
    <mergeCell ref="M5:N5"/>
    <mergeCell ref="Q5:R5"/>
    <mergeCell ref="A1:R1"/>
    <mergeCell ref="K3:L3"/>
    <mergeCell ref="M3:N3"/>
    <mergeCell ref="Q3:R3"/>
    <mergeCell ref="D4:F4"/>
    <mergeCell ref="M4:N4"/>
    <mergeCell ref="Q4:R4"/>
    <mergeCell ref="A6:B7"/>
    <mergeCell ref="A8:A10"/>
    <mergeCell ref="B8:B10"/>
    <mergeCell ref="C8:C10"/>
    <mergeCell ref="D8:D10"/>
    <mergeCell ref="E8:E10"/>
    <mergeCell ref="F8:F10"/>
    <mergeCell ref="G8:G10"/>
    <mergeCell ref="H8:H10"/>
    <mergeCell ref="Q6:R10"/>
    <mergeCell ref="Q11:R11"/>
    <mergeCell ref="G22:G23"/>
    <mergeCell ref="H22:H23"/>
    <mergeCell ref="I22:I23"/>
    <mergeCell ref="J22:J23"/>
    <mergeCell ref="K19:L19"/>
    <mergeCell ref="A20:A23"/>
    <mergeCell ref="B20:C21"/>
    <mergeCell ref="D20:L21"/>
    <mergeCell ref="M20:O23"/>
    <mergeCell ref="P20:P23"/>
    <mergeCell ref="B22:B23"/>
    <mergeCell ref="K22:L23"/>
    <mergeCell ref="C22:C23"/>
    <mergeCell ref="D22:D23"/>
    <mergeCell ref="D25:E25"/>
    <mergeCell ref="E22:E23"/>
    <mergeCell ref="F22:F23"/>
    <mergeCell ref="D24:E24"/>
    <mergeCell ref="K24:L24"/>
    <mergeCell ref="M24:O24"/>
    <mergeCell ref="K25:L25"/>
    <mergeCell ref="M25:O25"/>
    <mergeCell ref="M30:O30"/>
    <mergeCell ref="M31:O31"/>
    <mergeCell ref="K32:L32"/>
    <mergeCell ref="M32:O32"/>
    <mergeCell ref="K26:L26"/>
    <mergeCell ref="M26:O26"/>
    <mergeCell ref="K27:L27"/>
    <mergeCell ref="M27:O27"/>
    <mergeCell ref="K28:L28"/>
    <mergeCell ref="M28:O28"/>
    <mergeCell ref="M29:O29"/>
    <mergeCell ref="C6:E7"/>
    <mergeCell ref="F6:I7"/>
    <mergeCell ref="J6:J10"/>
    <mergeCell ref="K6:L10"/>
    <mergeCell ref="O6:P7"/>
    <mergeCell ref="I8:I10"/>
    <mergeCell ref="P8:P10"/>
    <mergeCell ref="M6:N10"/>
    <mergeCell ref="O8:O10"/>
    <mergeCell ref="K11:L11"/>
    <mergeCell ref="M11:N11"/>
    <mergeCell ref="K12:L12"/>
    <mergeCell ref="M12:N12"/>
    <mergeCell ref="Q12:R12"/>
    <mergeCell ref="K13:L13"/>
    <mergeCell ref="M13:N13"/>
    <mergeCell ref="Q13:R13"/>
    <mergeCell ref="K14:L14"/>
    <mergeCell ref="M14:N14"/>
    <mergeCell ref="K15:L15"/>
    <mergeCell ref="M15:N15"/>
    <mergeCell ref="K16:L16"/>
    <mergeCell ref="M16:N16"/>
    <mergeCell ref="K17:L17"/>
    <mergeCell ref="M17:N17"/>
    <mergeCell ref="K18:L18"/>
    <mergeCell ref="M18:N18"/>
    <mergeCell ref="M19:N19"/>
    <mergeCell ref="Q14:R14"/>
    <mergeCell ref="Q15:R15"/>
    <mergeCell ref="Q16:R16"/>
    <mergeCell ref="Q17:R17"/>
    <mergeCell ref="Q18:R18"/>
    <mergeCell ref="Q19:R19"/>
    <mergeCell ref="Q20:R23"/>
    <mergeCell ref="Q31:R31"/>
    <mergeCell ref="Q32:R32"/>
    <mergeCell ref="Q24:R24"/>
    <mergeCell ref="Q25:R25"/>
    <mergeCell ref="Q26:R26"/>
    <mergeCell ref="Q27:R27"/>
    <mergeCell ref="Q28:R28"/>
    <mergeCell ref="Q29:R29"/>
    <mergeCell ref="Q30:R30"/>
    <mergeCell ref="Q42:R42"/>
    <mergeCell ref="Q43:R43"/>
    <mergeCell ref="L45:M45"/>
    <mergeCell ref="N45:O45"/>
    <mergeCell ref="Q45:R45"/>
    <mergeCell ref="L41:M41"/>
    <mergeCell ref="N41:O41"/>
    <mergeCell ref="Q41:R41"/>
    <mergeCell ref="L42:M42"/>
    <mergeCell ref="N42:O42"/>
    <mergeCell ref="L43:M43"/>
    <mergeCell ref="N43:O43"/>
    <mergeCell ref="K52:L52"/>
    <mergeCell ref="K53:L53"/>
    <mergeCell ref="M53:O53"/>
    <mergeCell ref="Q53:R53"/>
    <mergeCell ref="K54:L54"/>
    <mergeCell ref="M54:O54"/>
    <mergeCell ref="Q54:R54"/>
    <mergeCell ref="Q56:R56"/>
    <mergeCell ref="Q57:R57"/>
    <mergeCell ref="Q58:R58"/>
    <mergeCell ref="Q59:R59"/>
    <mergeCell ref="Q60:R60"/>
    <mergeCell ref="Q61:R61"/>
    <mergeCell ref="Q62:R62"/>
    <mergeCell ref="Q63:R63"/>
    <mergeCell ref="K55:L55"/>
    <mergeCell ref="M55:O55"/>
    <mergeCell ref="Q55:R55"/>
    <mergeCell ref="K56:L56"/>
    <mergeCell ref="M56:O56"/>
    <mergeCell ref="K57:L57"/>
    <mergeCell ref="M57:O57"/>
    <mergeCell ref="K61:L61"/>
    <mergeCell ref="K62:L62"/>
    <mergeCell ref="K63:L63"/>
    <mergeCell ref="M62:O62"/>
    <mergeCell ref="M63:O63"/>
    <mergeCell ref="K58:L58"/>
    <mergeCell ref="M58:O58"/>
    <mergeCell ref="K59:L59"/>
    <mergeCell ref="M59:O59"/>
    <mergeCell ref="K60:L60"/>
    <mergeCell ref="M60:O60"/>
    <mergeCell ref="M61:O61"/>
  </mergeCells>
  <conditionalFormatting sqref="B24:D25 B26:G32 B37:C45 C51:P59 E37:J45 F11:J19 F24:G25 I24:J32 O11:R19 P37:R45 Q24:R32">
    <cfRule type="cellIs" dxfId="0" priority="1" stopIfTrue="1" operator="lessThan">
      <formula>0</formula>
    </cfRule>
  </conditionalFormatting>
  <conditionalFormatting sqref="C11:D19">
    <cfRule type="cellIs" dxfId="0" priority="2" stopIfTrue="1" operator="lessThan">
      <formula>0</formula>
    </cfRule>
  </conditionalFormatting>
  <conditionalFormatting sqref="Q11:R19">
    <cfRule type="cellIs" dxfId="0" priority="3" stopIfTrue="1" operator="lessThan">
      <formula>0</formula>
    </cfRule>
  </conditionalFormatting>
  <conditionalFormatting sqref="A4">
    <cfRule type="cellIs" dxfId="1" priority="4" stopIfTrue="1" operator="equal">
      <formula>"erro"</formula>
    </cfRule>
  </conditionalFormatting>
  <printOptions/>
  <pageMargins bottom="0.7874015748031497" footer="0.0" header="0.0" left="0.7874015748031497" right="0.5118110236220472" top="0.9448818897637796"/>
  <pageSetup orientation="portrait"/>
  <rowBreaks count="1" manualBreakCount="1">
    <brk id="60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3" width="5.0"/>
    <col customWidth="1" min="4" max="4" width="6.71"/>
    <col customWidth="1" min="5" max="6" width="3.86"/>
    <col customWidth="1" min="7" max="7" width="5.43"/>
    <col customWidth="1" min="8" max="8" width="6.43"/>
    <col customWidth="1" min="9" max="9" width="8.0"/>
    <col customWidth="1" min="10" max="10" width="5.0"/>
    <col customWidth="1" min="11" max="11" width="9.14"/>
    <col customWidth="1" min="12" max="12" width="9.71"/>
    <col customWidth="1" min="13" max="14" width="6.43"/>
    <col customWidth="1" min="15" max="15" width="3.43"/>
    <col customWidth="1" min="16" max="26" width="12.57"/>
  </cols>
  <sheetData>
    <row r="1" ht="12.75" customHeight="1">
      <c r="A1" s="145"/>
      <c r="B1" s="146"/>
      <c r="C1" s="147"/>
      <c r="D1" s="147"/>
      <c r="E1" s="147"/>
      <c r="F1" s="148"/>
      <c r="G1" s="149"/>
      <c r="H1" s="149"/>
      <c r="I1" s="149"/>
      <c r="J1" s="149"/>
      <c r="K1" s="149"/>
      <c r="L1" s="148"/>
      <c r="M1" s="147"/>
      <c r="N1" s="146"/>
      <c r="O1" s="15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51"/>
      <c r="B2" s="1"/>
      <c r="C2" s="152"/>
      <c r="D2" s="152"/>
      <c r="E2" s="152"/>
      <c r="F2" s="153" t="s">
        <v>367</v>
      </c>
      <c r="G2" s="154"/>
      <c r="H2" s="154"/>
      <c r="I2" s="154"/>
      <c r="J2" s="154"/>
      <c r="K2" s="155"/>
      <c r="L2" s="156"/>
      <c r="M2" s="152"/>
      <c r="N2" s="1"/>
      <c r="O2" s="15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51"/>
      <c r="B3" s="158"/>
      <c r="C3" s="152"/>
      <c r="D3" s="152"/>
      <c r="E3" s="152"/>
      <c r="F3" s="159"/>
      <c r="G3" s="160"/>
      <c r="H3" s="161"/>
      <c r="I3" s="161"/>
      <c r="J3" s="161"/>
      <c r="K3" s="161"/>
      <c r="L3" s="162"/>
      <c r="M3" s="163"/>
      <c r="N3" s="164"/>
      <c r="O3" s="16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66" t="s">
        <v>368</v>
      </c>
      <c r="B4" s="167"/>
      <c r="C4" s="167"/>
      <c r="D4" s="167"/>
      <c r="E4" s="168"/>
      <c r="F4" s="169" t="s">
        <v>369</v>
      </c>
      <c r="G4" s="170"/>
      <c r="H4" s="171" t="str">
        <f t="shared" ref="H4:H5" si="1">'[1]1-Prepar.'!H4</f>
        <v>#REF!</v>
      </c>
      <c r="I4" s="172"/>
      <c r="J4" s="172"/>
      <c r="K4" s="172"/>
      <c r="L4" s="173" t="s">
        <v>370</v>
      </c>
      <c r="M4" s="174">
        <v>44776.0</v>
      </c>
      <c r="N4" s="155"/>
      <c r="O4" s="17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69" t="s">
        <v>6</v>
      </c>
      <c r="B5" s="176"/>
      <c r="C5" s="170"/>
      <c r="D5" s="170"/>
      <c r="E5" s="170"/>
      <c r="F5" s="177" t="s">
        <v>371</v>
      </c>
      <c r="G5" s="178"/>
      <c r="H5" s="179" t="str">
        <f t="shared" si="1"/>
        <v>#REF!</v>
      </c>
      <c r="I5" s="180"/>
      <c r="J5" s="180"/>
      <c r="K5" s="180"/>
      <c r="L5" s="173" t="s">
        <v>372</v>
      </c>
      <c r="M5" s="181">
        <v>44848.0</v>
      </c>
      <c r="N5" s="155"/>
      <c r="O5" s="17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82" t="str">
        <f>'[1]1-Prepar.'!A6</f>
        <v>#REF!</v>
      </c>
      <c r="B6" s="183"/>
      <c r="C6" s="183"/>
      <c r="D6" s="184"/>
      <c r="E6" s="184"/>
      <c r="F6" s="185" t="s">
        <v>373</v>
      </c>
      <c r="G6" s="186"/>
      <c r="H6" s="186" t="s">
        <v>374</v>
      </c>
      <c r="I6" s="187"/>
      <c r="J6" s="187"/>
      <c r="K6" s="187"/>
      <c r="L6" s="188" t="s">
        <v>375</v>
      </c>
      <c r="M6" s="189">
        <v>10.0</v>
      </c>
      <c r="N6" s="190"/>
      <c r="O6" s="19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52"/>
      <c r="B7" s="152"/>
      <c r="C7" s="152"/>
      <c r="D7" s="152"/>
      <c r="E7" s="1"/>
      <c r="F7" s="1"/>
      <c r="G7" s="1"/>
      <c r="H7" s="1"/>
      <c r="I7" s="152"/>
      <c r="J7" s="152"/>
      <c r="K7" s="152"/>
      <c r="L7" s="152"/>
      <c r="M7" s="152"/>
      <c r="N7" s="152"/>
      <c r="O7" s="15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92" t="s">
        <v>376</v>
      </c>
      <c r="B8" s="167"/>
      <c r="C8" s="167"/>
      <c r="D8" s="167"/>
      <c r="E8" s="167"/>
      <c r="F8" s="193"/>
      <c r="G8" s="194" t="s">
        <v>377</v>
      </c>
      <c r="H8" s="24"/>
      <c r="I8" s="195" t="s">
        <v>378</v>
      </c>
      <c r="J8" s="196" t="s">
        <v>379</v>
      </c>
      <c r="K8" s="197" t="s">
        <v>380</v>
      </c>
      <c r="L8" s="16"/>
      <c r="M8" s="15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98"/>
      <c r="B9" s="199"/>
      <c r="C9" s="199"/>
      <c r="D9" s="199"/>
      <c r="E9" s="199"/>
      <c r="F9" s="199"/>
      <c r="G9" s="36"/>
      <c r="H9" s="38"/>
      <c r="I9" s="200"/>
      <c r="J9" s="201"/>
      <c r="K9" s="202" t="s">
        <v>381</v>
      </c>
      <c r="L9" s="202" t="s">
        <v>39</v>
      </c>
      <c r="M9" s="15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03" t="str">
        <f t="shared" ref="A10:F10" si="2">IF('[1]1-Prepar.'!A9="","",'[1]1-Prepar.'!A9)</f>
        <v>#REF!</v>
      </c>
      <c r="B10" s="204" t="str">
        <f t="shared" si="2"/>
        <v>#REF!</v>
      </c>
      <c r="C10" s="205" t="str">
        <f t="shared" si="2"/>
        <v>#REF!</v>
      </c>
      <c r="D10" s="204" t="str">
        <f t="shared" si="2"/>
        <v>#REF!</v>
      </c>
      <c r="E10" s="206" t="str">
        <f t="shared" si="2"/>
        <v>#REF!</v>
      </c>
      <c r="F10" s="207" t="str">
        <f t="shared" si="2"/>
        <v>#REF!</v>
      </c>
      <c r="G10" s="208" t="s">
        <v>53</v>
      </c>
      <c r="H10" s="84"/>
      <c r="I10" s="208" t="s">
        <v>54</v>
      </c>
      <c r="J10" s="208">
        <v>1.0</v>
      </c>
      <c r="K10" s="209">
        <v>2.91</v>
      </c>
      <c r="L10" s="209">
        <v>0.21</v>
      </c>
      <c r="M10" s="15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03" t="str">
        <f t="shared" ref="A11:F11" si="3">IF('[1]1-Prepar.'!A10="","",'[1]1-Prepar.'!A10)</f>
        <v>#REF!</v>
      </c>
      <c r="B11" s="204" t="str">
        <f t="shared" si="3"/>
        <v>#REF!</v>
      </c>
      <c r="C11" s="205" t="str">
        <f t="shared" si="3"/>
        <v>#REF!</v>
      </c>
      <c r="D11" s="204" t="str">
        <f t="shared" si="3"/>
        <v>#REF!</v>
      </c>
      <c r="E11" s="206" t="str">
        <f t="shared" si="3"/>
        <v>#REF!</v>
      </c>
      <c r="F11" s="207" t="str">
        <f t="shared" si="3"/>
        <v>#REF!</v>
      </c>
      <c r="G11" s="208" t="s">
        <v>58</v>
      </c>
      <c r="H11" s="84"/>
      <c r="I11" s="210" t="s">
        <v>59</v>
      </c>
      <c r="J11" s="210">
        <v>2.0</v>
      </c>
      <c r="K11" s="211">
        <v>1.39</v>
      </c>
      <c r="L11" s="211">
        <v>0.08</v>
      </c>
      <c r="M11" s="15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03" t="str">
        <f t="shared" ref="A12:F12" si="4">IF('[1]1-Prepar.'!A11="","",'[1]1-Prepar.'!A11)</f>
        <v>#REF!</v>
      </c>
      <c r="B12" s="204" t="str">
        <f t="shared" si="4"/>
        <v>#REF!</v>
      </c>
      <c r="C12" s="205" t="str">
        <f t="shared" si="4"/>
        <v>#REF!</v>
      </c>
      <c r="D12" s="204" t="str">
        <f t="shared" si="4"/>
        <v>#REF!</v>
      </c>
      <c r="E12" s="206" t="str">
        <f t="shared" si="4"/>
        <v>#REF!</v>
      </c>
      <c r="F12" s="207" t="str">
        <f t="shared" si="4"/>
        <v>#REF!</v>
      </c>
      <c r="G12" s="208" t="s">
        <v>63</v>
      </c>
      <c r="H12" s="84"/>
      <c r="I12" s="210" t="s">
        <v>54</v>
      </c>
      <c r="J12" s="210">
        <v>3.0</v>
      </c>
      <c r="K12" s="211">
        <v>2.36</v>
      </c>
      <c r="L12" s="211">
        <v>0.13</v>
      </c>
      <c r="M12" s="15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03" t="str">
        <f t="shared" ref="A13:F13" si="5">IF('[1]1-Prepar.'!A12="","",'[1]1-Prepar.'!A12)</f>
        <v>#REF!</v>
      </c>
      <c r="B13" s="204" t="str">
        <f t="shared" si="5"/>
        <v>#REF!</v>
      </c>
      <c r="C13" s="205" t="str">
        <f t="shared" si="5"/>
        <v>#REF!</v>
      </c>
      <c r="D13" s="204" t="str">
        <f t="shared" si="5"/>
        <v>#REF!</v>
      </c>
      <c r="E13" s="206" t="str">
        <f t="shared" si="5"/>
        <v>#REF!</v>
      </c>
      <c r="F13" s="207" t="str">
        <f t="shared" si="5"/>
        <v>#REF!</v>
      </c>
      <c r="G13" s="208" t="s">
        <v>58</v>
      </c>
      <c r="H13" s="84"/>
      <c r="I13" s="210" t="s">
        <v>59</v>
      </c>
      <c r="J13" s="210">
        <v>4.0</v>
      </c>
      <c r="K13" s="211">
        <v>1.6</v>
      </c>
      <c r="L13" s="211">
        <v>0.07</v>
      </c>
      <c r="M13" s="15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03" t="str">
        <f t="shared" ref="A14:F14" si="6">IF('[1]1-Prepar.'!A13="","",'[1]1-Prepar.'!A13)</f>
        <v>#REF!</v>
      </c>
      <c r="B14" s="204" t="str">
        <f t="shared" si="6"/>
        <v>#REF!</v>
      </c>
      <c r="C14" s="205" t="str">
        <f t="shared" si="6"/>
        <v>#REF!</v>
      </c>
      <c r="D14" s="204" t="str">
        <f t="shared" si="6"/>
        <v>#REF!</v>
      </c>
      <c r="E14" s="206" t="str">
        <f t="shared" si="6"/>
        <v>#REF!</v>
      </c>
      <c r="F14" s="207" t="str">
        <f t="shared" si="6"/>
        <v>#REF!</v>
      </c>
      <c r="G14" s="208" t="s">
        <v>67</v>
      </c>
      <c r="H14" s="84"/>
      <c r="I14" s="210" t="s">
        <v>54</v>
      </c>
      <c r="J14" s="210">
        <v>5.0</v>
      </c>
      <c r="K14" s="211">
        <v>1.49</v>
      </c>
      <c r="L14" s="211">
        <v>0.11</v>
      </c>
      <c r="M14" s="15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03" t="str">
        <f t="shared" ref="A15:F15" si="7">IF('[1]1-Prepar.'!A14="","",'[1]1-Prepar.'!A14)</f>
        <v>#REF!</v>
      </c>
      <c r="B15" s="204" t="str">
        <f t="shared" si="7"/>
        <v>#REF!</v>
      </c>
      <c r="C15" s="205" t="str">
        <f t="shared" si="7"/>
        <v>#REF!</v>
      </c>
      <c r="D15" s="204" t="str">
        <f t="shared" si="7"/>
        <v>#REF!</v>
      </c>
      <c r="E15" s="206" t="str">
        <f t="shared" si="7"/>
        <v>#REF!</v>
      </c>
      <c r="F15" s="207" t="str">
        <f t="shared" si="7"/>
        <v>#REF!</v>
      </c>
      <c r="G15" s="208" t="s">
        <v>58</v>
      </c>
      <c r="H15" s="84"/>
      <c r="I15" s="210" t="s">
        <v>59</v>
      </c>
      <c r="J15" s="210">
        <v>6.0</v>
      </c>
      <c r="K15" s="211">
        <v>1.4</v>
      </c>
      <c r="L15" s="211">
        <v>0.11</v>
      </c>
      <c r="M15" s="15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03" t="str">
        <f t="shared" ref="A16:F16" si="8">IF('[1]1-Prepar.'!A15="","",'[1]1-Prepar.'!A15)</f>
        <v>#REF!</v>
      </c>
      <c r="B16" s="204" t="str">
        <f t="shared" si="8"/>
        <v>#REF!</v>
      </c>
      <c r="C16" s="205" t="str">
        <f t="shared" si="8"/>
        <v>#REF!</v>
      </c>
      <c r="D16" s="204" t="str">
        <f t="shared" si="8"/>
        <v>#REF!</v>
      </c>
      <c r="E16" s="206" t="str">
        <f t="shared" si="8"/>
        <v>#REF!</v>
      </c>
      <c r="F16" s="207" t="str">
        <f t="shared" si="8"/>
        <v>#REF!</v>
      </c>
      <c r="G16" s="208" t="s">
        <v>70</v>
      </c>
      <c r="H16" s="84"/>
      <c r="I16" s="210" t="s">
        <v>54</v>
      </c>
      <c r="J16" s="210">
        <v>7.0</v>
      </c>
      <c r="K16" s="211">
        <v>1.85</v>
      </c>
      <c r="L16" s="211">
        <v>0.12</v>
      </c>
      <c r="M16" s="15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03" t="str">
        <f t="shared" ref="A17:F17" si="9">IF('[1]1-Prepar.'!A16="","",'[1]1-Prepar.'!A16)</f>
        <v>#REF!</v>
      </c>
      <c r="B17" s="204" t="str">
        <f t="shared" si="9"/>
        <v>#REF!</v>
      </c>
      <c r="C17" s="205" t="str">
        <f t="shared" si="9"/>
        <v>#REF!</v>
      </c>
      <c r="D17" s="204" t="str">
        <f t="shared" si="9"/>
        <v>#REF!</v>
      </c>
      <c r="E17" s="206" t="str">
        <f t="shared" si="9"/>
        <v>#REF!</v>
      </c>
      <c r="F17" s="207" t="str">
        <f t="shared" si="9"/>
        <v>#REF!</v>
      </c>
      <c r="G17" s="208" t="s">
        <v>58</v>
      </c>
      <c r="H17" s="84"/>
      <c r="I17" s="210" t="s">
        <v>59</v>
      </c>
      <c r="J17" s="210">
        <v>8.0</v>
      </c>
      <c r="K17" s="211">
        <v>1.26</v>
      </c>
      <c r="L17" s="211">
        <v>0.07</v>
      </c>
      <c r="M17" s="15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03" t="str">
        <f t="shared" ref="A18:F18" si="10">IF('[1]1-Prepar.'!A17="","",'[1]1-Prepar.'!A17)</f>
        <v>#REF!</v>
      </c>
      <c r="B18" s="204" t="str">
        <f t="shared" si="10"/>
        <v>#REF!</v>
      </c>
      <c r="C18" s="205" t="str">
        <f t="shared" si="10"/>
        <v>#REF!</v>
      </c>
      <c r="D18" s="204" t="str">
        <f t="shared" si="10"/>
        <v>#REF!</v>
      </c>
      <c r="E18" s="206" t="str">
        <f t="shared" si="10"/>
        <v>#REF!</v>
      </c>
      <c r="F18" s="207" t="str">
        <f t="shared" si="10"/>
        <v>#REF!</v>
      </c>
      <c r="G18" s="208" t="s">
        <v>73</v>
      </c>
      <c r="H18" s="84"/>
      <c r="I18" s="210" t="s">
        <v>54</v>
      </c>
      <c r="J18" s="210">
        <v>9.0</v>
      </c>
      <c r="K18" s="211">
        <v>1.43</v>
      </c>
      <c r="L18" s="211">
        <v>0.08</v>
      </c>
      <c r="M18" s="15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03" t="str">
        <f t="shared" ref="A19:F19" si="11">IF('[1]1-Prepar.'!A18="","",'[1]1-Prepar.'!A18)</f>
        <v>#REF!</v>
      </c>
      <c r="B19" s="204" t="str">
        <f t="shared" si="11"/>
        <v>#REF!</v>
      </c>
      <c r="C19" s="205" t="str">
        <f t="shared" si="11"/>
        <v>#REF!</v>
      </c>
      <c r="D19" s="204" t="str">
        <f t="shared" si="11"/>
        <v>#REF!</v>
      </c>
      <c r="E19" s="206" t="str">
        <f t="shared" si="11"/>
        <v>#REF!</v>
      </c>
      <c r="F19" s="207" t="str">
        <f t="shared" si="11"/>
        <v>#REF!</v>
      </c>
      <c r="G19" s="208" t="s">
        <v>58</v>
      </c>
      <c r="H19" s="84"/>
      <c r="I19" s="210" t="s">
        <v>59</v>
      </c>
      <c r="J19" s="210">
        <v>10.0</v>
      </c>
      <c r="K19" s="211">
        <v>1.72</v>
      </c>
      <c r="L19" s="211">
        <v>0.09</v>
      </c>
      <c r="M19" s="15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12" t="s">
        <v>382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152"/>
      <c r="M21" s="152"/>
      <c r="N21" s="152"/>
      <c r="O21" s="15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F2:K2"/>
    <mergeCell ref="A4:E4"/>
    <mergeCell ref="M4:N4"/>
    <mergeCell ref="M5:N5"/>
    <mergeCell ref="A8:F8"/>
    <mergeCell ref="G8:H9"/>
    <mergeCell ref="I8:I9"/>
    <mergeCell ref="G15:H15"/>
    <mergeCell ref="G16:H16"/>
    <mergeCell ref="G17:H17"/>
    <mergeCell ref="G18:H18"/>
    <mergeCell ref="G19:H19"/>
    <mergeCell ref="J8:J9"/>
    <mergeCell ref="K8:L8"/>
    <mergeCell ref="G10:H10"/>
    <mergeCell ref="G11:H11"/>
    <mergeCell ref="G12:H12"/>
    <mergeCell ref="G13:H13"/>
    <mergeCell ref="G14:H14"/>
  </mergeCells>
  <printOptions/>
  <pageMargins bottom="1.05277777777778" footer="0.0" header="0.0" left="0.7875" right="0.7875" top="1.05277777777778"/>
  <pageSetup paperSize="9" scale="80" orientation="portrait"/>
  <headerFooter>
    <oddHeader/>
    <oddFooter>&amp;CPágina 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2022-10-14T14:16:43Z</dcterms:created>
  <dc:creator>m295009</dc:creator>
</cp:coreProperties>
</file>