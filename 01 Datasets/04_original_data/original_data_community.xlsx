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bookViews>
    <workbookView xWindow="0" yWindow="0" windowWidth="23040" windowHeight="9780" activeTab="1"/>
  </bookViews>
  <sheets>
    <sheet name="principal" sheetId="1" r:id="rId1"/>
    <sheet name="regua_dom" sheetId="7" r:id="rId2"/>
    <sheet name="ML_dom" sheetId="5" r:id="rId3"/>
    <sheet name="Planilha1" sheetId="8" r:id="rId4"/>
  </sheets>
  <definedNames>
    <definedName name="_xlnm._FilterDatabase" localSheetId="0" hidden="1">principal!$A$1:$L$1315</definedName>
  </definedNames>
  <calcPr calcId="162913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2" i="1"/>
  <c r="K2" i="1" s="1"/>
  <c r="H4" i="1" l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3" i="1"/>
  <c r="I3" i="1" s="1"/>
  <c r="H2" i="1"/>
  <c r="I2" i="1" s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3" i="1"/>
  <c r="G2" i="1"/>
</calcChain>
</file>

<file path=xl/sharedStrings.xml><?xml version="1.0" encoding="utf-8"?>
<sst xmlns="http://schemas.openxmlformats.org/spreadsheetml/2006/main" count="2830" uniqueCount="189">
  <si>
    <t>site.parcela</t>
  </si>
  <si>
    <t>especie</t>
  </si>
  <si>
    <t>dens_madeira</t>
  </si>
  <si>
    <t>getwd</t>
  </si>
  <si>
    <t>altura</t>
  </si>
  <si>
    <t>dap</t>
  </si>
  <si>
    <t>idade_plantio_anos</t>
  </si>
  <si>
    <t>CSA1</t>
  </si>
  <si>
    <t>Bixa orellana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</si>
  <si>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</si>
  <si>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</si>
  <si>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</si>
  <si>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</si>
  <si>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</si>
  <si>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</si>
  <si>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</si>
  <si>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</si>
  <si>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</si>
  <si>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</si>
  <si>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Triplaris americana</t>
  </si>
  <si>
    <t>CSA2</t>
  </si>
  <si>
    <t>Anadenanthera colubrina</t>
  </si>
  <si>
    <t>Plathymenia reticulata</t>
  </si>
  <si>
    <t>Pterocarpus rohrii</t>
  </si>
  <si>
    <t>CSA3</t>
  </si>
  <si>
    <t>Machaerium hirtum</t>
  </si>
  <si>
    <t>Machaerium nyctitans</t>
  </si>
  <si>
    <t>Psidium guajava</t>
  </si>
  <si>
    <t>Pterogyne nitens</t>
  </si>
  <si>
    <t>Samanea saman</t>
  </si>
  <si>
    <t>CSA4</t>
  </si>
  <si>
    <t>Cassia ferruginea</t>
  </si>
  <si>
    <t>Enterolobium contortisiliquum</t>
  </si>
  <si>
    <t>Libidibia ferrea</t>
  </si>
  <si>
    <t>Pityrocarpa gonoacantha</t>
  </si>
  <si>
    <t>CSA5</t>
  </si>
  <si>
    <t>Inga vera</t>
  </si>
  <si>
    <t>Plinia cauliflora</t>
  </si>
  <si>
    <t>CSA6</t>
  </si>
  <si>
    <t>Cordia superba</t>
  </si>
  <si>
    <t>Eugenia uniflora</t>
  </si>
  <si>
    <t>Psidium cattleianum</t>
  </si>
  <si>
    <t>Schizolobium parahyba</t>
  </si>
  <si>
    <t>CSA7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</si>
  <si>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</si>
  <si>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</si>
  <si>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</si>
  <si>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</si>
  <si>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</si>
  <si>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</si>
  <si>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</si>
  <si>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</si>
  <si>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</si>
  <si>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</si>
  <si>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</si>
  <si>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</si>
  <si>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</si>
  <si>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</si>
  <si>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</si>
  <si>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</si>
  <si>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</si>
  <si>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</si>
  <si>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</si>
  <si>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</si>
  <si>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</si>
  <si>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</si>
  <si>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</si>
  <si>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</si>
  <si>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</si>
  <si>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</si>
  <si>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</si>
  <si>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</si>
  <si>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</si>
  <si>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</si>
  <si>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</si>
  <si>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</si>
  <si>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</si>
  <si>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</si>
  <si>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</si>
  <si>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</si>
  <si>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</si>
  <si>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</si>
  <si>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</si>
  <si>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</si>
  <si>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</si>
  <si>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</si>
  <si>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</si>
  <si>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</si>
  <si>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</si>
  <si>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</si>
  <si>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</si>
  <si>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</si>
  <si>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</si>
  <si>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</si>
  <si>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</si>
  <si>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</si>
  <si>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</si>
  <si>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</si>
  <si>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</si>
  <si>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</si>
  <si>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</si>
  <si>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</si>
  <si>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</si>
  <si>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</si>
  <si>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</si>
  <si>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</si>
  <si>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</si>
  <si>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</si>
  <si>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</si>
  <si>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</si>
  <si>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</si>
  <si>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</si>
  <si>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</si>
  <si>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</si>
  <si>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</si>
  <si>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</si>
  <si>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</si>
  <si>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</si>
  <si>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</si>
  <si>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</si>
  <si>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</si>
  <si>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</si>
  <si>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</si>
  <si>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</si>
  <si>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</si>
  <si>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</si>
  <si>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</si>
  <si>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</si>
  <si>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</si>
  <si>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</si>
  <si>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</si>
  <si>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</si>
  <si>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</si>
  <si>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</si>
  <si>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</si>
  <si>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</si>
  <si>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</si>
  <si>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</si>
  <si>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</si>
  <si>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</si>
  <si>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</si>
  <si>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</si>
  <si>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</si>
  <si>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</si>
  <si>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</si>
  <si>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</si>
  <si>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</si>
  <si>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</si>
  <si>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</si>
  <si>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</si>
  <si>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</si>
  <si>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</si>
  <si>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</si>
  <si>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</si>
  <si>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</si>
  <si>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</si>
  <si>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</si>
  <si>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</si>
  <si>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</si>
  <si>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</si>
  <si>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</si>
  <si>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</si>
  <si>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</si>
  <si>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</si>
  <si>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</si>
  <si>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</si>
  <si>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</si>
  <si>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</si>
  <si>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</si>
  <si>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</si>
  <si>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</si>
  <si>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</si>
  <si>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</si>
  <si>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</si>
  <si>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</si>
  <si>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</si>
  <si>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</si>
  <si>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area.transv.cm2</t>
  </si>
  <si>
    <t>biomassa_c_kg</t>
  </si>
  <si>
    <t>biomassa_z_kg</t>
  </si>
  <si>
    <t>produt_c_g.ano</t>
  </si>
  <si>
    <t>produt_z_g.ano</t>
  </si>
  <si>
    <t>Rótulos de Linha</t>
  </si>
  <si>
    <t>Total Geral</t>
  </si>
  <si>
    <t>Soma de area.transv.cm2</t>
  </si>
  <si>
    <t>(vazio)</t>
  </si>
  <si>
    <t>Soma de biomassa_z_kg</t>
  </si>
  <si>
    <t>Média de produt_z_g.ano</t>
  </si>
  <si>
    <t>Média de area.transv.cm2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</si>
</sst>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6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65" fontId="0" fillId="0" borderId="0" xfId="0" applyNumberFormat="1" applyFont="1"/>
    <xf numFmtId="164" fontId="16" fillId="0" borderId="0" xfId="0" applyNumberFormat="1" applyFont="1"/>
    <xf numFmtId="164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14" fillId="0" borderId="0" xfId="0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4" formatCode="0.00%"/>
    </dxf>
    <dxf>
      <numFmt numFmtId="0" formatCode="General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íla Arnauth" refreshedDate="45563.430295949074" createdVersion="6" refreshedVersion="6" minRefreshableVersion="3" recordCount="166">
  <cacheSource type="worksheet">
    <worksheetSource ref="A1:G167" sheet="Planilha3"/>
  </cacheSource>
  <cacheFields count="7">
    <cacheField name="site.parcela" numFmtId="0">
      <sharedItems count="10">
        <s v="ML11"/>
        <s v="ML12"/>
        <s v="ML13"/>
        <s v="ML14"/>
        <s v="ML15"/>
        <s v="ML21"/>
        <s v="ML22"/>
        <s v="ML23"/>
        <s v="ML24"/>
        <s v="ML25"/>
      </sharedItems>
    </cacheField>
    <cacheField name="especie" numFmtId="0">
      <sharedItems count="34">
        <s v="Anadenanthera colubrina"/>
        <s v="Pityrocarpa gonoacantha"/>
        <s v="Pityrocarpa paniculata"/>
        <s v="Inga laurina"/>
        <s v="Pseudobombax grandiflorum"/>
        <s v="Tapirira guianensis"/>
        <s v="Citharexylum myrianthum"/>
        <s v="Joannesia princeps"/>
        <s v="Cedrela fissilis"/>
        <s v="Schizolobium parahyba"/>
        <s v="Ceiba speciosa"/>
        <s v="Croton floribundus"/>
        <s v="Annona crassiflora"/>
        <s v="Cestrum laevigatum"/>
        <s v="Cinnamomum verum"/>
        <s v="Inga edulis"/>
        <s v="Mespilodaphne pulchella"/>
        <s v="Myrsine coriacea"/>
        <s v="Pleroma granulosum"/>
        <s v="Senna macranthera"/>
        <s v="Stryphnodendron adstringens"/>
        <s v="Aegiphila integrifolia"/>
        <s v="Alchornea glandulosa"/>
        <s v="Moquiniastrum polymorphum"/>
        <s v="Pterocarpus rohrii"/>
        <s v="Trema micranthum"/>
        <s v="Cecropia pachystachya"/>
        <s v="Centrolobium tomentosum"/>
        <s v="Cupania vernalis"/>
        <s v="Guarea guidonia"/>
        <s v="Plathymenia reticulata"/>
        <s v="Psidium guajava"/>
        <s v="Psidium sartorianum"/>
        <s v="Luehea divaricata"/>
      </sharedItems>
    </cacheField>
    <cacheField name="dens_madeira" numFmtId="165">
      <sharedItems containsSemiMixedTypes="0" containsString="0" containsNumber="1" minValue="0.28577490700000002" maxValue="0.98708677300000003"/>
    </cacheField>
    <cacheField name="getwd" numFmtId="165">
      <sharedItems containsSemiMixedTypes="0" containsString="0" containsNumber="1" minValue="0.28861111099999998" maxValue="0.87473809499999999"/>
    </cacheField>
    <cacheField name="altura" numFmtId="0">
      <sharedItems containsSemiMixedTypes="0" containsString="0" containsNumber="1" minValue="2" maxValue="13"/>
    </cacheField>
    <cacheField name="dap" numFmtId="0">
      <sharedItems containsSemiMixedTypes="0" containsString="0" containsNumber="1" minValue="3.9490445859872612" maxValue="114.11210191082803"/>
    </cacheField>
    <cacheField name="area.transv.cm2" numFmtId="164">
      <sharedItems containsSemiMixedTypes="0" containsString="0" containsNumber="1" minValue="12.248247556086621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aíla Arnauth" refreshedDate="45563.434315393519" createdVersion="6" refreshedVersion="6" minRefreshableVersion="3" recordCount="233">
  <cacheSource type="worksheet">
    <worksheetSource ref="A1:G234" sheet="Planilha5"/>
  </cacheSource>
  <cacheFields count="7">
    <cacheField name="site.parcela" numFmtId="0">
      <sharedItems/>
    </cacheField>
    <cacheField name="especie" numFmtId="0">
      <sharedItems count="46">
        <s v="Apuleia leiocarpa"/>
        <s v="Centrolobium tomentosum"/>
        <s v="Citharexylum myrianthum"/>
        <s v="Dalbergia nigra"/>
        <s v="Enterolobium contortisiliquum"/>
        <s v="Handroanthus albus"/>
        <s v="Handroanthus heptaphyllus"/>
        <s v="Inga edulis"/>
        <s v="Inga laurina"/>
        <s v="Pityrocarpa gonoacantha"/>
        <s v="Pleroma granulosum"/>
        <s v="Schinus terebinthifolia"/>
        <s v="Anadenanthera colubrina"/>
        <s v="Cecropia pachystachya"/>
        <s v="Ceiba speciosa"/>
        <s v="Cenostigma pluviosum"/>
        <s v="Genipa americana"/>
        <s v="Hymenaea courbaril"/>
        <s v="Machaerium nyctitans"/>
        <s v="Pseudobombax grandiflorum"/>
        <s v="Pterygota brasiliensis"/>
        <s v="Schizolobium parahyba"/>
        <s v="Peltophorum dubium"/>
        <s v="Aegiphila integrifolia"/>
        <s v="Myrsine coriacea"/>
        <s v="Gallesia integrifolia"/>
        <s v="Guarea guidonia"/>
        <s v="Libidibia ferrea"/>
        <s v="Moquiniastrum polymorphum"/>
        <s v="Paubrasilia echinata"/>
        <s v="Plathymenia reticulata"/>
        <s v="Psidium cattleianum"/>
        <s v="Sapindus saponaria"/>
        <s v="Senna multijuga"/>
        <s v="Solanum lycocarpum"/>
        <s v="Jacaratia spinosa"/>
        <s v="Pterogyne nitens"/>
        <s v="Trema micranthum"/>
        <s v="Baccharis dracunculifolia"/>
        <s v="Eugenia uniflora"/>
        <s v="Lecythis pisonis"/>
        <s v="Zeyheria tuberculosa"/>
        <s v="Cordia superba"/>
        <s v="Miconia albicans"/>
        <s v="Solanum pseudoquina"/>
        <s v="Spondias mombin"/>
      </sharedItems>
    </cacheField>
    <cacheField name="dens_madeira" numFmtId="165">
      <sharedItems containsSemiMixedTypes="0" containsString="0" containsNumber="1" minValue="0.13069240100000001" maxValue="1082380952"/>
    </cacheField>
    <cacheField name="getwd" numFmtId="165">
      <sharedItems containsSemiMixedTypes="0" containsString="0" containsNumber="1" minValue="0.26500000000000001" maxValue="0.90500000000000003"/>
    </cacheField>
    <cacheField name="altura" numFmtId="0">
      <sharedItems containsSemiMixedTypes="0" containsString="0" containsNumber="1" minValue="1.2" maxValue="15.5"/>
    </cacheField>
    <cacheField name="dap" numFmtId="164">
      <sharedItems containsSemiMixedTypes="0" containsString="0" containsNumber="1" minValue="1.592356687898089" maxValue="49.681528662420384"/>
    </cacheField>
    <cacheField name="area.transv.cm2" numFmtId="164">
      <sharedItems containsSemiMixedTypes="0" containsString="0" containsNumber="1" minValue="1.9914554429121063" maxValue="1938.5623863483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aíla Arnauth" refreshedDate="45671.691471874998" createdVersion="6" refreshedVersion="6" minRefreshableVersion="3" recordCount="1315">
  <cacheSource type="worksheet">
    <worksheetSource ref="A1:K1048576" sheet="principal"/>
  </cacheSource>
  <cacheFields count="11">
    <cacheField name="site.parcela" numFmtId="0">
      <sharedItems containsBlank="1" count="73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  <m/>
      </sharedItems>
    </cacheField>
    <cacheField name="especie" numFmtId="0">
      <sharedItems containsBlank="1" count="99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  <m/>
      </sharedItems>
    </cacheField>
    <cacheField name="dens_madeira" numFmtId="0">
      <sharedItems containsString="0" containsBlank="1" containsNumber="1" minValue="0.13069240100000001" maxValue="1187461538"/>
    </cacheField>
    <cacheField name="getwd" numFmtId="0">
      <sharedItems containsString="0" containsBlank="1" containsNumber="1" minValue="0.26500000000000001" maxValue="0.95"/>
    </cacheField>
    <cacheField name="altura" numFmtId="0">
      <sharedItems containsString="0" containsBlank="1" containsNumber="1" minValue="0.77" maxValue="16"/>
    </cacheField>
    <cacheField name="dap" numFmtId="0">
      <sharedItems containsString="0" containsBlank="1" containsNumber="1" minValue="0.46178343949044581" maxValue="114.11210191082803"/>
    </cacheField>
    <cacheField name="area.transv.cm2" numFmtId="0">
      <sharedItems containsString="0" containsBlank="1" containsNumber="1" minValue="0.16748140274890813" maxValue="10227.118578237156"/>
    </cacheField>
    <cacheField name="biomassa_c_kg" numFmtId="0">
      <sharedItems containsString="0" containsBlank="1" containsNumber="1" minValue="1.361841788557773E-2" maxValue="3869.2953155607574"/>
    </cacheField>
    <cacheField name="produt_c_g.ano" numFmtId="0">
      <sharedItems containsString="0" containsBlank="1" containsNumber="1" minValue="2.7236835771155459" maxValue="773859.06311215158"/>
    </cacheField>
    <cacheField name="biomassa_z_kg" numFmtId="0">
      <sharedItems containsString="0" containsBlank="1" containsNumber="1" minValue="8.9867822130208115" maxValue="464.74071308775211"/>
    </cacheField>
    <cacheField name="produt_z_g.ano" numFmtId="0">
      <sharedItems containsString="0" containsBlank="1" containsNumber="1" minValue="1127.2393494665098" maxValue="92948.142617550417" count="1267">
        <n v="1150.945623047588"/>
        <n v="1146.6858153474786"/>
        <n v="1128.6481921173272"/>
        <n v="1218.3371120532272"/>
        <n v="1497.6096611424396"/>
        <n v="1129.6022115501642"/>
        <n v="1127.2393494665098"/>
        <n v="1158.0009295508944"/>
        <n v="1470.7529047831556"/>
        <n v="1778.2577731348126"/>
        <n v="1187.9083294454135"/>
        <n v="1193.0999700799221"/>
        <n v="3305.9558966641644"/>
        <n v="10048.940660878736"/>
        <n v="1764.4023048602376"/>
        <n v="9542.0124513164828"/>
        <n v="1187.1761749969571"/>
        <n v="1152.5541441843482"/>
        <n v="1161.5507693009858"/>
        <n v="2604.9655313095864"/>
        <n v="1139.2422451215059"/>
        <n v="1150.0581631100652"/>
        <n v="1207.5766603107631"/>
        <n v="1142.7809916223782"/>
        <n v="2340.422376668424"/>
        <n v="1253.7467635603878"/>
        <n v="1325.986446204714"/>
        <n v="3205.3044459207267"/>
        <n v="3162.9681696011999"/>
        <n v="4344.266092437826"/>
        <n v="1275.0679885593736"/>
        <n v="1331.5048939612154"/>
        <n v="1238.7209574932047"/>
        <n v="1183.9591327234368"/>
        <n v="1128.2743496186458"/>
        <n v="1229.5191072660148"/>
        <n v="1189.6144711753011"/>
        <n v="1143.2158469917645"/>
        <n v="1375.5062669885187"/>
        <n v="1307.7764338816992"/>
        <n v="1176.5155624974643"/>
        <n v="9062.8284580510372"/>
        <n v="3539.3221799058779"/>
        <n v="7926.8353650249501"/>
        <n v="1247.4568912531947"/>
        <n v="1180.0099360014603"/>
        <n v="1148.1412496450162"/>
        <n v="1309.6900193719825"/>
        <n v="1436.3083659580509"/>
        <n v="1325.3869670169174"/>
        <n v="1137.411859000365"/>
        <n v="1163.6473934033836"/>
        <n v="1135.2393570733093"/>
        <n v="1166.1655609761044"/>
        <n v="1806.4355136110999"/>
        <n v="1801.6589823623676"/>
        <n v="1486.7160904093471"/>
        <n v="1188.1080079313563"/>
        <n v="1166.8329308491216"/>
        <n v="1161.2392708629154"/>
        <n v="1140.9616987504562"/>
        <n v="1242.8704982960767"/>
        <n v="1366.7315068562618"/>
        <n v="4394.7448136841249"/>
        <n v="3161.1311275305284"/>
        <n v="1195.0967549393483"/>
        <n v="1166.1540239969165"/>
        <n v="1173.9148611505536"/>
        <n v="1197.5128646192543"/>
        <n v="1506.9945499817436"/>
        <n v="1238.2273079029576"/>
        <n v="1362.8266831311614"/>
        <n v="1564.233053572153"/>
        <n v="1130.8224689642582"/>
        <n v="1372.4999964501601"/>
        <n v="1907.372100795164"/>
        <n v="1189.6555161974115"/>
        <n v="1584.8691594993711"/>
        <n v="1728.7051163333197"/>
        <n v="1746.4259163657755"/>
        <n v="5529.4617393200524"/>
        <n v="1440.1022571909609"/>
        <n v="4430.2875841819141"/>
        <n v="1952.8412881861332"/>
        <n v="2003.8433889305854"/>
        <n v="1656.9311282912086"/>
        <n v="1164.2486475110552"/>
        <n v="2266.271992778612"/>
        <n v="1514.6599851920969"/>
        <n v="5858.7874726155214"/>
        <n v="7311.2391947949181"/>
        <n v="1993.0119847661163"/>
        <n v="1354.9061031887704"/>
        <n v="1397.0992765933706"/>
        <n v="1160.707682360339"/>
        <n v="2508.1824784981131"/>
        <n v="1475.4812913302771"/>
        <n v="1451.2953456529676"/>
        <n v="4180.7893159965924"/>
        <n v="12806.445085500423"/>
        <n v="3564.4372961377744"/>
        <n v="1545.7321762546148"/>
        <n v="1331.9430773053673"/>
        <n v="2919.6000309343176"/>
        <n v="4395.4075687654667"/>
        <n v="3128.8155607225444"/>
        <n v="1916.6105587447764"/>
        <n v="1333.4739456975942"/>
        <n v="1622.4087148565864"/>
        <n v="1263.7861541036145"/>
        <n v="1276.5655772039433"/>
        <n v="1139.0569878595479"/>
        <n v="1381.9958177816543"/>
        <n v="1628.4600823055703"/>
        <n v="1529.4703603594467"/>
        <n v="1216.662031421153"/>
        <n v="3251.3858031765999"/>
        <n v="1140.5457019047424"/>
        <n v="1164.8121845713822"/>
        <n v="1468.2569237088726"/>
        <n v="6108.9624290032052"/>
        <n v="1134.5719872002919"/>
        <n v="1341.3335127692808"/>
        <n v="1144.520413099923"/>
        <n v="1143.1803485942633"/>
        <n v="7785.9067269463267"/>
        <n v="4062.8347970505906"/>
        <n v="1290.9978944379081"/>
        <n v="1182.267412217534"/>
        <n v="1316.2905026573087"/>
        <n v="1141.2334833563227"/>
        <n v="1548.4389290640595"/>
        <n v="1347.1186422370076"/>
        <n v="7669.69917288734"/>
        <n v="7883.5273200738366"/>
        <n v="4860.0436087670896"/>
        <n v="1760.3421756460707"/>
        <n v="2443.5864882956712"/>
        <n v="1431.4162430524564"/>
        <n v="1310.7605179216196"/>
        <n v="1289.6112382855288"/>
        <n v="1159.6039040630451"/>
        <n v="1172.713240395148"/>
        <n v="1153.1642728913951"/>
        <n v="1139.159045752363"/>
        <n v="1142.4481941458071"/>
        <n v="1144.6890304880521"/>
        <n v="13919.009236175911"/>
        <n v="3743.3935925392507"/>
        <n v="2549.7655231956669"/>
        <n v="9433.0323709886798"/>
        <n v="3667.1940636536979"/>
        <n v="1179.1890355592518"/>
        <n v="4047.314897663191"/>
        <n v="1677.8749609517627"/>
        <n v="1225.7695890299808"/>
        <n v="1460.6691412430523"/>
        <n v="1357.945653474786"/>
        <n v="1232.2147668262405"/>
        <n v="1162.1755410970018"/>
        <n v="1621.1884574424923"/>
        <n v="1827.6781984056147"/>
        <n v="1607.8432786319929"/>
        <n v="1698.8855749726156"/>
        <n v="1562.0685387845347"/>
        <n v="1146.6512044099152"/>
        <n v="1258.195156497221"/>
        <n v="1779.5778697918779"/>
        <n v="2338.056408474989"/>
        <n v="1404.4263677025438"/>
        <n v="1341.33905939389"/>
        <n v="1180.7438653697918"/>
        <n v="1160.914460525782"/>
        <n v="3532.509754959633"/>
        <n v="2719.6470374051682"/>
        <n v="5835.4620806117891"/>
        <n v="2289.6744725952371"/>
        <n v="2282.8703172542496"/>
        <n v="4836.4590784616012"/>
        <n v="3117.2406263945795"/>
        <n v="10273.6110673861"/>
        <n v="4031.1708314738935"/>
        <n v="23533.54180747698"/>
        <n v="2937.5362012657715"/>
        <n v="2779.7378372347762"/>
        <n v="5629.8731114852526"/>
        <n v="2668.2458015538155"/>
        <n v="3633.0718340500625"/>
        <n v="2355.1388423465455"/>
        <n v="2605.3989948882304"/>
        <n v="4024.4021745304062"/>
        <n v="3352.7219085966972"/>
        <n v="5491.2003965678114"/>
        <n v="18984.961299647039"/>
        <n v="14277.829418029127"/>
        <n v="2932.5646506957687"/>
        <n v="3733.9897845754385"/>
        <n v="14993.019182319773"/>
        <n v="4870.4709805671628"/>
        <n v="2801.9518469309096"/>
        <n v="2613.0706423181468"/>
        <n v="2548.4387099882347"/>
        <n v="2432.5821463345369"/>
        <n v="2613.2503529554947"/>
        <n v="3032.2987296644892"/>
        <n v="2479.1214329181707"/>
        <n v="7068.10754797355"/>
        <n v="10108.765383991236"/>
        <n v="5227.6088208446581"/>
        <n v="16716.853313521853"/>
        <n v="3054.9626815489473"/>
        <n v="17198.926876343874"/>
        <n v="19590.721928881489"/>
        <n v="9146.4659499371173"/>
        <n v="5154.3206042841493"/>
        <n v="3478.3667116313027"/>
        <n v="2637.8347681447522"/>
        <n v="3094.1320570814232"/>
        <n v="2497.7067964217613"/>
        <n v="2261.8029057973954"/>
        <n v="2599.2968203578239"/>
        <n v="2389.5829374416812"/>
        <n v="3348.7833613939711"/>
        <n v="8034.9405711185045"/>
        <n v="10075.563289078664"/>
        <n v="2688.7669814191245"/>
        <n v="10222.062956915086"/>
        <n v="4063.7308491216677"/>
        <n v="22481.399035457827"/>
        <n v="2752.5540518885146"/>
        <n v="2635.1750507119964"/>
        <n v="5967.8782029696949"/>
        <n v="34336.095980567166"/>
        <n v="2314.0281482007385"/>
        <n v="7308.2746186457862"/>
        <n v="2539.5042070672239"/>
        <n v="11538.031150350927"/>
        <n v="6887.8036436569428"/>
        <n v="2286.7920027181626"/>
        <n v="2822.7823065844459"/>
        <n v="2431.0876637997485"/>
        <n v="3217.0252905797392"/>
        <n v="2356.3129518438882"/>
        <n v="2263.1234461844292"/>
        <n v="2654.9884812771306"/>
        <n v="2801.0874609517623"/>
        <n v="7066.8322680433275"/>
        <n v="5569.2746845713818"/>
        <n v="9715.1112296644878"/>
        <n v="3834.8291948963442"/>
        <n v="2531.877376364153"/>
        <n v="3862.2233082477992"/>
        <n v="16429.673940119268"/>
        <n v="4735.7545620511983"/>
        <n v="3910.3112124224103"/>
        <n v="10666.084012536006"/>
        <n v="8709.618232991199"/>
        <n v="4811.0209268124463"/>
        <n v="1583.6714285714284"/>
        <n v="1512.6928898883177"/>
        <n v="1379.1012634531683"/>
        <n v="2284.4247552783936"/>
        <n v="1331.6513161936443"/>
        <n v="1294.1520768735907"/>
        <n v="2268.7854291394028"/>
        <n v="3354.6225827764674"/>
        <n v="5156.9847475701699"/>
        <n v="7063.43531351605"/>
        <n v="6788.0275890647545"/>
        <n v="20790.621000562176"/>
        <n v="9221.5337657859218"/>
        <n v="16506.553949160498"/>
        <n v="1348.5300435253823"/>
        <n v="1345.7999631975797"/>
        <n v="2457.068929484245"/>
        <n v="2877.7766661064197"/>
        <n v="3018.9710350463361"/>
        <n v="4308.2870316384906"/>
        <n v="1587.505255501527"/>
        <n v="7667.2808042053284"/>
        <n v="1635.9042777742359"/>
        <n v="1652.1569655100466"/>
        <n v="1566.7204366447784"/>
        <n v="3432.3326318656809"/>
        <n v="6516.8794187535832"/>
        <n v="6489.5859687150432"/>
        <n v="4519.439613893348"/>
        <n v="1349.3967115443686"/>
        <n v="1328.9592698631645"/>
        <n v="1691.3984154674488"/>
        <n v="4792.5358855473696"/>
        <n v="1568.2291185385673"/>
        <n v="2120.9792301049592"/>
        <n v="5822.2145743379897"/>
        <n v="14795.88287731174"/>
        <n v="5236.9920500976559"/>
        <n v="5598.0290090006547"/>
        <n v="1854.1479184898835"/>
        <n v="1433.3960624308143"/>
        <n v="1406.4999408843012"/>
        <n v="1411.5417275693594"/>
        <n v="2281.7484296668076"/>
        <n v="8428.8345183519468"/>
        <n v="1531.142928429435"/>
        <n v="1475.426165071895"/>
        <n v="2465.5160267295691"/>
        <n v="2210.6091339550144"/>
        <n v="1664.9729012478051"/>
        <n v="1596.6848875352807"/>
        <n v="1353.9962896205582"/>
        <n v="1445.1394394440808"/>
        <n v="1569.6475330787107"/>
        <n v="1880.802143813426"/>
        <n v="1365.557103446677"/>
        <n v="1548.2080223480521"/>
        <n v="1370.4523324620529"/>
        <n v="1782.8676434280148"/>
        <n v="2449.219726676828"/>
        <n v="4425.3810313950717"/>
        <n v="1758.1896646053447"/>
        <n v="2123.5635134430258"/>
        <n v="2689.430282886005"/>
        <n v="1614.9112861721424"/>
        <n v="1399.3708484261895"/>
        <n v="1384.45847875602"/>
        <n v="1919.8676231432162"/>
        <n v="2407.8874211066222"/>
        <n v="4622.9384880870293"/>
        <n v="3669.6079777214954"/>
        <n v="3950.5788081811488"/>
        <n v="7867.6941069762315"/>
        <n v="32934.632928023741"/>
        <n v="1532.0816074833517"/>
        <n v="2262.0960096903377"/>
        <n v="1529.3398633963709"/>
        <n v="10985.827702659621"/>
        <n v="11379.074893215022"/>
        <n v="4734.1704346162969"/>
        <n v="12425.097044215061"/>
        <n v="10163.934319560922"/>
        <n v="3423.6101684797404"/>
        <n v="3195.4934091791615"/>
        <n v="1434.9828407991049"/>
        <n v="2177.5129637249843"/>
        <n v="2595.8316581953482"/>
        <n v="2206.7474154268789"/>
        <n v="2363.8612942860623"/>
        <n v="1368.5861309934335"/>
        <n v="2295.9295323484575"/>
        <n v="1506.6021985352354"/>
        <n v="1760.2480107273784"/>
        <n v="1674.1466475976893"/>
        <n v="8024.8348106612948"/>
        <n v="6618.7385515912683"/>
        <n v="4215.4627256781887"/>
        <n v="6623.8795128344036"/>
        <n v="11120.768383595061"/>
        <n v="2388.6299934734316"/>
        <n v="2422.2978571152207"/>
        <n v="2147.0669488156095"/>
        <n v="2022.4912391960104"/>
        <n v="2281.2881639629363"/>
        <n v="2310.3779174178721"/>
        <n v="2195.54355990365"/>
        <n v="2304.9401548608816"/>
        <n v="2847.2941388849795"/>
        <n v="2118.1404876842403"/>
        <n v="1584.0055668164705"/>
        <n v="1997.5524314711886"/>
        <n v="1698.4713328464979"/>
        <n v="2066.9878886229326"/>
        <n v="3752.1465157477651"/>
        <n v="17164.93794068725"/>
        <n v="15810.077702949406"/>
        <n v="18413.246188486348"/>
        <n v="6391.0607042882066"/>
        <n v="15488.545642825266"/>
        <n v="1772.8032022935347"/>
        <n v="1967.2604656037431"/>
        <n v="1544.5810465603743"/>
        <n v="1514.315112851096"/>
        <n v="7645.4279369007536"/>
        <n v="8858.5643724559486"/>
        <n v="13333.762149242028"/>
        <n v="12595.825603472753"/>
        <n v="20481.666814069536"/>
        <n v="9591.6062808497991"/>
        <n v="11232.470007572991"/>
        <n v="7184.0244993035558"/>
        <n v="7631.7397548244007"/>
        <n v="2872.1382835003446"/>
        <n v="16211.282366424595"/>
        <n v="5544.6114737582329"/>
        <n v="2140.0075006423517"/>
        <n v="1913.002484380705"/>
        <n v="1570.9232240658848"/>
        <n v="2025.9659404708775"/>
        <n v="1609.8673326842199"/>
        <n v="2082.3867976388497"/>
        <n v="2738.3755885972387"/>
        <n v="2077.4238258482424"/>
        <n v="2079.8791316753891"/>
        <n v="1588.736615751822"/>
        <n v="2166.25028263486"/>
        <n v="1832.1855132730198"/>
        <n v="3130.6879034984509"/>
        <n v="2065.5910266812716"/>
        <n v="1947.5091572342353"/>
        <n v="2583.5883761342579"/>
        <n v="3024.6346660445993"/>
        <n v="2743.227036255696"/>
        <n v="3006.66774378947"/>
        <n v="3820.9909245811191"/>
        <n v="5495.0249455691237"/>
        <n v="1597.0713436650574"/>
        <n v="2180.1928698933016"/>
        <n v="2934.3829485983206"/>
        <n v="2163.1725715715306"/>
        <n v="4167.1008918549769"/>
        <n v="1529.4871279429863"/>
        <n v="1525.0022012387251"/>
        <n v="6266.2915283919547"/>
        <n v="1588.2115352887877"/>
        <n v="6043.304794650222"/>
        <n v="2545.448306219319"/>
        <n v="1524.4694294562323"/>
        <n v="1578.4716624744749"/>
        <n v="1632.5993231638877"/>
        <n v="1513.5294149864092"/>
        <n v="33444.300102100155"/>
        <n v="21233.792660959876"/>
        <n v="1780.9317436812853"/>
        <n v="1673.9940044897021"/>
        <n v="4574.9183151446314"/>
        <n v="2073.8165970221912"/>
        <n v="2046.3461621161098"/>
        <n v="4188.4709271505271"/>
        <n v="1657.1606643947689"/>
        <n v="4355.1382699771448"/>
        <n v="4056.2062646219583"/>
        <n v="5391.3128274304554"/>
        <n v="2370.1477531204782"/>
        <n v="1336.982414818335"/>
        <n v="1503.2361167940744"/>
        <n v="1977.1823215082618"/>
        <n v="4171.8352486046952"/>
        <n v="3106.6743901520199"/>
        <n v="1601.7695258573224"/>
        <n v="1460.201409503718"/>
        <n v="1527.9731750925857"/>
        <n v="2142.9598378375244"/>
        <n v="1843.1581217435653"/>
        <n v="1508.8428351193616"/>
        <n v="2935.0325385556062"/>
        <n v="2792.6702723379099"/>
        <n v="2488.6898877381286"/>
        <n v="3528.8968941075555"/>
        <n v="2697.8578560127039"/>
        <n v="1560.6033020754246"/>
        <n v="1432.8534440690146"/>
        <n v="3547.4914618384973"/>
        <n v="2339.8565172159983"/>
        <n v="1786.3449650232119"/>
        <n v="1431.4015596112272"/>
        <n v="1388.1609616153653"/>
        <n v="1344.4180612948655"/>
        <n v="1345.0491720904354"/>
        <n v="2040.7974783097548"/>
        <n v="1299.0227105706981"/>
        <n v="2468.4334878841796"/>
        <n v="9454.4876888659637"/>
        <n v="10619.90819274036"/>
        <n v="1607.4310131387535"/>
        <n v="1292.4435897138683"/>
        <n v="1364.5134505601502"/>
        <n v="1327.6387294761305"/>
        <n v="1317.7904597694487"/>
        <n v="1343.3148218125336"/>
        <n v="1707.9634891012672"/>
        <n v="1915.841090626684"/>
        <n v="1507.0524480854049"/>
        <n v="1949.2273334762926"/>
        <n v="1627.5690004810392"/>
        <n v="1513.7771123719883"/>
        <n v="1538.0539593028984"/>
        <n v="1694.0329036819808"/>
        <n v="1827.1255240722603"/>
        <n v="1327.704249375518"/>
        <n v="1476.3886787641343"/>
        <n v="1346.6500483937339"/>
        <n v="1498.9621097349645"/>
        <n v="1422.8251467750067"/>
        <n v="3764.7325263847274"/>
        <n v="2104.599762378074"/>
        <n v="2430.7646169360678"/>
        <n v="2116.1960746016935"/>
        <n v="3921.3585558382542"/>
        <n v="2915.4249986959776"/>
        <n v="1538.4713190335162"/>
        <n v="2280.8214143720693"/>
        <n v="1726.0134099905531"/>
        <n v="2167.5850761839079"/>
        <n v="3068.1084239870643"/>
        <n v="2044.306748462702"/>
        <n v="2058.4249682687791"/>
        <n v="1355.3799664431476"/>
        <n v="11785.808939220946"/>
        <n v="9206.18958346615"/>
        <n v="2633.9087607147203"/>
        <n v="3817.7681464910193"/>
        <n v="1687.8815385150369"/>
        <n v="11931.167270187723"/>
        <n v="1667.1301895759318"/>
        <n v="3064.3471152118605"/>
        <n v="1882.7068863993322"/>
        <n v="1903.3831538804818"/>
        <n v="4467.3457892815122"/>
        <n v="1861.8358294454138"/>
        <n v="1902.1584591667004"/>
        <n v="2612.3074510122115"/>
        <n v="9157.8200478721246"/>
        <n v="13065.933054484969"/>
        <n v="4596.1403651263754"/>
        <n v="3125.506363747008"/>
        <n v="2462.871266988519"/>
        <n v="2038.4325473650047"/>
        <n v="3837.3802227270885"/>
        <n v="1855.3087390969206"/>
        <n v="5784.9589784575428"/>
        <n v="5920.0885983204171"/>
        <n v="2166.465327599497"/>
        <n v="4354.3934382733569"/>
        <n v="9503.2386246906572"/>
        <n v="13419.811254411936"/>
        <n v="19416.949931437379"/>
        <n v="10787.588395472432"/>
        <n v="5125.992286096799"/>
        <n v="4430.7490713619209"/>
        <n v="7722.760410564324"/>
        <n v="1980.0596924824536"/>
        <n v="1883.1902454460626"/>
        <n v="1837.0533331981012"/>
        <n v="12209.904818045357"/>
        <n v="1913.1132646354822"/>
        <n v="1853.8628893667087"/>
        <n v="2251.1968075784007"/>
        <n v="2348.2029234451702"/>
        <n v="10667.672678810499"/>
        <n v="6847.8463166862766"/>
        <n v="2251.2216564566515"/>
        <n v="2123.9907850217046"/>
        <n v="2048.3124613574591"/>
        <n v="2132.5231798450241"/>
        <n v="2024.3616925635929"/>
        <n v="4519.0548849851912"/>
        <n v="5408.3209809728596"/>
        <n v="8250.1033047993842"/>
        <n v="10016.135091078748"/>
        <n v="4668.4250419895325"/>
        <n v="1884.1110738772363"/>
        <n v="1870.6529214166901"/>
        <n v="4504.8967041259275"/>
        <n v="2466.5141125400623"/>
        <n v="2820.6312166822181"/>
        <n v="3030.5304012333158"/>
        <n v="3372.4048180453565"/>
        <n v="3435.0019822305162"/>
        <n v="3306.3643093026089"/>
        <n v="1915.3624431011399"/>
        <n v="1930.2589906284229"/>
        <n v="1943.4253462615113"/>
        <n v="1942.590778936265"/>
        <n v="2009.8023798125682"/>
        <n v="3014.7009558197087"/>
        <n v="2179.0459596738201"/>
        <n v="2241.5614775447275"/>
        <n v="2106.0648042516941"/>
        <n v="1905.1676583228527"/>
        <n v="1989.8572501927058"/>
        <n v="2862.5058363422445"/>
        <n v="2091.7866388088764"/>
        <n v="2030.7638285528824"/>
        <n v="4927.3602929124918"/>
        <n v="1877.3010613006613"/>
        <n v="1981.8026637997486"/>
        <n v="7790.0760217453035"/>
        <n v="4815.5886186052176"/>
        <n v="12458.506840439773"/>
        <n v="5689.6724049657187"/>
        <n v="4037.1400000000003"/>
        <n v="2842.1187516734958"/>
        <n v="1840.1044204633049"/>
        <n v="1995.8855880563108"/>
        <n v="2069.8060310763112"/>
        <n v="48829.95364058041"/>
        <n v="1956.8612100558505"/>
        <n v="2131.6464447509702"/>
        <n v="3277.7542145049829"/>
        <n v="3423.5798565188584"/>
        <n v="3808.7102539656785"/>
        <n v="6829.9543891232906"/>
        <n v="10302.275726533868"/>
        <n v="13072.61696877493"/>
        <n v="3033.1122750077757"/>
        <n v="9266.0416027695501"/>
        <n v="4375.6344530542146"/>
        <n v="1538.8516052037269"/>
        <n v="2247.1733880346733"/>
        <n v="4064.1323793561601"/>
        <n v="2988.5493617050047"/>
        <n v="6056.9474204497819"/>
        <n v="8123.3574669695854"/>
        <n v="15191.777786387547"/>
        <n v="1689.9736081247381"/>
        <n v="1748.7891280241254"/>
        <n v="1766.0732977673197"/>
        <n v="1746.4012691522305"/>
        <n v="1687.4070739854221"/>
        <n v="1810.8429892355334"/>
        <n v="3940.2002893964595"/>
        <n v="4151.8315570070454"/>
        <n v="1683.7513306827861"/>
        <n v="1710.3419969708032"/>
        <n v="2358.119121127294"/>
        <n v="2988.5730273033387"/>
        <n v="5217.195554248312"/>
        <n v="43069.99468078489"/>
        <n v="43118.112446211475"/>
        <n v="1829.9999952668802"/>
        <n v="1708.9599260281011"/>
        <n v="1882.8778165442816"/>
        <n v="2235.1479390644649"/>
        <n v="6788.1186835165727"/>
        <n v="15148.02417691049"/>
        <n v="27115.991161913265"/>
        <n v="2709.4656936724955"/>
        <n v="37858.539196485326"/>
        <n v="2054.4634623446523"/>
        <n v="1532.928579252708"/>
        <n v="1669.474348519886"/>
        <n v="1658.7332434040597"/>
        <n v="1578.8417332684221"/>
        <n v="1707.2311540698065"/>
        <n v="1566.8651655915726"/>
        <n v="1950.5910097772728"/>
        <n v="2428.6906465103384"/>
        <n v="2653.9201678229006"/>
        <n v="3663.1668242119358"/>
        <n v="11081.5785331386"/>
        <n v="1674.1466475989557"/>
        <n v="2320.6541124048304"/>
        <n v="3125.9760828701637"/>
        <n v="4610.4087245594819"/>
        <n v="8189.3775570340949"/>
        <n v="14433.878163955264"/>
        <n v="20490.424587981932"/>
        <n v="30164.480590963798"/>
        <n v="1959.62357702138"/>
        <n v="2083.4141804265219"/>
        <n v="5472.5284277928795"/>
        <n v="1982.0206992846227"/>
        <n v="2073.5772786590396"/>
        <n v="25720.016019446364"/>
        <n v="2060.0444020717537"/>
        <n v="6896.1669836842602"/>
        <n v="1621.9350129146551"/>
        <n v="1625.6002224566244"/>
        <n v="2123.3876441234938"/>
        <n v="2365.6316157518222"/>
        <n v="3178.9867926352658"/>
        <n v="3757.0494360825996"/>
        <n v="10640.459662731415"/>
        <n v="27619.263267272512"/>
        <n v="68078.311679716557"/>
        <n v="3760.2740541874587"/>
        <n v="1872.5925538561401"/>
        <n v="5117.1112362367639"/>
        <n v="3457.0798285934516"/>
        <n v="12946.937939064464"/>
        <n v="20381.641331859308"/>
        <n v="4865.2994771390313"/>
        <n v="2465.1460043003772"/>
        <n v="2467.9063596900478"/>
        <n v="7057.3820158221442"/>
        <n v="14612.061497829525"/>
        <n v="6984.3348345166141"/>
        <n v="16019.500237007585"/>
        <n v="33557.149449754565"/>
        <n v="3809.8551943527114"/>
        <n v="2078.4960387845349"/>
        <n v="2146.1424950302239"/>
        <n v="4086.3874368939919"/>
        <n v="4692.6505683800551"/>
        <n v="1928.001292547365"/>
        <n v="7066.8536130471839"/>
        <n v="2249.5635263093836"/>
        <n v="3587.9973109862467"/>
        <n v="3361.4017077771919"/>
        <n v="4558.2877565012777"/>
        <n v="12672.666117246135"/>
        <n v="20207.398362732765"/>
        <n v="32095.643503752675"/>
        <n v="2127.3638427522415"/>
        <n v="3274.3546420544449"/>
        <n v="17771.413701164351"/>
        <n v="1947.604927583269"/>
        <n v="14966.552790579739"/>
        <n v="1994.0496109375631"/>
        <n v="2823.04368777638"/>
        <n v="1929.1819692482452"/>
        <n v="2167.5324094283742"/>
        <n v="9475.4223075986847"/>
        <n v="1841.5129968761407"/>
        <n v="1840.8058687979228"/>
        <n v="1871.7753807456691"/>
        <n v="69443.059897277781"/>
        <n v="92948.142617550417"/>
        <n v="15468.434292222806"/>
        <n v="2287.1400000000003"/>
        <n v="2244.3175731266988"/>
        <n v="2562.1389857600716"/>
        <n v="2572.5492458111885"/>
        <n v="2595.8539437705381"/>
        <n v="2316.0133315753169"/>
        <n v="2203.6477690778529"/>
        <n v="7307.9930186214433"/>
        <n v="28893.29766448943"/>
        <n v="1988.5927972737227"/>
        <n v="3470.8325555600627"/>
        <n v="6020.9503868311094"/>
        <n v="4001.6132037810867"/>
        <n v="2032.3878802385491"/>
        <n v="2100.8174311331086"/>
        <n v="22253.990392957119"/>
        <n v="2485.5419635685016"/>
        <n v="1993.1799001987906"/>
        <n v="3338.8780015416442"/>
        <n v="2583.125638362611"/>
        <n v="2926.9318779666519"/>
        <n v="3025.2425599415792"/>
        <n v="11293.155174043572"/>
        <n v="2008.9759771187469"/>
        <n v="2038.1655994157977"/>
        <n v="2148.7814459004421"/>
        <n v="2508.9027489959021"/>
        <n v="2813.4108426305324"/>
        <n v="2967.8260318877028"/>
        <n v="1835.3845535315836"/>
        <n v="1821.8809631222362"/>
        <n v="1904.1325250517261"/>
        <n v="1905.8538423465452"/>
        <n v="2541.4583293439896"/>
        <n v="3765.3309002393603"/>
        <n v="13887.833758610894"/>
        <n v="56704.994601403712"/>
        <n v="1532.4050962175613"/>
        <n v="1626.47584959498"/>
        <n v="1549.9442627828039"/>
        <n v="2639.8441657538506"/>
        <n v="3953.0999858006412"/>
        <n v="3686.211200589612"/>
        <n v="2929.3853658701501"/>
        <n v="1775.9241030738231"/>
        <n v="5715.8246822048213"/>
        <n v="1524.6131979661111"/>
        <n v="1527.9086325341123"/>
        <n v="1852.3122171961002"/>
        <n v="2038.4125660946354"/>
        <n v="1615.0276164009358"/>
        <n v="1588.9362942377647"/>
        <n v="1540.6510781370441"/>
        <n v="2914.5461482548308"/>
        <n v="1810.8160696174284"/>
        <n v="14073.042309356701"/>
        <n v="1544.8576382409021"/>
        <n v="1499.0366025667033"/>
        <n v="1584.6912775366143"/>
        <n v="3796.2414418434823"/>
        <n v="1545.5395032928991"/>
        <n v="1514.655897467105"/>
        <n v="1500.5748664584091"/>
        <n v="1512.7626496003893"/>
        <n v="1737.89644475097"/>
        <n v="1654.1645996456921"/>
        <n v="1594.2610538629017"/>
        <n v="1817.1022441748819"/>
        <n v="3602.2989052970365"/>
        <n v="2186.8003049481381"/>
        <n v="4905.4628267542967"/>
        <n v="1502.9414262918035"/>
        <n v="1528.9144204633049"/>
        <n v="2155.3354128632668"/>
        <n v="1527.6128125549378"/>
        <n v="1540.0150651818194"/>
        <n v="1553.6568035214411"/>
        <n v="1505.1896581335279"/>
        <n v="1508.3031634143372"/>
        <n v="1662.3514175693401"/>
        <n v="1774.5041671737865"/>
        <n v="5323.1236598509731"/>
        <n v="3454.1404269273939"/>
        <n v="3960.5842312737495"/>
        <n v="1544.1491493907797"/>
        <n v="1682.2379156693305"/>
        <n v="2617.9839567528093"/>
        <n v="4193.2762268922324"/>
        <n v="11853.334909124102"/>
        <n v="2369.8389170622199"/>
        <n v="3415.3288456597293"/>
        <n v="2199.209953074499"/>
        <n v="1805.3877729995809"/>
        <n v="1507.2012339919131"/>
        <n v="4735.1592647436673"/>
        <n v="3920.9739360623153"/>
        <n v="3167.4612851096049"/>
        <n v="6678.5560134285361"/>
        <n v="2070.3241463480599"/>
        <n v="1511.9935176545362"/>
        <n v="2073.164018148133"/>
        <n v="1848.9028919361162"/>
        <n v="1663.2758550042597"/>
        <n v="1886.324119301662"/>
        <n v="1641.3851765453635"/>
        <n v="1701.0520663448144"/>
        <n v="1572.3703754040055"/>
        <n v="3657.3391706222023"/>
        <n v="2111.0289754824403"/>
        <n v="1696.6443486551179"/>
        <n v="1550.6276069346966"/>
        <n v="1604.4076791485793"/>
        <n v="4906.8827626543325"/>
        <n v="1683.9832535464591"/>
        <n v="7763.2613175652832"/>
        <n v="1758.5298882983759"/>
        <n v="2034.3524368804683"/>
        <n v="12280.254907568931"/>
        <n v="1565.7735898684189"/>
        <n v="5941.1877378392637"/>
        <n v="4636.1778997119554"/>
        <n v="4825.5914323772422"/>
        <n v="1573.3465813352805"/>
        <n v="1952.4694666450293"/>
        <n v="2643.031626029453"/>
        <n v="2804.5493346586068"/>
        <n v="1625.7658816449618"/>
        <n v="1777.5806949571988"/>
        <n v="1880.9993596765246"/>
        <n v="1527.1986645840936"/>
        <n v="1592.2790600024339"/>
        <n v="2754.8515781573283"/>
        <n v="8264.5578542740095"/>
        <n v="5850.1935122452551"/>
        <n v="6202.5742714376511"/>
        <n v="2528.4901300931747"/>
        <n v="4377.2466719407139"/>
        <n v="1522.6134549068927"/>
        <n v="1833.1353750659255"/>
        <n v="1869.0242549393486"/>
        <n v="2001.8237599902634"/>
        <n v="2716.051517708629"/>
        <n v="2485.9509051077121"/>
        <n v="2275.4809063248003"/>
        <n v="4501.2659280295347"/>
        <n v="1818.4390385005474"/>
        <n v="2103.278180047872"/>
        <n v="2104.165639985395"/>
        <n v="1953.6879329790252"/>
        <n v="1966.1478705018458"/>
        <n v="2587.8668043328325"/>
        <n v="2499.0498137855488"/>
        <n v="3269.3295411578561"/>
        <n v="3807.3432536816908"/>
        <n v="3110.7227011237783"/>
        <n v="3487.2187050184593"/>
        <n v="14218.739253519409"/>
        <n v="4355.6869998782913"/>
        <n v="2266.7837989370764"/>
        <n v="6795.3143681285237"/>
        <n v="2071.3562460951762"/>
        <n v="1978.2883224471577"/>
        <n v="1839.7824499979713"/>
        <n v="1811.5168509878695"/>
        <n v="1944.8222082031723"/>
        <n v="1827.1361458882711"/>
        <n v="2990.3831335956829"/>
        <n v="1931.4038139478275"/>
        <n v="1989.1153336849361"/>
        <n v="1861.037115501643"/>
        <n v="3399.0051872286904"/>
        <n v="2579.8796648951275"/>
        <n v="3927.0438500547689"/>
        <n v="2219.8194190433687"/>
        <n v="3467.162110430444"/>
        <n v="3015.6402434175825"/>
        <n v="2318.9664432634181"/>
        <n v="2083.3990774473609"/>
        <n v="1860.7531283216358"/>
        <n v="2751.9048991845511"/>
        <n v="1858.6942212665829"/>
        <n v="2020.4959170757434"/>
        <n v="1963.7339794717839"/>
        <n v="4196.8316710617055"/>
        <n v="3446.5375414824121"/>
        <n v="3053.8720175260655"/>
        <n v="1923.6562886932534"/>
        <n v="2078.9262793622461"/>
        <n v="10822.163834638322"/>
        <n v="1958.1607310641405"/>
        <n v="2210.2703501156234"/>
        <n v="2027.1696158059149"/>
        <n v="4389.729963081666"/>
        <n v="8276.3075118666075"/>
        <n v="9747.8935802669475"/>
        <n v="12801.643225282971"/>
        <n v="10487.999669763482"/>
        <n v="2353.7548728143129"/>
        <n v="2124.2932313684128"/>
        <n v="3749.5518625502045"/>
        <n v="1889.1518463223661"/>
        <n v="2431.4786141425616"/>
        <n v="4984.1861276319523"/>
        <n v="2035.9732183861415"/>
        <n v="8158.4528321635762"/>
        <n v="6191.3446330479946"/>
        <n v="9273.1025136922362"/>
        <n v="4751.7426207959761"/>
        <n v="3672.2363527932162"/>
        <n v="2240.6214799789041"/>
        <n v="2546.8129076230275"/>
        <n v="4104.5358375593323"/>
        <n v="1912.1548079029574"/>
        <n v="5072.0801598442122"/>
        <n v="2584.7784437502532"/>
        <n v="2387.8688328126905"/>
        <n v="3332.2681999269748"/>
        <n v="9609.0593476408794"/>
        <n v="8098.2475500020282"/>
        <n v="5199.0224293074771"/>
        <n v="3332.942669479492"/>
        <n v="2445.0567511866607"/>
        <n v="3677.7203872368041"/>
        <n v="2843.419299971601"/>
        <n v="2367.9182654468736"/>
        <n v="5339.0453902795243"/>
        <n v="3091.4643525092297"/>
        <n v="2636.374896547527"/>
        <n v="2250.9244218832409"/>
        <n v="4646.2608833015538"/>
        <n v="2327.2947868067672"/>
        <n v="2256.0095673252463"/>
        <n v="4624.6556711225612"/>
        <n v="2400.3105531664569"/>
        <n v="2350.7902886526836"/>
        <n v="2514.0207949612559"/>
        <n v="2387.4867570692522"/>
        <n v="2267.9015304880522"/>
        <n v="4717.8234340135496"/>
        <n v="21948.92307294413"/>
        <n v="5292.3649975658245"/>
        <n v="2254.4121394377053"/>
        <n v="2359.4873960404075"/>
        <n v="12984.690244026127"/>
        <n v="2264.3783145360867"/>
        <n v="2388.4185900036509"/>
        <n v="2306.8277419976471"/>
        <n v="2273.2617885106897"/>
        <n v="2695.9500821534343"/>
        <n v="2282.0077061949773"/>
        <n v="3098.3865400219074"/>
        <n v="2823.0964674023289"/>
        <n v="2605.8462746967421"/>
        <n v="2535.370862408211"/>
        <n v="2579.2224765710575"/>
        <n v="2452.2668952087306"/>
        <n v="2701.3724623716985"/>
        <n v="2399.9378199926973"/>
        <n v="2515.3320170189459"/>
        <n v="2313.8719552517346"/>
        <n v="8653.8857489147613"/>
        <n v="9134.7115430646281"/>
        <n v="3316.324514179074"/>
        <n v="2261.4008864456973"/>
        <n v="3916.4471104304434"/>
        <n v="2324.0400274859021"/>
        <n v="2525.9748803196885"/>
        <n v="2357.1866561523793"/>
        <n v="2448.3043865876912"/>
        <n v="2559.5208659580512"/>
        <n v="3015.8261420341596"/>
        <n v="6894.5629822710862"/>
        <n v="2341.321091119315"/>
        <n v="2709.8122063775409"/>
        <n v="2316.3124700799222"/>
        <n v="18300.797134772201"/>
        <n v="4011.749214471175"/>
        <n v="4283.3452351008154"/>
        <n v="7956.0316270436924"/>
        <n v="2885.3961550164304"/>
        <n v="2364.963023854923"/>
        <n v="14556.843272546555"/>
        <n v="3877.2990339364678"/>
        <n v="3832.7773875207918"/>
        <n v="2253.8175412795649"/>
        <n v="2285.0472564809929"/>
        <n v="2249.9748397500912"/>
        <n v="2288.0246845713823"/>
        <n v="2251.8562548176396"/>
        <n v="4796.097400503063"/>
        <n v="2306.2176132905997"/>
        <n v="2620.3562446752403"/>
        <n v="3945.511423384316"/>
        <n v="4229.5762561361507"/>
        <n v="2382.3173029331815"/>
        <n v="3637.962182035782"/>
        <n v="2451.5502713091805"/>
        <n v="3029.1646648951273"/>
        <n v="2548.3987742910463"/>
        <n v="2300.3381912045115"/>
        <n v="3946.2213913343335"/>
        <n v="3817.340021907582"/>
        <n v="2791.6803856140205"/>
        <n v="3916.2696184429383"/>
        <n v="2551.4893535234692"/>
        <n v="2789.9942117327273"/>
        <n v="2693.7935545052537"/>
        <n v="2670.4089851515273"/>
        <n v="2550.1581636171854"/>
        <n v="2544.7890309951717"/>
        <n v="2418.9472118544363"/>
        <n v="2486.1390223741328"/>
        <n v="2270.8856145279728"/>
        <n v="2269.4279615805913"/>
        <n v="2257.4073167268448"/>
        <n v="2274.9213385938579"/>
        <n v="4203.2142586920354"/>
        <n v="3709.2784626151165"/>
        <n v="3187.5207974968557"/>
        <n v="2480.3949379285164"/>
        <n v="2481.3245522130715"/>
        <n v="2361.2889397135787"/>
        <n v="3560.9306594588011"/>
        <n v="2797.2980070185399"/>
        <n v="2821.499039514787"/>
        <n v="3206.3016684246822"/>
        <n v="2621.5210358432391"/>
        <n v="2672.8494999797153"/>
        <n v="2906.8726855044829"/>
        <n v="2547.0964268327311"/>
        <n v="2862.8324861049127"/>
        <n v="2328.914401192746"/>
        <n v="4393.5011998458358"/>
        <n v="3423.3078096474496"/>
        <n v="2342.3705124954358"/>
        <n v="3659.8491627449389"/>
        <n v="2606.9555996186455"/>
        <n v="2686.6428460586635"/>
        <n v="2693.7048085115011"/>
        <n v="2685.7176690737961"/>
        <n v="2504.6314688222642"/>
        <n v="3166.5434632236602"/>
        <n v="2630.8726449348856"/>
        <n v="2855.7217133555109"/>
        <n v="2271.3848107428294"/>
        <n v="2902.7903697918778"/>
        <n v="2746.291247109416"/>
        <n v="2785.5569120451128"/>
        <n v="2253.1341971276725"/>
        <n v="2583.3824450281959"/>
        <n v="2602.2520619497745"/>
        <n v="2528.1047841697432"/>
        <n v="4825.8237585703264"/>
        <n v="2826.2913231774105"/>
        <n v="5102.9255806523588"/>
        <n v="2984.836041015863"/>
        <n v="2540.4848502981863"/>
        <n v="2344.2674581118908"/>
        <n v="2262.9583786360499"/>
        <n v="2404.5703608665667"/>
        <n v="2398.2915818085926"/>
        <n v="2273.270663110065"/>
        <n v="2319.2078081260902"/>
        <n v="2285.5619832447564"/>
        <n v="3688.0856773094247"/>
        <n v="2293.4019173191609"/>
        <n v="2535.7906551989936"/>
        <n v="2673.2665771430889"/>
        <n v="1879.443744573816"/>
        <n v="2441.4359146415677"/>
        <n v="1844.086630694957"/>
        <n v="2188.5098324475634"/>
        <n v="6275.8677374335675"/>
        <n v="5423.0939940768394"/>
        <n v="1835.4942435798614"/>
        <n v="1918.2505927218142"/>
        <n v="2111.5042237007588"/>
        <n v="3754.2035725587239"/>
        <n v="2619.8747154042758"/>
        <n v="4600.0984364477245"/>
        <n v="2315.13914803846"/>
        <n v="1844.6922333563227"/>
        <n v="2951.7381581402897"/>
        <n v="1900.8872615521927"/>
        <n v="2114.4104775041583"/>
        <n v="1981.7316670047464"/>
        <n v="1901.5674108483101"/>
        <n v="1825.0885983204184"/>
        <n v="2310.3380607732565"/>
        <n v="1905.1261251977769"/>
        <n v="2080.6898397500913"/>
        <n v="3118.8901724207876"/>
        <n v="2181.0906673698728"/>
        <n v="2621.6172607408007"/>
        <n v="5654.4860383788382"/>
        <n v="2037.6771414661848"/>
        <n v="2306.045026573086"/>
        <n v="1892.9856732524645"/>
        <n v="1885.8859937522818"/>
        <n v="1834.6973045559657"/>
        <n v="1829.5358375593332"/>
        <n v="2690.5636683029734"/>
        <n v="5053.3370059637309"/>
        <n v="4900.12592234979"/>
        <n v="2142.9543839506669"/>
        <n v="2351.0037470079924"/>
        <n v="1808.6414807902959"/>
        <n v="1844.1682770092095"/>
        <n v="1993.1728005192908"/>
        <n v="1859.6171796016065"/>
        <n v="1828.4495865958052"/>
        <n v="1815.3151795204672"/>
        <n v="1814.3922211854435"/>
        <n v="3569.3264984380703"/>
        <n v="1900.6533271126616"/>
        <n v="5490.3932759949685"/>
        <n v="2378.7457446549552"/>
        <n v="3397.7006211205321"/>
        <n v="5179.6935518682285"/>
        <n v="2738.1315209541967"/>
        <n v="1886.8444504848067"/>
        <n v="9405.3695427806415"/>
        <n v="2330.6099176437178"/>
        <n v="2615.8750399610535"/>
        <n v="1841.9922252424033"/>
        <n v="1882.1852858128118"/>
        <n v="5359.4751860116021"/>
        <n v="4489.4449616617303"/>
        <n v="2138.2795999837722"/>
        <n v="2129.768504198953"/>
        <n v="1908.9599521278753"/>
        <n v="2060.0411318917604"/>
        <n v="1967.2305716256237"/>
        <n v="1819.858974400584"/>
        <n v="1814.5342147754473"/>
        <n v="1812.7947932979027"/>
        <n v="1817.6580737555275"/>
        <n v="1809.6663195261469"/>
        <n v="2085.1030005274047"/>
        <n v="2274.7354399772807"/>
        <n v="1819.6829023489795"/>
        <n v="1804.807653860197"/>
        <n v="1799.6390871840642"/>
        <n v="1798.9575179520466"/>
        <n v="1799.8023798125682"/>
        <n v="2608.2357848188562"/>
        <n v="3716.8933368493649"/>
        <n v="2116.2279954562046"/>
        <n v="2032.6903265852568"/>
        <n v="2386.038535437543"/>
        <n v="4046.8509416203487"/>
        <n v="3064.5570351738406"/>
        <n v="1932.442142074729"/>
        <n v="2477.5022865024953"/>
        <n v="1836.1882372510038"/>
        <n v="1811.0553718203578"/>
        <n v="1830.3792794839544"/>
        <n v="1820.2228329749682"/>
        <n v="1805.1552541685262"/>
        <n v="1825.8194393281672"/>
        <n v="2127.0251880400829"/>
        <n v="4595.9667779625943"/>
        <n v="2186.3852533571339"/>
        <n v="2073.4297074932047"/>
        <n v="2171.9764538115137"/>
        <n v="1856.8394299971601"/>
        <n v="1862.6388031968841"/>
        <n v="3576.275309748874"/>
        <n v="1829.5281699054726"/>
        <n v="1798.2706239604038"/>
        <n v="14590.380851555839"/>
        <n v="9565.0129360217434"/>
        <n v="1992.8249162237819"/>
        <n v="2902.9179220252345"/>
        <n v="1906.7235530853177"/>
        <n v="2799.0517408414134"/>
        <n v="2215.0981321757472"/>
        <n v="1976.850637348371"/>
        <n v="2065.8273706844093"/>
        <n v="3105.7529254736501"/>
        <n v="1820.6740000000002"/>
        <n v="1807.5232812690167"/>
        <n v="1802.7629461641445"/>
        <n v="1797.3564426041623"/>
        <n v="1801.0448237251007"/>
        <n v="13789.989608503387"/>
        <n v="1835.7977548784941"/>
        <n v="1798.7054793297903"/>
        <n v="7698.375141385045"/>
        <n v="2331.8083435433487"/>
        <n v="1801.8356570246258"/>
        <n v="1799.8441259280294"/>
        <n v="1803.5297115501642"/>
        <n v="2616.337939064465"/>
        <n v="1802.9560574465497"/>
        <n v="1976.5489009696132"/>
        <n v="1827.3789549271776"/>
        <n v="2078.3301192746158"/>
        <n v="1816.5531861333116"/>
        <n v="1870.2303484928393"/>
        <n v="1811.6247661162724"/>
        <n v="2409.0667008803603"/>
        <n v="2249.194200981784"/>
        <n v="1836.1030410970016"/>
        <n v="1805.8371073877236"/>
        <n v="1799.1847076960526"/>
        <n v="1798.3575950342813"/>
        <n v="1798.7303282080406"/>
        <n v="1800.961331494178"/>
        <n v="3102.9130536735765"/>
        <n v="5000.0723704815628"/>
        <n v="1848.0180782181833"/>
        <n v="1895.5585971033311"/>
        <n v="1801.6837948801167"/>
        <n v="1801.2933125076065"/>
        <n v="2192.7930690900239"/>
        <n v="1800.997341068603"/>
        <n v="1901.629533043937"/>
        <n v="1806.9424564891069"/>
        <n v="4255.0000551746516"/>
        <n v="2059.686147916751"/>
        <n v="1967.5323080043813"/>
        <n v="1802.8907403951478"/>
        <n v="2095.4507833989205"/>
        <n v="1880.6322309221468"/>
        <n v="1843.145923161183"/>
        <n v="1822.7698429956588"/>
        <n v="16159.791628869323"/>
        <n v="5426.6736524808312"/>
        <n v="3730.0277439247025"/>
        <n v="2921.8712264189212"/>
        <n v="27292.266577143087"/>
        <n v="1877.6503655320703"/>
        <n v="1821.5522479613778"/>
        <n v="2003.6963004584366"/>
        <n v="6759.0776039595921"/>
        <n v="2071.5958602783076"/>
        <n v="3650.688825510163"/>
        <n v="2334.1952557913096"/>
        <n v="2212.4712507606796"/>
        <n v="3303.5499963487359"/>
        <n v="6092.446097610451"/>
        <n v="1818.6222102316526"/>
        <n v="1819.5661126212017"/>
        <n v="1807.9226382409022"/>
        <n v="1803.7391520954195"/>
        <n v="2141.5805959673817"/>
        <n v="2956.533991642662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x v="0"/>
    <n v="0.80908761900000004"/>
    <n v="0.87473809499999999"/>
    <n v="12"/>
    <n v="82.22993630573248"/>
    <n v="5310.6757898029991"/>
  </r>
  <r>
    <x v="0"/>
    <x v="1"/>
    <n v="0.590536375"/>
    <n v="0.61247410899999999"/>
    <n v="7"/>
    <n v="10.605095541401273"/>
    <n v="88.33220104363221"/>
  </r>
  <r>
    <x v="0"/>
    <x v="1"/>
    <n v="0.590536375"/>
    <n v="0.61247410899999999"/>
    <n v="8"/>
    <n v="11.656050955414013"/>
    <n v="106.70696212429367"/>
  </r>
  <r>
    <x v="0"/>
    <x v="1"/>
    <n v="0.590536375"/>
    <n v="0.61247410899999999"/>
    <n v="11"/>
    <n v="16.65605095541401"/>
    <n v="217.88832633772219"/>
  </r>
  <r>
    <x v="0"/>
    <x v="1"/>
    <n v="0.590536375"/>
    <n v="0.61247410899999999"/>
    <n v="11"/>
    <n v="17.32484076433121"/>
    <n v="235.73734318145486"/>
  </r>
  <r>
    <x v="0"/>
    <x v="1"/>
    <n v="0.590536375"/>
    <n v="0.61247410899999999"/>
    <n v="10"/>
    <n v="19.904458598726112"/>
    <n v="311.16491295501663"/>
  </r>
  <r>
    <x v="0"/>
    <x v="1"/>
    <n v="0.590536375"/>
    <n v="0.61247410899999999"/>
    <n v="7"/>
    <n v="36.136942675159233"/>
    <n v="1025.634674407926"/>
  </r>
  <r>
    <x v="0"/>
    <x v="1"/>
    <n v="0.590536375"/>
    <n v="0.61247410899999999"/>
    <n v="8"/>
    <n v="43.436305732484072"/>
    <n v="1481.820654634372"/>
  </r>
  <r>
    <x v="0"/>
    <x v="1"/>
    <n v="0.590536375"/>
    <n v="0.61247410899999999"/>
    <n v="8"/>
    <n v="49.803184713375792"/>
    <n v="1948.0679954144443"/>
  </r>
  <r>
    <x v="0"/>
    <x v="2"/>
    <n v="0.53168696000000004"/>
    <n v="0.61247410899999999"/>
    <n v="9"/>
    <n v="17.101910828025478"/>
    <n v="229.70960584684852"/>
  </r>
  <r>
    <x v="0"/>
    <x v="2"/>
    <n v="0.53168696000000004"/>
    <n v="0.61247410899999999"/>
    <n v="13"/>
    <n v="32.00636942675159"/>
    <n v="804.56791349092009"/>
  </r>
  <r>
    <x v="1"/>
    <x v="0"/>
    <n v="0.80908761900000004"/>
    <n v="0.87473809499999999"/>
    <n v="11"/>
    <n v="21.178343949044585"/>
    <n v="352.26855329672253"/>
  </r>
  <r>
    <x v="1"/>
    <x v="3"/>
    <n v="0.62643652800000005"/>
    <n v="0.57808694400000005"/>
    <n v="4"/>
    <n v="4.2038216560509554"/>
    <n v="13.879647854920218"/>
  </r>
  <r>
    <x v="1"/>
    <x v="3"/>
    <n v="0.62643652800000005"/>
    <n v="0.57808694400000005"/>
    <n v="4.5"/>
    <n v="16.898089171974522"/>
    <n v="224.26684659986489"/>
  </r>
  <r>
    <x v="1"/>
    <x v="3"/>
    <n v="0.62643652800000005"/>
    <n v="0.57808694400000005"/>
    <n v="5.5"/>
    <n v="28.283439490445858"/>
    <n v="628.28157727075984"/>
  </r>
  <r>
    <x v="1"/>
    <x v="1"/>
    <n v="0.590536375"/>
    <n v="0.61247410899999999"/>
    <n v="7"/>
    <n v="19.108280254777068"/>
    <n v="286.76958377934329"/>
  </r>
  <r>
    <x v="1"/>
    <x v="1"/>
    <n v="0.590536375"/>
    <n v="0.61247410899999999"/>
    <n v="11"/>
    <n v="26.656050955414013"/>
    <n v="558.06077927419665"/>
  </r>
  <r>
    <x v="1"/>
    <x v="1"/>
    <n v="0.590536375"/>
    <n v="0.61247410899999999"/>
    <n v="8"/>
    <n v="37.680254777070061"/>
    <n v="1115.1095690797395"/>
  </r>
  <r>
    <x v="1"/>
    <x v="1"/>
    <n v="0.590536375"/>
    <n v="0.61247410899999999"/>
    <n v="9"/>
    <n v="51.072611464968155"/>
    <n v="2048.6417128947664"/>
  </r>
  <r>
    <x v="1"/>
    <x v="4"/>
    <n v="0.39"/>
    <n v="0.28861111099999998"/>
    <n v="5"/>
    <n v="8.1210191082802545"/>
    <n v="51.79775607014389"/>
  </r>
  <r>
    <x v="1"/>
    <x v="4"/>
    <n v="0.39"/>
    <n v="0.28861111099999998"/>
    <n v="6"/>
    <n v="8.4713375796178347"/>
    <n v="56.362968527475616"/>
  </r>
  <r>
    <x v="1"/>
    <x v="4"/>
    <n v="0.39"/>
    <n v="0.28861111099999998"/>
    <n v="4"/>
    <n v="8.6942675159235669"/>
    <n v="59.368473081918566"/>
  </r>
  <r>
    <x v="1"/>
    <x v="4"/>
    <n v="0.39"/>
    <n v="0.28861111099999998"/>
    <n v="6"/>
    <n v="8.7579617834394909"/>
    <n v="60.241527148091237"/>
  </r>
  <r>
    <x v="1"/>
    <x v="4"/>
    <n v="0.39"/>
    <n v="0.28861111099999998"/>
    <n v="5"/>
    <n v="9.2356687898089174"/>
    <n v="66.992561099563275"/>
  </r>
  <r>
    <x v="1"/>
    <x v="4"/>
    <n v="0.39"/>
    <n v="0.28861111099999998"/>
    <n v="3"/>
    <n v="10.414012738853504"/>
    <n v="85.177735622059473"/>
  </r>
  <r>
    <x v="1"/>
    <x v="4"/>
    <n v="0.39"/>
    <n v="0.28861111099999998"/>
    <n v="4.5"/>
    <n v="10.923566878980891"/>
    <n v="93.717096561266558"/>
  </r>
  <r>
    <x v="1"/>
    <x v="4"/>
    <n v="0.39"/>
    <n v="0.28861111099999998"/>
    <n v="5"/>
    <n v="28.938853503184713"/>
    <n v="657.73737985257094"/>
  </r>
  <r>
    <x v="1"/>
    <x v="4"/>
    <n v="0.39"/>
    <n v="0.28861111099999998"/>
    <n v="4.8"/>
    <n v="30.788535031847132"/>
    <n v="744.50553576267612"/>
  </r>
  <r>
    <x v="1"/>
    <x v="5"/>
    <n v="0.470857311"/>
    <n v="0.375"/>
    <n v="7"/>
    <n v="6.7515923566878975"/>
    <n v="35.801589370496679"/>
  </r>
  <r>
    <x v="2"/>
    <x v="0"/>
    <n v="0.80908761900000004"/>
    <n v="0.87473809499999999"/>
    <n v="8"/>
    <n v="6.7515923566878975"/>
    <n v="35.801589370496679"/>
  </r>
  <r>
    <x v="2"/>
    <x v="0"/>
    <n v="0.80908761900000004"/>
    <n v="0.87473809499999999"/>
    <n v="9"/>
    <n v="12.802547770700638"/>
    <n v="128.73086615854726"/>
  </r>
  <r>
    <x v="2"/>
    <x v="0"/>
    <n v="0.80908761900000004"/>
    <n v="0.87473809499999999"/>
    <n v="10"/>
    <n v="15.987261146496815"/>
    <n v="200.74189497424902"/>
  </r>
  <r>
    <x v="2"/>
    <x v="0"/>
    <n v="0.80908761900000004"/>
    <n v="0.87473809499999999"/>
    <n v="11"/>
    <n v="24.076433121019104"/>
    <n v="455.27539120808535"/>
  </r>
  <r>
    <x v="2"/>
    <x v="0"/>
    <n v="0.80908761900000004"/>
    <n v="0.87473809499999999"/>
    <n v="12"/>
    <n v="77.064331210191085"/>
    <n v="4664.4099057647009"/>
  </r>
  <r>
    <x v="2"/>
    <x v="0"/>
    <n v="0.80908761900000004"/>
    <n v="0.87473809499999999"/>
    <n v="12"/>
    <n v="77.108917197452229"/>
    <n v="4669.8087064208203"/>
  </r>
  <r>
    <x v="2"/>
    <x v="6"/>
    <n v="0.6"/>
    <n v="0.66674999999999995"/>
    <n v="8"/>
    <n v="8.4394904458598727"/>
    <n v="55.939983391401071"/>
  </r>
  <r>
    <x v="2"/>
    <x v="7"/>
    <n v="0.39984676499999999"/>
    <n v="0.450333333"/>
    <n v="6"/>
    <n v="7.7707006369426743"/>
    <n v="47.425316499686062"/>
  </r>
  <r>
    <x v="2"/>
    <x v="7"/>
    <n v="0.39984676499999999"/>
    <n v="0.450333333"/>
    <n v="7"/>
    <n v="9.7133757961783438"/>
    <n v="74.102057030759482"/>
  </r>
  <r>
    <x v="2"/>
    <x v="7"/>
    <n v="0.39984676499999999"/>
    <n v="0.450333333"/>
    <n v="7"/>
    <n v="13.439490445859873"/>
    <n v="141.85854043822386"/>
  </r>
  <r>
    <x v="2"/>
    <x v="7"/>
    <n v="0.39984676499999999"/>
    <n v="0.450333333"/>
    <n v="7"/>
    <n v="35.994904458598725"/>
    <n v="1017.5878940778152"/>
  </r>
  <r>
    <x v="2"/>
    <x v="7"/>
    <n v="0.39984676499999999"/>
    <n v="0.450333333"/>
    <n v="8"/>
    <n v="54.08407643312102"/>
    <n v="2297.3582117511933"/>
  </r>
  <r>
    <x v="2"/>
    <x v="7"/>
    <n v="0.39984676499999999"/>
    <n v="0.450333333"/>
    <n v="10"/>
    <n v="66.27006369426752"/>
    <n v="3449.2498761933789"/>
  </r>
  <r>
    <x v="2"/>
    <x v="1"/>
    <n v="0.590536375"/>
    <n v="0.61247410899999999"/>
    <n v="8"/>
    <n v="16.114649681528661"/>
    <n v="203.95371431257763"/>
  </r>
  <r>
    <x v="2"/>
    <x v="1"/>
    <n v="0.590536375"/>
    <n v="0.61247410899999999"/>
    <n v="11"/>
    <n v="75.277070063694268"/>
    <n v="4450.5665102893199"/>
  </r>
  <r>
    <x v="2"/>
    <x v="2"/>
    <n v="0.53168696000000004"/>
    <n v="0.61247410899999999"/>
    <n v="8"/>
    <n v="10.923566878980891"/>
    <n v="93.717096561266558"/>
  </r>
  <r>
    <x v="2"/>
    <x v="4"/>
    <n v="0.39"/>
    <n v="0.28861111099999998"/>
    <n v="2.8"/>
    <n v="4.6496815286624198"/>
    <n v="16.979945688445781"/>
  </r>
  <r>
    <x v="2"/>
    <x v="4"/>
    <n v="0.39"/>
    <n v="0.28861111099999998"/>
    <n v="4.8"/>
    <n v="7.8343949044585992"/>
    <n v="48.205967033307623"/>
  </r>
  <r>
    <x v="2"/>
    <x v="4"/>
    <n v="0.39"/>
    <n v="0.28861111099999998"/>
    <n v="4.5"/>
    <n v="7.8343949044585992"/>
    <n v="48.205967033307623"/>
  </r>
  <r>
    <x v="2"/>
    <x v="4"/>
    <n v="0.39"/>
    <n v="0.28861111099999998"/>
    <n v="2"/>
    <n v="8.3439490445859867"/>
    <n v="54.680586969303455"/>
  </r>
  <r>
    <x v="2"/>
    <x v="4"/>
    <n v="0.39"/>
    <n v="0.28861111099999998"/>
    <n v="6"/>
    <n v="8.4713375796178347"/>
    <n v="56.362968527475616"/>
  </r>
  <r>
    <x v="3"/>
    <x v="8"/>
    <n v="0.37226847299999999"/>
    <n v="0.42234285700000002"/>
    <n v="6"/>
    <n v="7.7388535031847132"/>
    <n v="47.037380979406791"/>
  </r>
  <r>
    <x v="3"/>
    <x v="3"/>
    <n v="0.62643652800000005"/>
    <n v="0.57808694400000005"/>
    <n v="5"/>
    <n v="4.8726114649681529"/>
    <n v="18.647192185251804"/>
  </r>
  <r>
    <x v="3"/>
    <x v="3"/>
    <n v="0.62643652800000005"/>
    <n v="0.57808694400000005"/>
    <n v="4"/>
    <n v="13.933121019108281"/>
    <n v="152.47080734795819"/>
  </r>
  <r>
    <x v="3"/>
    <x v="3"/>
    <n v="0.62643652800000005"/>
    <n v="0.57808694400000005"/>
    <n v="5"/>
    <n v="17.86687898089172"/>
    <n v="250.71901500218488"/>
  </r>
  <r>
    <x v="3"/>
    <x v="7"/>
    <n v="0.39984676499999999"/>
    <n v="0.450333333"/>
    <n v="9"/>
    <n v="14.840764331210192"/>
    <n v="172.98259926440858"/>
  </r>
  <r>
    <x v="3"/>
    <x v="7"/>
    <n v="0.39984676499999999"/>
    <n v="0.450333333"/>
    <n v="10"/>
    <n v="19.267515923566879"/>
    <n v="291.56899139676153"/>
  </r>
  <r>
    <x v="3"/>
    <x v="7"/>
    <n v="0.39984676499999999"/>
    <n v="0.450333333"/>
    <n v="8"/>
    <n v="45.317834394904459"/>
    <n v="1612.9770102853365"/>
  </r>
  <r>
    <x v="3"/>
    <x v="1"/>
    <n v="0.590536375"/>
    <n v="0.61247410899999999"/>
    <n v="6"/>
    <n v="7.1019108280254777"/>
    <n v="39.613235088230461"/>
  </r>
  <r>
    <x v="3"/>
    <x v="1"/>
    <n v="0.590536375"/>
    <n v="0.61247410899999999"/>
    <n v="8"/>
    <n v="13.280254777070065"/>
    <n v="138.51687820501735"/>
  </r>
  <r>
    <x v="3"/>
    <x v="1"/>
    <n v="0.590536375"/>
    <n v="0.61247410899999999"/>
    <n v="9"/>
    <n v="17.611464968152866"/>
    <n v="243.6019990166034"/>
  </r>
  <r>
    <x v="3"/>
    <x v="1"/>
    <n v="0.590536375"/>
    <n v="0.61247410899999999"/>
    <n v="6"/>
    <n v="29.822292993630573"/>
    <n v="698.50890437348005"/>
  </r>
  <r>
    <x v="3"/>
    <x v="1"/>
    <n v="0.590536375"/>
    <n v="0.61247410899999999"/>
    <n v="8"/>
    <n v="37.867515923566884"/>
    <n v="1126.2207242548823"/>
  </r>
  <r>
    <x v="3"/>
    <x v="1"/>
    <n v="0.590536375"/>
    <n v="0.61247410899999999"/>
    <n v="8"/>
    <n v="52.650318471337577"/>
    <n v="2177.1677188284834"/>
  </r>
  <r>
    <x v="3"/>
    <x v="1"/>
    <n v="0.590536375"/>
    <n v="0.61247410899999999"/>
    <n v="9"/>
    <n v="60.147133757961782"/>
    <n v="2841.31742079267"/>
  </r>
  <r>
    <x v="3"/>
    <x v="1"/>
    <n v="0.590536375"/>
    <n v="0.61247410899999999"/>
    <n v="12"/>
    <n v="63.994267515923568"/>
    <n v="3216.414610929648"/>
  </r>
  <r>
    <x v="3"/>
    <x v="9"/>
    <n v="0.40238543599999999"/>
    <n v="0.40883333300000002"/>
    <n v="7"/>
    <n v="10.636942675159235"/>
    <n v="88.863521355801183"/>
  </r>
  <r>
    <x v="4"/>
    <x v="10"/>
    <n v="0.31264018999999998"/>
    <n v="0.356821212"/>
    <n v="5"/>
    <n v="14.171974522292993"/>
    <n v="157.74318563306795"/>
  </r>
  <r>
    <x v="4"/>
    <x v="10"/>
    <n v="0.31264018999999998"/>
    <n v="0.356821212"/>
    <n v="9"/>
    <n v="27.515923566878982"/>
    <n v="594.64540892484649"/>
  </r>
  <r>
    <x v="4"/>
    <x v="6"/>
    <n v="0.6"/>
    <n v="0.66674999999999995"/>
    <n v="7"/>
    <n v="10.891719745222931"/>
    <n v="93.171437769908678"/>
  </r>
  <r>
    <x v="4"/>
    <x v="6"/>
    <n v="0.6"/>
    <n v="0.66674999999999995"/>
    <n v="6.5"/>
    <n v="12.32484076433121"/>
    <n v="119.30331609180131"/>
  </r>
  <r>
    <x v="4"/>
    <x v="11"/>
    <n v="0.6"/>
    <n v="0.51040266700000003"/>
    <n v="8"/>
    <n v="72.045222929936301"/>
    <n v="4076.6202781612951"/>
  </r>
  <r>
    <x v="4"/>
    <x v="11"/>
    <n v="0.6"/>
    <n v="0.51040266700000003"/>
    <n v="9"/>
    <n v="10.350318471337578"/>
    <n v="84.138992463036487"/>
  </r>
  <r>
    <x v="4"/>
    <x v="11"/>
    <n v="0.6"/>
    <n v="0.51040266700000003"/>
    <n v="11"/>
    <n v="29.005732484076432"/>
    <n v="660.78101360950598"/>
  </r>
  <r>
    <x v="4"/>
    <x v="3"/>
    <n v="0.62643652800000005"/>
    <n v="0.57808694400000005"/>
    <n v="5"/>
    <n v="6.5286624203821653"/>
    <n v="33.476365995352509"/>
  </r>
  <r>
    <x v="4"/>
    <x v="3"/>
    <n v="0.62643652800000005"/>
    <n v="0.57808694400000005"/>
    <n v="5"/>
    <n v="6.6242038216560513"/>
    <n v="34.463331312859758"/>
  </r>
  <r>
    <x v="4"/>
    <x v="3"/>
    <n v="0.62643652800000005"/>
    <n v="0.57808694400000005"/>
    <n v="4"/>
    <n v="16.376433121019108"/>
    <n v="210.63401845800774"/>
  </r>
  <r>
    <x v="4"/>
    <x v="3"/>
    <n v="0.62643652800000005"/>
    <n v="0.57808694400000005"/>
    <n v="5.5"/>
    <n v="16.448407643312102"/>
    <n v="212.48956264301634"/>
  </r>
  <r>
    <x v="4"/>
    <x v="3"/>
    <n v="0.62643652800000005"/>
    <n v="0.57808694400000005"/>
    <n v="6"/>
    <n v="21.91783439490446"/>
    <n v="377.29857397916408"/>
  </r>
  <r>
    <x v="4"/>
    <x v="7"/>
    <n v="0.39984676499999999"/>
    <n v="0.450333333"/>
    <n v="13"/>
    <n v="17.261146496815286"/>
    <n v="234.00716669265282"/>
  </r>
  <r>
    <x v="4"/>
    <x v="1"/>
    <n v="0.590536375"/>
    <n v="0.61247410899999999"/>
    <n v="9"/>
    <n v="41.731210191082802"/>
    <n v="1367.7661137791385"/>
  </r>
  <r>
    <x v="4"/>
    <x v="1"/>
    <n v="0.590536375"/>
    <n v="0.61247410899999999"/>
    <n v="10"/>
    <n v="66.91783439490446"/>
    <n v="3517.0102740056614"/>
  </r>
  <r>
    <x v="4"/>
    <x v="1"/>
    <n v="0.590536375"/>
    <n v="0.61247410899999999"/>
    <n v="11"/>
    <n v="101.86369426751592"/>
    <n v="8149.4580126194851"/>
  </r>
  <r>
    <x v="4"/>
    <x v="4"/>
    <n v="0.39"/>
    <n v="0.28861111099999998"/>
    <n v="4.5"/>
    <n v="29.359235668789808"/>
    <n v="676.98550725961843"/>
  </r>
  <r>
    <x v="5"/>
    <x v="12"/>
    <n v="0.43916666700000001"/>
    <n v="0.51877777800000002"/>
    <n v="4"/>
    <n v="5.1910828025477711"/>
    <n v="21.164391865092711"/>
  </r>
  <r>
    <x v="5"/>
    <x v="13"/>
    <n v="0.56572270000000002"/>
    <n v="0.61247410899999999"/>
    <n v="6"/>
    <n v="28.115286624203822"/>
    <n v="620.83316939826443"/>
  </r>
  <r>
    <x v="5"/>
    <x v="14"/>
    <n v="0.46921933300000002"/>
    <n v="0.46713991199999999"/>
    <n v="5"/>
    <n v="21.777707006369425"/>
    <n v="372.48962649359208"/>
  </r>
  <r>
    <x v="5"/>
    <x v="15"/>
    <n v="0.45255480399999998"/>
    <n v="0.57808694400000005"/>
    <n v="8"/>
    <n v="44.621019108280251"/>
    <n v="1563.7555042131935"/>
  </r>
  <r>
    <x v="5"/>
    <x v="7"/>
    <n v="0.39984676499999999"/>
    <n v="0.450333333"/>
    <n v="7"/>
    <n v="61.585350318471342"/>
    <n v="2978.8231048366797"/>
  </r>
  <r>
    <x v="5"/>
    <x v="16"/>
    <n v="0.56572270000000002"/>
    <n v="0.61247410899999999"/>
    <n v="6"/>
    <n v="27.028025477707004"/>
    <n v="573.74448056082633"/>
  </r>
  <r>
    <x v="5"/>
    <x v="17"/>
    <n v="0.56023871300000005"/>
    <n v="0.74103703700000001"/>
    <n v="6"/>
    <n v="12.611464968152866"/>
    <n v="124.91683069428197"/>
  </r>
  <r>
    <x v="5"/>
    <x v="2"/>
    <n v="0.53168696000000004"/>
    <n v="0.61247410899999999"/>
    <n v="9"/>
    <n v="10.318471337579616"/>
    <n v="83.622010630056508"/>
  </r>
  <r>
    <x v="5"/>
    <x v="2"/>
    <n v="0.53168696000000004"/>
    <n v="0.61247410899999999"/>
    <n v="6"/>
    <n v="35.389808917197456"/>
    <n v="983.66295672685794"/>
  </r>
  <r>
    <x v="5"/>
    <x v="18"/>
    <n v="0.432770245"/>
    <n v="0.61247410899999999"/>
    <n v="5"/>
    <n v="60.509554140127392"/>
    <n v="2875.6616595650826"/>
  </r>
  <r>
    <x v="5"/>
    <x v="19"/>
    <n v="0.98708677300000003"/>
    <n v="0.60285714300000004"/>
    <n v="7"/>
    <n v="32.536305732484081"/>
    <n v="831.43128494164887"/>
  </r>
  <r>
    <x v="5"/>
    <x v="19"/>
    <n v="0.98708677300000003"/>
    <n v="0.60285714300000004"/>
    <n v="6"/>
    <n v="58.191719745222926"/>
    <n v="2659.5751450768225"/>
  </r>
  <r>
    <x v="5"/>
    <x v="19"/>
    <n v="0.98708677300000003"/>
    <n v="0.60285714300000004"/>
    <n v="9"/>
    <n v="71.001910828025487"/>
    <n v="3959.4052525909265"/>
  </r>
  <r>
    <x v="5"/>
    <x v="20"/>
    <n v="0.693333333"/>
    <n v="0.64166666699999997"/>
    <n v="6.8"/>
    <n v="20.563057324840763"/>
    <n v="332.09723048041138"/>
  </r>
  <r>
    <x v="5"/>
    <x v="20"/>
    <n v="0.693333333"/>
    <n v="0.64166666699999997"/>
    <n v="6"/>
    <n v="8.1847133757961785"/>
    <n v="52.613456219560696"/>
  </r>
  <r>
    <x v="6"/>
    <x v="21"/>
    <n v="0.86"/>
    <n v="0.65666666699999998"/>
    <n v="7"/>
    <n v="8.4394904458598727"/>
    <n v="55.939983391401071"/>
  </r>
  <r>
    <x v="6"/>
    <x v="22"/>
    <n v="0.40257753800000001"/>
    <n v="0.40843333300000001"/>
    <n v="6"/>
    <n v="23.346496815286624"/>
    <n v="428.08826964258498"/>
  </r>
  <r>
    <x v="6"/>
    <x v="0"/>
    <n v="0.80908761900000004"/>
    <n v="0.87473809499999999"/>
    <n v="8"/>
    <n v="22.738853503184714"/>
    <n v="406.0944075899281"/>
  </r>
  <r>
    <x v="6"/>
    <x v="6"/>
    <n v="0.6"/>
    <n v="0.66674999999999995"/>
    <n v="5"/>
    <n v="6.114649681528662"/>
    <n v="29.365205379004752"/>
  </r>
  <r>
    <x v="6"/>
    <x v="15"/>
    <n v="0.45255480399999998"/>
    <n v="0.57808694400000005"/>
    <n v="6"/>
    <n v="35.421656050955413"/>
    <n v="985.43414126614016"/>
  </r>
  <r>
    <x v="6"/>
    <x v="15"/>
    <n v="0.45255480399999998"/>
    <n v="0.57808694400000005"/>
    <n v="5"/>
    <n v="11.369426751592357"/>
    <n v="101.52360189748202"/>
  </r>
  <r>
    <x v="6"/>
    <x v="15"/>
    <n v="0.45255480399999998"/>
    <n v="0.57808694400000005"/>
    <n v="5.5"/>
    <n v="21.56751592356688"/>
    <n v="365.33403713129644"/>
  </r>
  <r>
    <x v="6"/>
    <x v="15"/>
    <n v="0.45255480399999998"/>
    <n v="0.57808694400000005"/>
    <n v="5"/>
    <n v="21.140764331210192"/>
    <n v="351.01950638890355"/>
  </r>
  <r>
    <x v="6"/>
    <x v="15"/>
    <n v="0.45255480399999998"/>
    <n v="0.57808694400000005"/>
    <n v="6"/>
    <n v="25.640127388535031"/>
    <n v="516.33342305359247"/>
  </r>
  <r>
    <x v="6"/>
    <x v="7"/>
    <n v="0.39984676499999999"/>
    <n v="0.450333333"/>
    <n v="8"/>
    <n v="44.068789808917195"/>
    <n v="1525.28897115466"/>
  </r>
  <r>
    <x v="6"/>
    <x v="7"/>
    <n v="0.39984676499999999"/>
    <n v="0.450333333"/>
    <n v="9"/>
    <n v="54.057961783439488"/>
    <n v="2295.140175517909"/>
  </r>
  <r>
    <x v="6"/>
    <x v="23"/>
    <n v="0.85750000000000004"/>
    <n v="0.61247410899999999"/>
    <n v="7"/>
    <n v="78.634394904458588"/>
    <n v="4856.4059194976544"/>
  </r>
  <r>
    <x v="6"/>
    <x v="18"/>
    <n v="0.432770245"/>
    <n v="0.61247410899999999"/>
    <n v="5"/>
    <n v="9.7133757961783438"/>
    <n v="74.102057030759482"/>
  </r>
  <r>
    <x v="6"/>
    <x v="4"/>
    <n v="0.39"/>
    <n v="0.28861111099999998"/>
    <n v="6"/>
    <n v="18.754140127388535"/>
    <n v="276.23849209842371"/>
  </r>
  <r>
    <x v="6"/>
    <x v="24"/>
    <n v="0.48464433800000001"/>
    <n v="0.62688577999999995"/>
    <n v="5"/>
    <n v="67.557961783439495"/>
    <n v="3584.6186361436112"/>
  </r>
  <r>
    <x v="6"/>
    <x v="19"/>
    <n v="0.98708677300000003"/>
    <n v="0.60285714300000004"/>
    <n v="7"/>
    <n v="5.5414012738853495"/>
    <n v="24.117321995842772"/>
  </r>
  <r>
    <x v="6"/>
    <x v="5"/>
    <n v="0.470857311"/>
    <n v="0.375"/>
    <n v="5"/>
    <n v="61.340764331210188"/>
    <n v="2955.2093196411975"/>
  </r>
  <r>
    <x v="6"/>
    <x v="25"/>
    <n v="0.28577490700000002"/>
    <n v="0.3422"/>
    <n v="6"/>
    <n v="6.8471337579617835"/>
    <n v="36.822011139444854"/>
  </r>
  <r>
    <x v="7"/>
    <x v="21"/>
    <n v="0.86"/>
    <n v="0.65666666699999998"/>
    <n v="8"/>
    <n v="13.535031847133757"/>
    <n v="143.88265575039969"/>
  </r>
  <r>
    <x v="7"/>
    <x v="26"/>
    <n v="0.41"/>
    <n v="0.33983503399999998"/>
    <n v="7"/>
    <n v="5.1910828025477711"/>
    <n v="21.164391865092711"/>
  </r>
  <r>
    <x v="7"/>
    <x v="27"/>
    <n v="0.64800000000000002"/>
    <n v="0.66733333299999997"/>
    <n v="7"/>
    <n v="8.6942675159235669"/>
    <n v="59.368473081918566"/>
  </r>
  <r>
    <x v="7"/>
    <x v="6"/>
    <n v="0.6"/>
    <n v="0.66674999999999995"/>
    <n v="6"/>
    <n v="8.1847133757961785"/>
    <n v="52.613456219560696"/>
  </r>
  <r>
    <x v="7"/>
    <x v="11"/>
    <n v="0.6"/>
    <n v="0.51040266700000003"/>
    <n v="8"/>
    <n v="37.028662420382162"/>
    <n v="1076.8765754348442"/>
  </r>
  <r>
    <x v="7"/>
    <x v="28"/>
    <n v="0.51642601200000005"/>
    <n v="0.60835714299999999"/>
    <n v="4"/>
    <n v="3.9808917197452227"/>
    <n v="12.446596518200664"/>
  </r>
  <r>
    <x v="7"/>
    <x v="29"/>
    <n v="0.490852183"/>
    <n v="0.607288889"/>
    <n v="4"/>
    <n v="3.9490445859872612"/>
    <n v="12.248247556086621"/>
  </r>
  <r>
    <x v="7"/>
    <x v="29"/>
    <n v="0.490852183"/>
    <n v="0.607288889"/>
    <n v="5"/>
    <n v="4.6178343949044587"/>
    <n v="16.748140274890819"/>
  </r>
  <r>
    <x v="7"/>
    <x v="15"/>
    <n v="0.45255480399999998"/>
    <n v="0.57808694400000005"/>
    <n v="9"/>
    <n v="103.62165605095541"/>
    <n v="8433.1716267702959"/>
  </r>
  <r>
    <x v="7"/>
    <x v="15"/>
    <n v="0.45255480399999998"/>
    <n v="0.57808694400000005"/>
    <n v="10"/>
    <n v="114.11210191082803"/>
    <n v="10227.118578237156"/>
  </r>
  <r>
    <x v="7"/>
    <x v="7"/>
    <n v="0.39984676499999999"/>
    <n v="0.450333333"/>
    <n v="9"/>
    <n v="20.445859872611464"/>
    <n v="328.3224964689702"/>
  </r>
  <r>
    <x v="7"/>
    <x v="1"/>
    <n v="0.590536375"/>
    <n v="0.61247410899999999"/>
    <n v="7"/>
    <n v="52.821019108280254"/>
    <n v="2191.3080466077167"/>
  </r>
  <r>
    <x v="7"/>
    <x v="24"/>
    <n v="0.48464433800000001"/>
    <n v="0.62688577999999995"/>
    <n v="7"/>
    <n v="10"/>
    <n v="78.539816339744831"/>
  </r>
  <r>
    <x v="7"/>
    <x v="9"/>
    <n v="0.40238543599999999"/>
    <n v="0.40883333300000002"/>
    <n v="6"/>
    <n v="10.318471337579616"/>
    <n v="83.622010630056508"/>
  </r>
  <r>
    <x v="7"/>
    <x v="9"/>
    <n v="0.40238543599999999"/>
    <n v="0.40883333300000002"/>
    <n v="8"/>
    <n v="11.687898089171975"/>
    <n v="107.29085686015551"/>
  </r>
  <r>
    <x v="7"/>
    <x v="9"/>
    <n v="0.40238543599999999"/>
    <n v="0.40883333300000002"/>
    <n v="7"/>
    <n v="12.579617834394904"/>
    <n v="124.28673419214456"/>
  </r>
  <r>
    <x v="8"/>
    <x v="22"/>
    <n v="0.40257753800000001"/>
    <n v="0.40843333300000001"/>
    <n v="8"/>
    <n v="11.942675159235668"/>
    <n v="112.01936866380598"/>
  </r>
  <r>
    <x v="8"/>
    <x v="10"/>
    <n v="0.31264018999999998"/>
    <n v="0.356821212"/>
    <n v="4.5"/>
    <n v="12.834394904458597"/>
    <n v="129.37211481116489"/>
  </r>
  <r>
    <x v="8"/>
    <x v="27"/>
    <n v="0.64800000000000002"/>
    <n v="0.66733333299999997"/>
    <n v="7"/>
    <n v="9.1082802547770694"/>
    <n v="65.157235763375468"/>
  </r>
  <r>
    <x v="8"/>
    <x v="13"/>
    <n v="0.56572270000000002"/>
    <n v="0.61247410899999999"/>
    <n v="8"/>
    <n v="31.370063694267515"/>
    <n v="772.89532849617251"/>
  </r>
  <r>
    <x v="8"/>
    <x v="11"/>
    <n v="0.6"/>
    <n v="0.51040266700000003"/>
    <n v="6"/>
    <n v="80.32101910828024"/>
    <n v="5066.9696344804015"/>
  </r>
  <r>
    <x v="8"/>
    <x v="29"/>
    <n v="0.490852183"/>
    <n v="0.607288889"/>
    <n v="6"/>
    <n v="6.7515923566878975"/>
    <n v="35.801589370496679"/>
  </r>
  <r>
    <x v="8"/>
    <x v="15"/>
    <n v="0.45255480399999998"/>
    <n v="0.57808694400000005"/>
    <n v="6"/>
    <n v="19.962420382165604"/>
    <n v="312.97977600687028"/>
  </r>
  <r>
    <x v="8"/>
    <x v="15"/>
    <n v="0.45255480399999998"/>
    <n v="0.57808694400000005"/>
    <n v="7"/>
    <n v="29.359872611464969"/>
    <n v="677.01488170535072"/>
  </r>
  <r>
    <x v="8"/>
    <x v="7"/>
    <n v="0.39984676499999999"/>
    <n v="0.450333333"/>
    <n v="8"/>
    <n v="19.840764331210188"/>
    <n v="309.17664384081314"/>
  </r>
  <r>
    <x v="8"/>
    <x v="17"/>
    <n v="0.56023871300000005"/>
    <n v="0.74103703700000001"/>
    <n v="6"/>
    <n v="7.484076433121019"/>
    <n v="43.991250733928432"/>
  </r>
  <r>
    <x v="8"/>
    <x v="30"/>
    <n v="0.50857142899999996"/>
    <n v="0.49666666700000001"/>
    <n v="6"/>
    <n v="8.503184713375795"/>
    <n v="56.78754682790445"/>
  </r>
  <r>
    <x v="8"/>
    <x v="30"/>
    <n v="0.50857142899999996"/>
    <n v="0.49666666700000001"/>
    <n v="8"/>
    <n v="60.440127388535032"/>
    <n v="2869.0665584865874"/>
  </r>
  <r>
    <x v="8"/>
    <x v="4"/>
    <n v="0.39"/>
    <n v="0.28861111099999998"/>
    <n v="6"/>
    <n v="12.802547770700638"/>
    <n v="128.73086615854726"/>
  </r>
  <r>
    <x v="8"/>
    <x v="31"/>
    <n v="0.65716857299999998"/>
    <n v="0.85527777800000004"/>
    <n v="5"/>
    <n v="7.484076433121019"/>
    <n v="43.991250733928432"/>
  </r>
  <r>
    <x v="8"/>
    <x v="32"/>
    <n v="0.84850681500000003"/>
    <n v="0.85527777800000004"/>
    <n v="10"/>
    <n v="14.840764331210192"/>
    <n v="172.98259926440858"/>
  </r>
  <r>
    <x v="8"/>
    <x v="9"/>
    <n v="0.40238543599999999"/>
    <n v="0.40883333300000002"/>
    <n v="8"/>
    <n v="11.847133757961783"/>
    <n v="110.2342280047796"/>
  </r>
  <r>
    <x v="8"/>
    <x v="9"/>
    <n v="0.40238543599999999"/>
    <n v="0.40883333300000002"/>
    <n v="8"/>
    <n v="14.203821656050955"/>
    <n v="158.45294035292184"/>
  </r>
  <r>
    <x v="8"/>
    <x v="9"/>
    <n v="0.40238543599999999"/>
    <n v="0.40883333300000002"/>
    <n v="8"/>
    <n v="14.808917197452228"/>
    <n v="172.24098125746809"/>
  </r>
  <r>
    <x v="8"/>
    <x v="19"/>
    <n v="0.98708677300000003"/>
    <n v="0.60285714300000004"/>
    <n v="7"/>
    <n v="44.022292993630572"/>
    <n v="1522.0720157730859"/>
  </r>
  <r>
    <x v="9"/>
    <x v="0"/>
    <n v="0.80908761900000004"/>
    <n v="0.87473809499999999"/>
    <n v="6"/>
    <n v="7.1019108280254777"/>
    <n v="39.613235088230461"/>
  </r>
  <r>
    <x v="9"/>
    <x v="0"/>
    <n v="0.80908761900000004"/>
    <n v="0.87473809499999999"/>
    <n v="8"/>
    <n v="6.5605095541401273"/>
    <n v="33.803761270167257"/>
  </r>
  <r>
    <x v="9"/>
    <x v="0"/>
    <n v="0.80908761900000004"/>
    <n v="0.87473809499999999"/>
    <n v="7"/>
    <n v="8.4713375796178347"/>
    <n v="56.362968527475616"/>
  </r>
  <r>
    <x v="9"/>
    <x v="0"/>
    <n v="0.80908761900000004"/>
    <n v="0.87473809499999999"/>
    <n v="8"/>
    <n v="11.273885350318471"/>
    <n v="99.824492113589415"/>
  </r>
  <r>
    <x v="9"/>
    <x v="0"/>
    <n v="0.80908761900000004"/>
    <n v="0.87473809499999999"/>
    <n v="8"/>
    <n v="13.471337579617833"/>
    <n v="142.53165237792811"/>
  </r>
  <r>
    <x v="9"/>
    <x v="0"/>
    <n v="0.80908761900000004"/>
    <n v="0.87473809499999999"/>
    <n v="8"/>
    <n v="14.458598726114648"/>
    <n v="164.18833202850868"/>
  </r>
  <r>
    <x v="9"/>
    <x v="6"/>
    <n v="0.6"/>
    <n v="0.66674999999999995"/>
    <n v="6.5"/>
    <n v="4.8726114649681529"/>
    <n v="18.647192185251804"/>
  </r>
  <r>
    <x v="9"/>
    <x v="15"/>
    <n v="0.45255480399999998"/>
    <n v="0.57808694400000005"/>
    <n v="3"/>
    <n v="4.2675159235668794"/>
    <n v="14.303429573171918"/>
  </r>
  <r>
    <x v="9"/>
    <x v="33"/>
    <n v="0.43538739399999998"/>
    <n v="0.568333333"/>
    <n v="2"/>
    <n v="4.2038216560509554"/>
    <n v="13.879647854920218"/>
  </r>
  <r>
    <x v="9"/>
    <x v="16"/>
    <n v="0.56572270000000002"/>
    <n v="0.61247410899999999"/>
    <n v="4.5"/>
    <n v="5.8280254777070066"/>
    <n v="26.676740531073417"/>
  </r>
  <r>
    <x v="9"/>
    <x v="23"/>
    <n v="0.85750000000000004"/>
    <n v="0.61247410899999999"/>
    <n v="5"/>
    <n v="5.5732484076433115"/>
    <n v="24.395329175673304"/>
  </r>
  <r>
    <x v="9"/>
    <x v="9"/>
    <n v="0.40238543599999999"/>
    <n v="0.40883333300000002"/>
    <n v="7"/>
    <n v="12.32484076433121"/>
    <n v="119.30331609180131"/>
  </r>
  <r>
    <x v="9"/>
    <x v="19"/>
    <n v="0.98708677300000003"/>
    <n v="0.60285714300000004"/>
    <n v="9"/>
    <n v="17.67515923566879"/>
    <n v="245.36722512120065"/>
  </r>
  <r>
    <x v="9"/>
    <x v="19"/>
    <n v="0.98708677300000003"/>
    <n v="0.60285714300000004"/>
    <n v="8"/>
    <n v="46.465605095541399"/>
    <n v="1695.7158343239264"/>
  </r>
  <r>
    <x v="9"/>
    <x v="19"/>
    <n v="0.98708677300000003"/>
    <n v="0.60285714300000004"/>
    <n v="10"/>
    <n v="88.566242038216558"/>
    <n v="6160.6468800052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">
  <r>
    <s v="REGUA_PV1"/>
    <x v="0"/>
    <n v="0.78445916699999996"/>
    <n v="0.87841666699999998"/>
    <n v="3"/>
    <n v="4.1401273885350314"/>
    <n v="13.462238794085838"/>
  </r>
  <r>
    <s v="REGUA_PV1"/>
    <x v="1"/>
    <n v="0.64800000000000002"/>
    <n v="0.66733333299999997"/>
    <n v="4.5"/>
    <n v="4.7770700636942669"/>
    <n v="17.923098986208956"/>
  </r>
  <r>
    <s v="REGUA_PV1"/>
    <x v="2"/>
    <n v="0.6"/>
    <n v="0.66674999999999995"/>
    <n v="3"/>
    <n v="9.872611464968152"/>
    <n v="76.55154722554137"/>
  </r>
  <r>
    <s v="REGUA_PV1"/>
    <x v="2"/>
    <n v="0.6"/>
    <n v="0.66674999999999995"/>
    <n v="7"/>
    <n v="13.694267515923567"/>
    <n v="147.28804455777941"/>
  </r>
  <r>
    <s v="REGUA_PV1"/>
    <x v="3"/>
    <n v="0.83069230800000005"/>
    <n v="0.78683697699999999"/>
    <n v="5.5"/>
    <n v="13.375796178343949"/>
    <n v="140.51709605187824"/>
  </r>
  <r>
    <s v="REGUA_PV1"/>
    <x v="3"/>
    <n v="0.83069230800000005"/>
    <n v="0.78683697699999999"/>
    <n v="5.5"/>
    <n v="11.146496815286623"/>
    <n v="97.581316702693215"/>
  </r>
  <r>
    <s v="REGUA_PV1"/>
    <x v="4"/>
    <n v="0.39790071399999999"/>
    <n v="0.50565277799999997"/>
    <n v="8"/>
    <n v="21.97452229299363"/>
    <n v="379.25277454818155"/>
  </r>
  <r>
    <s v="REGUA_PV1"/>
    <x v="5"/>
    <n v="0.9"/>
    <n v="0.61247410899999999"/>
    <n v="3"/>
    <n v="3.1847133757961781"/>
    <n v="7.9658217716484252"/>
  </r>
  <r>
    <s v="REGUA_PV1"/>
    <x v="6"/>
    <n v="0.89361000000000002"/>
    <n v="0.61247410899999999"/>
    <n v="5.5"/>
    <n v="8.9171974522292992"/>
    <n v="62.452042689723655"/>
  </r>
  <r>
    <s v="REGUA_PV1"/>
    <x v="6"/>
    <n v="0.89361000000000002"/>
    <n v="0.61247410899999999"/>
    <n v="4.5"/>
    <n v="9.872611464968152"/>
    <n v="76.55154722554137"/>
  </r>
  <r>
    <s v="REGUA_PV1"/>
    <x v="6"/>
    <n v="0.89361000000000002"/>
    <n v="0.61247410899999999"/>
    <n v="5"/>
    <n v="6.6878980891719744"/>
    <n v="35.12927401296956"/>
  </r>
  <r>
    <s v="REGUA_PV1"/>
    <x v="6"/>
    <n v="0.89361000000000002"/>
    <n v="0.61247410899999999"/>
    <n v="4.5"/>
    <n v="7.3248407643312099"/>
    <n v="42.139197172020175"/>
  </r>
  <r>
    <s v="REGUA_PV1"/>
    <x v="7"/>
    <n v="0.45255480399999998"/>
    <n v="0.57808694400000005"/>
    <n v="5.5"/>
    <n v="14.331210191082802"/>
    <n v="161.30789087588062"/>
  </r>
  <r>
    <s v="REGUA_PV1"/>
    <x v="8"/>
    <n v="0.62643652800000005"/>
    <n v="0.57808694400000005"/>
    <n v="6.5"/>
    <n v="12.420382165605096"/>
    <n v="121.16014914677258"/>
  </r>
  <r>
    <s v="REGUA_PV1"/>
    <x v="9"/>
    <n v="0.590536375"/>
    <n v="0.61247410899999999"/>
    <n v="9"/>
    <n v="15.286624203821656"/>
    <n v="183.53253361877975"/>
  </r>
  <r>
    <s v="REGUA_PV1"/>
    <x v="10"/>
    <n v="0.432770245"/>
    <n v="0.61247410899999999"/>
    <n v="6.5"/>
    <n v="21.019108280254777"/>
    <n v="346.99119637300544"/>
  </r>
  <r>
    <s v="REGUA_PV1"/>
    <x v="11"/>
    <n v="0.43836446099999998"/>
    <n v="0.58666666700000003"/>
    <n v="5.5"/>
    <n v="18.471337579617835"/>
    <n v="267.9702443982531"/>
  </r>
  <r>
    <s v="REGUA_PV1"/>
    <x v="11"/>
    <n v="0.43836446099999998"/>
    <n v="0.58666666700000003"/>
    <n v="5"/>
    <n v="21.97452229299363"/>
    <n v="379.25277454818155"/>
  </r>
  <r>
    <s v="REGUA_PV2"/>
    <x v="12"/>
    <n v="0.80908761900000004"/>
    <n v="0.87473809499999999"/>
    <n v="15"/>
    <n v="34.394904458598724"/>
    <n v="929.1334514450723"/>
  </r>
  <r>
    <s v="REGUA_PV2"/>
    <x v="13"/>
    <n v="0.41"/>
    <n v="0.33983503399999998"/>
    <n v="6"/>
    <n v="24.68152866242038"/>
    <n v="478.44717015963357"/>
  </r>
  <r>
    <s v="REGUA_PV2"/>
    <x v="14"/>
    <n v="0.31264018999999998"/>
    <n v="0.356821212"/>
    <n v="15"/>
    <n v="6.6878980891719744"/>
    <n v="35.12927401296956"/>
  </r>
  <r>
    <s v="REGUA_PV2"/>
    <x v="15"/>
    <n v="0.766138345"/>
    <n v="0.90500000000000003"/>
    <n v="11"/>
    <n v="25.477707006369425"/>
    <n v="509.81259338549921"/>
  </r>
  <r>
    <s v="REGUA_PV2"/>
    <x v="2"/>
    <n v="0.6"/>
    <n v="0.66674999999999995"/>
    <n v="5.5"/>
    <n v="8.4394904458598727"/>
    <n v="55.939983391401071"/>
  </r>
  <r>
    <s v="REGUA_PV2"/>
    <x v="2"/>
    <n v="0.6"/>
    <n v="0.66674999999999995"/>
    <n v="3.5"/>
    <n v="8.598726114649681"/>
    <n v="58.070840715317019"/>
  </r>
  <r>
    <s v="REGUA_PV2"/>
    <x v="2"/>
    <n v="0.6"/>
    <n v="0.66674999999999995"/>
    <n v="2.5"/>
    <n v="4.936305732484076"/>
    <n v="19.137886806385342"/>
  </r>
  <r>
    <s v="REGUA_PV2"/>
    <x v="16"/>
    <n v="0.63206279899999995"/>
    <n v="0.75690909100000003"/>
    <n v="2.5"/>
    <n v="2.8662420382165603"/>
    <n v="6.4523156350352249"/>
  </r>
  <r>
    <s v="REGUA_PV2"/>
    <x v="16"/>
    <n v="0.63206279899999995"/>
    <n v="0.75690909100000003"/>
    <n v="4.5"/>
    <n v="6.8471337579617835"/>
    <n v="36.822011139444854"/>
  </r>
  <r>
    <s v="REGUA_PV2"/>
    <x v="16"/>
    <n v="0.63206279899999995"/>
    <n v="0.75690909100000003"/>
    <n v="2.5"/>
    <n v="4.1401273885350314"/>
    <n v="13.462238794085838"/>
  </r>
  <r>
    <s v="REGUA_PV2"/>
    <x v="6"/>
    <n v="0.89361000000000002"/>
    <n v="0.61247410899999999"/>
    <n v="7"/>
    <n v="15.605095541401273"/>
    <n v="191.25938073727869"/>
  </r>
  <r>
    <s v="REGUA_PV2"/>
    <x v="6"/>
    <n v="0.89361000000000002"/>
    <n v="0.61247410899999999"/>
    <n v="4.5"/>
    <n v="6.5286624203821653"/>
    <n v="33.476365995352509"/>
  </r>
  <r>
    <s v="REGUA_PV2"/>
    <x v="17"/>
    <n v="0.708787469"/>
    <n v="0.80167708299999996"/>
    <n v="4"/>
    <n v="8.2802547770700627"/>
    <n v="53.848955176343352"/>
  </r>
  <r>
    <s v="REGUA_PV2"/>
    <x v="17"/>
    <n v="0.708787469"/>
    <n v="0.80167708299999996"/>
    <n v="4"/>
    <n v="4.7770700636942669"/>
    <n v="17.923098986208956"/>
  </r>
  <r>
    <s v="REGUA_PV2"/>
    <x v="8"/>
    <n v="0.62643652800000005"/>
    <n v="0.57808694400000005"/>
    <n v="10"/>
    <n v="15.127388535031846"/>
    <n v="179.7288537228176"/>
  </r>
  <r>
    <s v="REGUA_PV2"/>
    <x v="8"/>
    <n v="0.62643652800000005"/>
    <n v="0.57808694400000005"/>
    <n v="3"/>
    <n v="9.872611464968152"/>
    <n v="76.55154722554137"/>
  </r>
  <r>
    <s v="REGUA_PV2"/>
    <x v="18"/>
    <n v="0.63400000000000001"/>
    <n v="0.73247777800000002"/>
    <n v="9"/>
    <n v="11.146496815286623"/>
    <n v="97.581316702693215"/>
  </r>
  <r>
    <s v="REGUA_PV2"/>
    <x v="19"/>
    <n v="0.39"/>
    <n v="0.28861111099999998"/>
    <n v="12"/>
    <n v="15.923566878980891"/>
    <n v="199.14554429121063"/>
  </r>
  <r>
    <s v="REGUA_PV2"/>
    <x v="20"/>
    <n v="0.56000000000000005"/>
    <n v="0.53945833300000001"/>
    <n v="6"/>
    <n v="10.031847133757962"/>
    <n v="79.040866529181514"/>
  </r>
  <r>
    <s v="REGUA_PV2"/>
    <x v="21"/>
    <n v="0.40238543599999999"/>
    <n v="0.40883333300000002"/>
    <n v="10"/>
    <n v="15.445859872611464"/>
    <n v="187.37604262360011"/>
  </r>
  <r>
    <s v="REGUA_PV2"/>
    <x v="21"/>
    <n v="0.40238543599999999"/>
    <n v="0.40883333300000002"/>
    <n v="11"/>
    <n v="12.579617834394904"/>
    <n v="124.28673419214456"/>
  </r>
  <r>
    <s v="REGUA_PV3"/>
    <x v="14"/>
    <n v="0.31264018999999998"/>
    <n v="0.356821212"/>
    <n v="11"/>
    <n v="25.477707006369425"/>
    <n v="509.81259338549921"/>
  </r>
  <r>
    <s v="REGUA_PV3"/>
    <x v="15"/>
    <n v="0.766138345"/>
    <n v="0.90500000000000003"/>
    <n v="6"/>
    <n v="11.146496815286623"/>
    <n v="97.581316702693215"/>
  </r>
  <r>
    <s v="REGUA_PV3"/>
    <x v="15"/>
    <n v="0.766138345"/>
    <n v="0.90500000000000003"/>
    <n v="7"/>
    <n v="7.6433121019108281"/>
    <n v="45.883133404694938"/>
  </r>
  <r>
    <s v="REGUA_PV3"/>
    <x v="2"/>
    <n v="0.6"/>
    <n v="0.66674999999999995"/>
    <n v="3.5"/>
    <n v="5.0955414012738851"/>
    <n v="20.392503735419968"/>
  </r>
  <r>
    <s v="REGUA_PV3"/>
    <x v="2"/>
    <n v="0.6"/>
    <n v="0.66674999999999995"/>
    <n v="8"/>
    <n v="13.057324840764331"/>
    <n v="133.90546398141004"/>
  </r>
  <r>
    <s v="REGUA_PV3"/>
    <x v="2"/>
    <n v="0.6"/>
    <n v="0.66674999999999995"/>
    <n v="3"/>
    <n v="5.4140127388535033"/>
    <n v="23.021224920063954"/>
  </r>
  <r>
    <s v="REGUA_PV3"/>
    <x v="6"/>
    <n v="0.89361000000000002"/>
    <n v="0.61247410899999999"/>
    <n v="6.5"/>
    <n v="7.0063694267515917"/>
    <n v="38.554577374778376"/>
  </r>
  <r>
    <s v="REGUA_PV3"/>
    <x v="17"/>
    <n v="0.708787469"/>
    <n v="0.80167708299999996"/>
    <n v="6.5"/>
    <n v="6.0509554140127388"/>
    <n v="28.756616595650822"/>
  </r>
  <r>
    <s v="REGUA_PV3"/>
    <x v="8"/>
    <n v="0.62643652800000005"/>
    <n v="0.57808694400000005"/>
    <n v="8"/>
    <n v="20.700636942675157"/>
    <n v="336.55596985214595"/>
  </r>
  <r>
    <s v="REGUA_PV3"/>
    <x v="22"/>
    <n v="0.74387999999999999"/>
    <n v="0.59130000000000005"/>
    <n v="12"/>
    <n v="14.012738853503183"/>
    <n v="154.2183094991135"/>
  </r>
  <r>
    <s v="REGUA_PV3"/>
    <x v="10"/>
    <n v="0.432770245"/>
    <n v="0.61247410899999999"/>
    <n v="5"/>
    <n v="18.949044585987259"/>
    <n v="282.01000527078338"/>
  </r>
  <r>
    <s v="REGUA_PV3"/>
    <x v="20"/>
    <n v="0.56000000000000005"/>
    <n v="0.53945833300000001"/>
    <n v="5.5"/>
    <n v="5.7324840764331206"/>
    <n v="25.809262540140899"/>
  </r>
  <r>
    <s v="REGUA_PV3"/>
    <x v="11"/>
    <n v="0.43836446099999998"/>
    <n v="0.58666666700000003"/>
    <n v="3.5"/>
    <n v="5.0955414012738851"/>
    <n v="20.392503735419968"/>
  </r>
  <r>
    <s v="REGUA_PV4"/>
    <x v="23"/>
    <n v="0.86"/>
    <n v="0.65666666699999998"/>
    <n v="9"/>
    <n v="6.6878980891719744"/>
    <n v="35.12927401296956"/>
  </r>
  <r>
    <s v="REGUA_PV4"/>
    <x v="23"/>
    <n v="0.86"/>
    <n v="0.65666666699999998"/>
    <n v="11"/>
    <n v="34.235668789808919"/>
    <n v="920.55027848612133"/>
  </r>
  <r>
    <s v="REGUA_PV4"/>
    <x v="23"/>
    <n v="0.86"/>
    <n v="0.65666666699999998"/>
    <n v="7"/>
    <n v="5.7324840764331206"/>
    <n v="25.809262540140899"/>
  </r>
  <r>
    <s v="REGUA_PV4"/>
    <x v="23"/>
    <n v="0.86"/>
    <n v="0.65666666699999998"/>
    <n v="11"/>
    <n v="7.3248407643312099"/>
    <n v="42.139197172020175"/>
  </r>
  <r>
    <s v="REGUA_PV4"/>
    <x v="23"/>
    <n v="0.86"/>
    <n v="0.65666666699999998"/>
    <n v="10"/>
    <n v="5.7324840764331206"/>
    <n v="25.809262540140899"/>
  </r>
  <r>
    <s v="REGUA_PV4"/>
    <x v="14"/>
    <n v="0.31264018999999998"/>
    <n v="0.356821212"/>
    <n v="13"/>
    <n v="16.878980891719745"/>
    <n v="223.75993356560429"/>
  </r>
  <r>
    <s v="REGUA_PV4"/>
    <x v="14"/>
    <n v="0.31264018999999998"/>
    <n v="0.356821212"/>
    <n v="15"/>
    <n v="24.840764331210192"/>
    <n v="484.64059658709033"/>
  </r>
  <r>
    <s v="REGUA_PV4"/>
    <x v="14"/>
    <n v="0.31264018999999998"/>
    <n v="0.356821212"/>
    <n v="15.5"/>
    <n v="27.070063694267514"/>
    <n v="575.53062300159877"/>
  </r>
  <r>
    <s v="REGUA_PV4"/>
    <x v="14"/>
    <n v="0.31264018999999998"/>
    <n v="0.356821212"/>
    <n v="15.5"/>
    <n v="31.847133757961782"/>
    <n v="796.58217716484251"/>
  </r>
  <r>
    <s v="REGUA_PV4"/>
    <x v="15"/>
    <n v="0.766138345"/>
    <n v="0.90500000000000003"/>
    <n v="12"/>
    <n v="32.165605095541402"/>
    <n v="812.59347892585606"/>
  </r>
  <r>
    <s v="REGUA_PV4"/>
    <x v="2"/>
    <n v="0.6"/>
    <n v="0.66674999999999995"/>
    <n v="10"/>
    <n v="8.9171974522292992"/>
    <n v="62.452042689723655"/>
  </r>
  <r>
    <s v="REGUA_PV4"/>
    <x v="3"/>
    <n v="0.83069230800000005"/>
    <n v="0.78683697699999999"/>
    <n v="8"/>
    <n v="7.6433121019108281"/>
    <n v="45.883133404694938"/>
  </r>
  <r>
    <s v="REGUA_PV4"/>
    <x v="6"/>
    <n v="0.89361000000000002"/>
    <n v="0.61247410899999999"/>
    <n v="3"/>
    <n v="3.1847133757961781"/>
    <n v="7.9658217716484252"/>
  </r>
  <r>
    <s v="REGUA_PV4"/>
    <x v="8"/>
    <n v="0.62643652800000005"/>
    <n v="0.57808694400000005"/>
    <n v="11"/>
    <n v="15.923566878980891"/>
    <n v="199.14554429121063"/>
  </r>
  <r>
    <s v="REGUA_PV4"/>
    <x v="8"/>
    <n v="0.62643652800000005"/>
    <n v="0.57808694400000005"/>
    <n v="4"/>
    <n v="5.7324840764331206"/>
    <n v="25.809262540140899"/>
  </r>
  <r>
    <s v="REGUA_PV4"/>
    <x v="24"/>
    <n v="0.56023871300000005"/>
    <n v="0.74103703700000001"/>
    <n v="11"/>
    <n v="9.0764331210191074"/>
    <n v="64.702387340214344"/>
  </r>
  <r>
    <s v="REGUA_PV4"/>
    <x v="10"/>
    <n v="0.432770245"/>
    <n v="0.61247410899999999"/>
    <n v="10"/>
    <n v="21.337579617834393"/>
    <n v="357.58573932929778"/>
  </r>
  <r>
    <s v="REGUA_PV4"/>
    <x v="11"/>
    <n v="0.43836446099999998"/>
    <n v="0.58666666700000003"/>
    <n v="4"/>
    <n v="9.2356687898089174"/>
    <n v="66.992561099563275"/>
  </r>
  <r>
    <s v="REGUA_PV5"/>
    <x v="14"/>
    <n v="0.31264018999999998"/>
    <n v="0.356821212"/>
    <n v="14"/>
    <n v="25.477707006369425"/>
    <n v="509.81259338549921"/>
  </r>
  <r>
    <s v="REGUA_PV5"/>
    <x v="14"/>
    <n v="0.31264018999999998"/>
    <n v="0.356821212"/>
    <n v="13"/>
    <n v="21.97452229299363"/>
    <n v="379.25277454818155"/>
  </r>
  <r>
    <s v="REGUA_PV5"/>
    <x v="14"/>
    <n v="0.31264018999999998"/>
    <n v="0.356821212"/>
    <n v="13"/>
    <n v="28.662420382165603"/>
    <n v="645.23156350352247"/>
  </r>
  <r>
    <s v="REGUA_PV5"/>
    <x v="15"/>
    <n v="0.766138345"/>
    <n v="0.90500000000000003"/>
    <n v="9"/>
    <n v="21.656050955414013"/>
    <n v="368.33959872102326"/>
  </r>
  <r>
    <s v="REGUA_PV5"/>
    <x v="15"/>
    <n v="0.766138345"/>
    <n v="0.90500000000000003"/>
    <n v="11"/>
    <n v="15.605095541401273"/>
    <n v="191.25938073727869"/>
  </r>
  <r>
    <s v="REGUA_PV5"/>
    <x v="15"/>
    <n v="0.766138345"/>
    <n v="0.90500000000000003"/>
    <n v="6.5"/>
    <n v="9.872611464968152"/>
    <n v="76.55154722554137"/>
  </r>
  <r>
    <s v="REGUA_PV5"/>
    <x v="4"/>
    <n v="0.39790071399999999"/>
    <n v="0.50565277799999997"/>
    <n v="13"/>
    <n v="9.0764331210191074"/>
    <n v="64.702387340214344"/>
  </r>
  <r>
    <s v="REGUA_PV5"/>
    <x v="8"/>
    <n v="0.62643652800000005"/>
    <n v="0.57808694400000005"/>
    <n v="13"/>
    <n v="15.923566878980891"/>
    <n v="199.14554429121063"/>
  </r>
  <r>
    <s v="REGUA_PV5"/>
    <x v="8"/>
    <n v="0.62643652800000005"/>
    <n v="0.57808694400000005"/>
    <n v="5"/>
    <n v="5.7324840764331206"/>
    <n v="25.809262540140899"/>
  </r>
  <r>
    <s v="REGUA_PV5"/>
    <x v="8"/>
    <n v="0.62643652800000005"/>
    <n v="0.57808694400000005"/>
    <n v="12"/>
    <n v="19.745222929936304"/>
    <n v="306.20618890216548"/>
  </r>
  <r>
    <s v="REGUA_PV5"/>
    <x v="8"/>
    <n v="0.62643652800000005"/>
    <n v="0.57808694400000005"/>
    <n v="6"/>
    <n v="13.694267515923567"/>
    <n v="147.28804455777941"/>
  </r>
  <r>
    <s v="REGUA_PV5"/>
    <x v="8"/>
    <n v="0.62643652800000005"/>
    <n v="0.57808694400000005"/>
    <n v="4.5"/>
    <n v="13.694267515923567"/>
    <n v="147.28804455777941"/>
  </r>
  <r>
    <s v="REGUA_PV5"/>
    <x v="18"/>
    <n v="0.63400000000000001"/>
    <n v="0.73247777800000002"/>
    <n v="10"/>
    <n v="14.808917197452228"/>
    <n v="172.24098125746809"/>
  </r>
  <r>
    <s v="REGUA_PV5"/>
    <x v="10"/>
    <n v="0.432770245"/>
    <n v="0.61247410899999999"/>
    <n v="13"/>
    <n v="29.29936305732484"/>
    <n v="674.2271547523228"/>
  </r>
  <r>
    <s v="REGUA_PV5"/>
    <x v="10"/>
    <n v="0.432770245"/>
    <n v="0.61247410899999999"/>
    <n v="12"/>
    <n v="27.388535031847134"/>
    <n v="589.15217823111766"/>
  </r>
  <r>
    <s v="REGUA_PV5"/>
    <x v="10"/>
    <n v="0.432770245"/>
    <n v="0.61247410899999999"/>
    <n v="11"/>
    <n v="21.019108280254777"/>
    <n v="346.99119637300544"/>
  </r>
  <r>
    <s v="REGUA_PV5"/>
    <x v="10"/>
    <n v="0.432770245"/>
    <n v="0.61247410899999999"/>
    <n v="8"/>
    <n v="16.560509554140125"/>
    <n v="215.39582070537341"/>
  </r>
  <r>
    <s v="REGUA_PV5"/>
    <x v="11"/>
    <n v="0.43836446099999998"/>
    <n v="0.58666666700000003"/>
    <n v="6"/>
    <n v="12.420382165605096"/>
    <n v="121.16014914677258"/>
  </r>
  <r>
    <s v="REGUA1"/>
    <x v="12"/>
    <n v="0.80908761900000004"/>
    <n v="0.87473809499999999"/>
    <n v="7"/>
    <n v="15.286624203821656"/>
    <n v="183.53253361877975"/>
  </r>
  <r>
    <s v="REGUA1"/>
    <x v="13"/>
    <n v="0.41"/>
    <n v="0.33983503399999998"/>
    <n v="7"/>
    <n v="9.872611464968152"/>
    <n v="76.55154722554137"/>
  </r>
  <r>
    <s v="REGUA1"/>
    <x v="15"/>
    <n v="0.766138345"/>
    <n v="0.90500000000000003"/>
    <n v="4"/>
    <n v="5.8917197452229297"/>
    <n v="27.263025013466741"/>
  </r>
  <r>
    <s v="REGUA1"/>
    <x v="2"/>
    <n v="0.6"/>
    <n v="0.66674999999999995"/>
    <n v="8"/>
    <n v="21.019108280254777"/>
    <n v="346.99119637300544"/>
  </r>
  <r>
    <s v="REGUA1"/>
    <x v="2"/>
    <n v="0.6"/>
    <n v="0.66674999999999995"/>
    <n v="8"/>
    <n v="10.987261146496815"/>
    <n v="94.813193637045387"/>
  </r>
  <r>
    <s v="REGUA1"/>
    <x v="2"/>
    <n v="0.6"/>
    <n v="0.66674999999999995"/>
    <n v="6.5"/>
    <n v="8.2802547770700627"/>
    <n v="53.848955176343352"/>
  </r>
  <r>
    <s v="REGUA1"/>
    <x v="25"/>
    <n v="0.47982689899999997"/>
    <n v="0.51"/>
    <n v="1.2"/>
    <n v="2.0700636942675157"/>
    <n v="3.3655596985214595"/>
  </r>
  <r>
    <s v="REGUA1"/>
    <x v="26"/>
    <n v="0.490852183"/>
    <n v="0.607288889"/>
    <n v="6.5"/>
    <n v="20.541401273885349"/>
    <n v="331.39810025500361"/>
  </r>
  <r>
    <s v="REGUA1"/>
    <x v="6"/>
    <n v="0.89361000000000002"/>
    <n v="0.61247410899999999"/>
    <n v="5"/>
    <n v="4.2993630573248405"/>
    <n v="14.517710178829255"/>
  </r>
  <r>
    <s v="REGUA1"/>
    <x v="27"/>
    <n v="1082380952"/>
    <n v="0.61247410899999999"/>
    <n v="3"/>
    <n v="1.910828025477707"/>
    <n v="2.8676958377934336"/>
  </r>
  <r>
    <s v="REGUA1"/>
    <x v="28"/>
    <n v="0.85750000000000004"/>
    <n v="0.61247410899999999"/>
    <n v="8.6999999999999993"/>
    <n v="17.67515923566879"/>
    <n v="245.36722512120065"/>
  </r>
  <r>
    <s v="REGUA1"/>
    <x v="28"/>
    <n v="0.85750000000000004"/>
    <n v="0.61247410899999999"/>
    <n v="6"/>
    <n v="5.4140127388535033"/>
    <n v="23.021224920063954"/>
  </r>
  <r>
    <s v="REGUA1"/>
    <x v="28"/>
    <n v="0.85750000000000004"/>
    <n v="0.61247410899999999"/>
    <n v="6"/>
    <n v="4.4585987261146496"/>
    <n v="15.613010672430914"/>
  </r>
  <r>
    <s v="REGUA1"/>
    <x v="28"/>
    <n v="0.85750000000000004"/>
    <n v="0.61247410899999999"/>
    <n v="5.7"/>
    <n v="7.3248407643312099"/>
    <n v="42.139197172020175"/>
  </r>
  <r>
    <s v="REGUA1"/>
    <x v="28"/>
    <n v="0.85750000000000004"/>
    <n v="0.61247410899999999"/>
    <n v="5.5"/>
    <n v="5.4140127388535033"/>
    <n v="23.021224920063954"/>
  </r>
  <r>
    <s v="REGUA1"/>
    <x v="29"/>
    <n v="0.93384615400000004"/>
    <n v="0.61247410899999999"/>
    <n v="2"/>
    <n v="3.5031847133757958"/>
    <n v="9.6386443436945939"/>
  </r>
  <r>
    <s v="REGUA1"/>
    <x v="9"/>
    <n v="0.590536375"/>
    <n v="0.61247410899999999"/>
    <n v="8"/>
    <n v="18.789808917197451"/>
    <n v="277.29025587108168"/>
  </r>
  <r>
    <s v="REGUA1"/>
    <x v="30"/>
    <n v="0.50857142899999996"/>
    <n v="0.49666666700000001"/>
    <n v="10"/>
    <n v="47.452229299363054"/>
    <n v="1768.4920915236669"/>
  </r>
  <r>
    <s v="REGUA1"/>
    <x v="19"/>
    <n v="0.39"/>
    <n v="0.28861111099999998"/>
    <n v="8"/>
    <n v="20.859872611464969"/>
    <n v="341.75366855814667"/>
  </r>
  <r>
    <s v="REGUA1"/>
    <x v="31"/>
    <n v="1.1200000000000001"/>
    <n v="0.85527777800000004"/>
    <n v="2.5"/>
    <n v="1.910828025477707"/>
    <n v="2.8676958377934336"/>
  </r>
  <r>
    <s v="REGUA1"/>
    <x v="32"/>
    <n v="0.66608171000000005"/>
    <n v="0.68661666700000001"/>
    <n v="6.5"/>
    <n v="4.4585987261146496"/>
    <n v="15.613010672430914"/>
  </r>
  <r>
    <s v="REGUA1"/>
    <x v="33"/>
    <n v="0.57917600000000002"/>
    <n v="0.60285714300000004"/>
    <n v="10"/>
    <n v="35.031847133757964"/>
    <n v="963.86443436945979"/>
  </r>
  <r>
    <s v="REGUA1"/>
    <x v="34"/>
    <n v="0.41185709999999998"/>
    <n v="0.41185714299999998"/>
    <n v="2.8"/>
    <n v="2.7070063694267517"/>
    <n v="5.7553062300159885"/>
  </r>
  <r>
    <s v="REGUA2"/>
    <x v="2"/>
    <n v="0.6"/>
    <n v="0.66674999999999995"/>
    <n v="4"/>
    <n v="6.3694267515923562"/>
    <n v="31.863287086593701"/>
  </r>
  <r>
    <s v="REGUA2"/>
    <x v="26"/>
    <n v="0.490852183"/>
    <n v="0.607288889"/>
    <n v="2.5"/>
    <n v="5.2547770700636942"/>
    <n v="21.68694977331284"/>
  </r>
  <r>
    <s v="REGUA2"/>
    <x v="6"/>
    <n v="0.89361000000000002"/>
    <n v="0.61247410899999999"/>
    <n v="2.1"/>
    <n v="3.8216560509554141"/>
    <n v="11.470783351173734"/>
  </r>
  <r>
    <s v="REGUA2"/>
    <x v="17"/>
    <n v="0.708787469"/>
    <n v="0.80167708299999996"/>
    <n v="3.7"/>
    <n v="11.783439490445859"/>
    <n v="109.05210005386697"/>
  </r>
  <r>
    <s v="REGUA2"/>
    <x v="17"/>
    <n v="0.708787469"/>
    <n v="0.80167708299999996"/>
    <n v="2.2000000000000002"/>
    <n v="4.2993630573248405"/>
    <n v="14.517710178829255"/>
  </r>
  <r>
    <s v="REGUA2"/>
    <x v="35"/>
    <n v="0.13069240100000001"/>
    <n v="0.26500000000000001"/>
    <n v="6"/>
    <n v="12.738853503184712"/>
    <n v="127.4531483463748"/>
  </r>
  <r>
    <s v="REGUA2"/>
    <x v="35"/>
    <n v="0.13069240100000001"/>
    <n v="0.26500000000000001"/>
    <n v="4.5"/>
    <n v="12.101910828025478"/>
    <n v="115.02646638260329"/>
  </r>
  <r>
    <s v="REGUA2"/>
    <x v="35"/>
    <n v="0.13069240100000001"/>
    <n v="0.26500000000000001"/>
    <n v="4.5"/>
    <n v="9.5541401273885338"/>
    <n v="71.692395944835823"/>
  </r>
  <r>
    <s v="REGUA2"/>
    <x v="28"/>
    <n v="0.85750000000000004"/>
    <n v="0.61247410899999999"/>
    <n v="3.5"/>
    <n v="9.7133757961783438"/>
    <n v="74.102057030759482"/>
  </r>
  <r>
    <s v="REGUA2"/>
    <x v="24"/>
    <n v="0.56023871300000005"/>
    <n v="0.74103703700000001"/>
    <n v="6"/>
    <n v="7.9617834394904454"/>
    <n v="49.786386072802657"/>
  </r>
  <r>
    <s v="REGUA2"/>
    <x v="24"/>
    <n v="0.56023871300000005"/>
    <n v="0.74103703700000001"/>
    <n v="4.2"/>
    <n v="7.484076433121019"/>
    <n v="43.991250733928432"/>
  </r>
  <r>
    <s v="REGUA2"/>
    <x v="36"/>
    <n v="0.69835862100000001"/>
    <n v="0.69262500000000005"/>
    <n v="8.9"/>
    <n v="7.6433121019108281"/>
    <n v="45.883133404694938"/>
  </r>
  <r>
    <s v="REGUA2"/>
    <x v="36"/>
    <n v="0.69835862100000001"/>
    <n v="0.69262500000000005"/>
    <n v="7.2"/>
    <n v="4.936305732484076"/>
    <n v="19.137886806385342"/>
  </r>
  <r>
    <s v="REGUA2"/>
    <x v="11"/>
    <n v="0.43836446099999998"/>
    <n v="0.58666666700000003"/>
    <n v="2.7"/>
    <n v="10.668789808917197"/>
    <n v="89.396434832324445"/>
  </r>
  <r>
    <s v="REGUA2"/>
    <x v="11"/>
    <n v="0.43836446099999998"/>
    <n v="0.58666666700000003"/>
    <n v="1.9"/>
    <n v="6.3694267515923562"/>
    <n v="31.863287086593701"/>
  </r>
  <r>
    <s v="REGUA2"/>
    <x v="33"/>
    <n v="0.57917600000000002"/>
    <n v="0.60285714300000004"/>
    <n v="8"/>
    <n v="30.254777070063692"/>
    <n v="718.91541489127042"/>
  </r>
  <r>
    <s v="REGUA2"/>
    <x v="37"/>
    <n v="0.28577490700000002"/>
    <n v="0.3422"/>
    <n v="8"/>
    <n v="31.369426751592357"/>
    <n v="772.86394283975949"/>
  </r>
  <r>
    <s v="REGUA3"/>
    <x v="12"/>
    <n v="0.80908761900000004"/>
    <n v="0.87473809499999999"/>
    <n v="7"/>
    <n v="13.216560509554139"/>
    <n v="137.191365462215"/>
  </r>
  <r>
    <s v="REGUA3"/>
    <x v="38"/>
    <n v="0.57550000000000001"/>
    <n v="0.57550000000000001"/>
    <n v="3"/>
    <n v="2.3885350318471334"/>
    <n v="4.480774746552239"/>
  </r>
  <r>
    <s v="REGUA3"/>
    <x v="2"/>
    <n v="0.6"/>
    <n v="0.66674999999999995"/>
    <n v="8"/>
    <n v="15.445859872611464"/>
    <n v="187.37604262360011"/>
  </r>
  <r>
    <s v="REGUA3"/>
    <x v="39"/>
    <n v="0.81991655299999999"/>
    <n v="0.72276027399999998"/>
    <n v="2.2999999999999998"/>
    <n v="6.2101910828025479"/>
    <n v="30.290037286693146"/>
  </r>
  <r>
    <s v="REGUA3"/>
    <x v="25"/>
    <n v="0.47982689899999997"/>
    <n v="0.51"/>
    <n v="3.5"/>
    <n v="9.5541401273885338"/>
    <n v="71.692395944835823"/>
  </r>
  <r>
    <s v="REGUA3"/>
    <x v="25"/>
    <n v="0.47982689899999997"/>
    <n v="0.51"/>
    <n v="2.7"/>
    <n v="6.8471337579617835"/>
    <n v="36.822011139444854"/>
  </r>
  <r>
    <s v="REGUA3"/>
    <x v="26"/>
    <n v="0.490852183"/>
    <n v="0.607288889"/>
    <n v="4.7"/>
    <n v="7.0063694267515917"/>
    <n v="38.554577374778376"/>
  </r>
  <r>
    <s v="REGUA3"/>
    <x v="26"/>
    <n v="0.490852183"/>
    <n v="0.607288889"/>
    <n v="4.5"/>
    <n v="8.9171974522292992"/>
    <n v="62.452042689723655"/>
  </r>
  <r>
    <s v="REGUA3"/>
    <x v="7"/>
    <n v="0.45255480399999998"/>
    <n v="0.57808694400000005"/>
    <n v="5.7"/>
    <n v="12.420382165605096"/>
    <n v="121.16014914677258"/>
  </r>
  <r>
    <s v="REGUA3"/>
    <x v="35"/>
    <n v="0.13069240100000001"/>
    <n v="0.26500000000000001"/>
    <n v="7"/>
    <n v="27.547770700636942"/>
    <n v="596.02269950916434"/>
  </r>
  <r>
    <s v="REGUA3"/>
    <x v="27"/>
    <n v="1082380952"/>
    <n v="0.61247410899999999"/>
    <n v="3.7"/>
    <n v="5.4140127388535033"/>
    <n v="23.021224920063954"/>
  </r>
  <r>
    <s v="REGUA3"/>
    <x v="28"/>
    <n v="0.85750000000000004"/>
    <n v="0.61247410899999999"/>
    <n v="6"/>
    <n v="9.3949044585987256"/>
    <n v="69.322563967770421"/>
  </r>
  <r>
    <s v="REGUA3"/>
    <x v="28"/>
    <n v="0.85750000000000004"/>
    <n v="0.61247410899999999"/>
    <n v="3.5"/>
    <n v="4.7770700636942669"/>
    <n v="17.923098986208956"/>
  </r>
  <r>
    <s v="REGUA3"/>
    <x v="9"/>
    <n v="0.590536375"/>
    <n v="0.61247410899999999"/>
    <n v="10"/>
    <n v="42.834394904458598"/>
    <n v="1441.0370730456295"/>
  </r>
  <r>
    <s v="REGUA3"/>
    <x v="19"/>
    <n v="0.39"/>
    <n v="0.28861111099999998"/>
    <n v="7.5"/>
    <n v="16.401273885350317"/>
    <n v="211.27350793854535"/>
  </r>
  <r>
    <s v="REGUA3"/>
    <x v="21"/>
    <n v="0.40238543599999999"/>
    <n v="0.40883333300000002"/>
    <n v="9"/>
    <n v="16.082802547770701"/>
    <n v="203.14836973146402"/>
  </r>
  <r>
    <s v="REGUA3"/>
    <x v="37"/>
    <n v="0.28577490700000002"/>
    <n v="0.3422"/>
    <n v="8.5"/>
    <n v="27.70700636942675"/>
    <n v="602.93304989606929"/>
  </r>
  <r>
    <s v="REGUA4"/>
    <x v="12"/>
    <n v="0.80908761900000004"/>
    <n v="0.87473809499999999"/>
    <n v="4.5"/>
    <n v="12.738853503184712"/>
    <n v="127.4531483463748"/>
  </r>
  <r>
    <s v="REGUA4"/>
    <x v="12"/>
    <n v="0.80908761900000004"/>
    <n v="0.87473809499999999"/>
    <n v="3.7"/>
    <n v="6.0509554140127388"/>
    <n v="28.756616595650822"/>
  </r>
  <r>
    <s v="REGUA4"/>
    <x v="14"/>
    <n v="0.31264018999999998"/>
    <n v="0.356821212"/>
    <n v="5.7"/>
    <n v="49.681528662420384"/>
    <n v="1938.5623863483613"/>
  </r>
  <r>
    <s v="REGUA4"/>
    <x v="2"/>
    <n v="0.6"/>
    <n v="0.66674999999999995"/>
    <n v="7.5"/>
    <n v="15.764331210191083"/>
    <n v="195.18254795981557"/>
  </r>
  <r>
    <s v="REGUA4"/>
    <x v="3"/>
    <n v="0.83069230800000005"/>
    <n v="0.78683697699999999"/>
    <n v="5.7"/>
    <n v="17.834394904458598"/>
    <n v="249.80817075889462"/>
  </r>
  <r>
    <s v="REGUA4"/>
    <x v="39"/>
    <n v="0.81991655299999999"/>
    <n v="0.72276027399999998"/>
    <n v="1.7"/>
    <n v="2.2292993630573248"/>
    <n v="3.9032526681077284"/>
  </r>
  <r>
    <s v="REGUA4"/>
    <x v="39"/>
    <n v="0.81991655299999999"/>
    <n v="0.72276027399999998"/>
    <n v="1.7"/>
    <n v="5.0955414012738851"/>
    <n v="20.392503735419968"/>
  </r>
  <r>
    <s v="REGUA4"/>
    <x v="39"/>
    <n v="0.81991655299999999"/>
    <n v="0.72276027399999998"/>
    <n v="1.6"/>
    <n v="1.592356687898089"/>
    <n v="1.9914554429121063"/>
  </r>
  <r>
    <s v="REGUA4"/>
    <x v="6"/>
    <n v="0.89361000000000002"/>
    <n v="0.61247410899999999"/>
    <n v="3"/>
    <n v="3.9808917197452227"/>
    <n v="12.446596518200664"/>
  </r>
  <r>
    <s v="REGUA4"/>
    <x v="40"/>
    <n v="0.85449533600000005"/>
    <n v="0.81482857099999995"/>
    <n v="1.7"/>
    <n v="1.910828025477707"/>
    <n v="2.8676958377934336"/>
  </r>
  <r>
    <s v="REGUA4"/>
    <x v="28"/>
    <n v="0.85750000000000004"/>
    <n v="0.61247410899999999"/>
    <n v="6.8"/>
    <n v="20.700636942675157"/>
    <n v="336.55596985214595"/>
  </r>
  <r>
    <s v="REGUA4"/>
    <x v="28"/>
    <n v="0.85750000000000004"/>
    <n v="0.61247410899999999"/>
    <n v="2.2000000000000002"/>
    <n v="5.5732484076433115"/>
    <n v="24.395329175673304"/>
  </r>
  <r>
    <s v="REGUA4"/>
    <x v="24"/>
    <n v="0.56023871300000005"/>
    <n v="0.74103703700000001"/>
    <n v="6"/>
    <n v="8.4394904458598727"/>
    <n v="55.939983391401071"/>
  </r>
  <r>
    <s v="REGUA4"/>
    <x v="10"/>
    <n v="0.432770245"/>
    <n v="0.61247410899999999"/>
    <n v="5.5"/>
    <n v="18.789808917197451"/>
    <n v="277.29025587108168"/>
  </r>
  <r>
    <s v="REGUA4"/>
    <x v="21"/>
    <n v="0.40238543599999999"/>
    <n v="0.40883333300000002"/>
    <n v="9.5"/>
    <n v="15.445859872611464"/>
    <n v="187.37604262360011"/>
  </r>
  <r>
    <s v="REGUA4"/>
    <x v="41"/>
    <n v="0.77"/>
    <n v="0.77"/>
    <n v="5"/>
    <n v="5.5732484076433115"/>
    <n v="24.395329175673304"/>
  </r>
  <r>
    <s v="REGUA5"/>
    <x v="14"/>
    <n v="0.31264018999999998"/>
    <n v="0.356821212"/>
    <n v="5"/>
    <n v="17.834394904458598"/>
    <n v="249.80817075889462"/>
  </r>
  <r>
    <s v="REGUA5"/>
    <x v="2"/>
    <n v="0.6"/>
    <n v="0.66674999999999995"/>
    <n v="5.5"/>
    <n v="6.5286624203821653"/>
    <n v="33.476365995352509"/>
  </r>
  <r>
    <s v="REGUA5"/>
    <x v="2"/>
    <n v="0.6"/>
    <n v="0.66674999999999995"/>
    <n v="5"/>
    <n v="13.375796178343949"/>
    <n v="140.51709605187824"/>
  </r>
  <r>
    <s v="REGUA5"/>
    <x v="42"/>
    <n v="0.54247040000000002"/>
    <n v="0.54247042099999998"/>
    <n v="2.7"/>
    <n v="11.305732484076433"/>
    <n v="100.3892688771993"/>
  </r>
  <r>
    <s v="REGUA5"/>
    <x v="26"/>
    <n v="0.490852183"/>
    <n v="0.607288889"/>
    <n v="2.7"/>
    <n v="4.7770700636942669"/>
    <n v="17.923098986208956"/>
  </r>
  <r>
    <s v="REGUA5"/>
    <x v="28"/>
    <n v="0.85750000000000004"/>
    <n v="0.61247410899999999"/>
    <n v="6"/>
    <n v="17.993630573248407"/>
    <n v="254.28894550544686"/>
  </r>
  <r>
    <s v="REGUA5"/>
    <x v="28"/>
    <n v="0.85750000000000004"/>
    <n v="0.61247410899999999"/>
    <n v="5"/>
    <n v="18.949044585987259"/>
    <n v="282.01000527078338"/>
  </r>
  <r>
    <s v="REGUA5"/>
    <x v="19"/>
    <n v="0.39"/>
    <n v="0.28861111099999998"/>
    <n v="6"/>
    <n v="10.19108280254777"/>
    <n v="81.570014941679872"/>
  </r>
  <r>
    <s v="REGUA5"/>
    <x v="19"/>
    <n v="0.39"/>
    <n v="0.28861111099999998"/>
    <n v="6"/>
    <n v="17.834394904458598"/>
    <n v="249.80817075889462"/>
  </r>
  <r>
    <s v="REGUA5"/>
    <x v="19"/>
    <n v="0.39"/>
    <n v="0.28861111099999998"/>
    <n v="5.5"/>
    <n v="7.9617834394904454"/>
    <n v="49.786386072802657"/>
  </r>
  <r>
    <s v="REGUA5"/>
    <x v="11"/>
    <n v="0.43836446099999998"/>
    <n v="0.58666666700000003"/>
    <n v="5"/>
    <n v="11.146496815286623"/>
    <n v="97.581316702693215"/>
  </r>
  <r>
    <s v="REGUA5"/>
    <x v="11"/>
    <n v="0.43836446099999998"/>
    <n v="0.58666666700000003"/>
    <n v="4"/>
    <n v="11.305732484076433"/>
    <n v="100.3892688771993"/>
  </r>
  <r>
    <s v="REGUA5"/>
    <x v="11"/>
    <n v="0.43836446099999998"/>
    <n v="0.58666666700000003"/>
    <n v="3.9"/>
    <n v="11.146496815286623"/>
    <n v="97.581316702693215"/>
  </r>
  <r>
    <s v="REGUA5"/>
    <x v="11"/>
    <n v="0.43836446099999998"/>
    <n v="0.58666666700000003"/>
    <n v="2.5"/>
    <n v="11.783439490445859"/>
    <n v="109.05210005386697"/>
  </r>
  <r>
    <s v="REGUA5"/>
    <x v="33"/>
    <n v="0.57917600000000002"/>
    <n v="0.60285714300000004"/>
    <n v="7"/>
    <n v="14.490445859872612"/>
    <n v="164.91242522755155"/>
  </r>
  <r>
    <s v="REGUA5"/>
    <x v="41"/>
    <n v="0.77"/>
    <n v="0.77"/>
    <n v="2"/>
    <n v="13.057324840764331"/>
    <n v="133.90546398141004"/>
  </r>
  <r>
    <s v="REGUA6"/>
    <x v="13"/>
    <n v="0.41"/>
    <n v="0.33983503399999998"/>
    <n v="6"/>
    <n v="5.7324840764331206"/>
    <n v="25.809262540140899"/>
  </r>
  <r>
    <s v="REGUA6"/>
    <x v="4"/>
    <n v="0.39790071399999999"/>
    <n v="0.50565277799999997"/>
    <n v="4.5"/>
    <n v="7.8025477707006363"/>
    <n v="47.814845184319672"/>
  </r>
  <r>
    <s v="REGUA6"/>
    <x v="4"/>
    <n v="0.39790071399999999"/>
    <n v="0.50565277799999997"/>
    <n v="2.5"/>
    <n v="3.3439490445859872"/>
    <n v="8.7823185032423901"/>
  </r>
  <r>
    <s v="REGUA6"/>
    <x v="25"/>
    <n v="0.47982689899999997"/>
    <n v="0.51"/>
    <n v="1.8"/>
    <n v="3.8216560509554141"/>
    <n v="11.470783351173734"/>
  </r>
  <r>
    <s v="REGUA6"/>
    <x v="6"/>
    <n v="0.89361000000000002"/>
    <n v="0.61247410899999999"/>
    <n v="2.2000000000000002"/>
    <n v="2.3885350318471334"/>
    <n v="4.480774746552239"/>
  </r>
  <r>
    <s v="REGUA6"/>
    <x v="7"/>
    <n v="0.45255480399999998"/>
    <n v="0.57808694400000005"/>
    <n v="1.9"/>
    <n v="4.1401273885350314"/>
    <n v="13.462238794085838"/>
  </r>
  <r>
    <s v="REGUA6"/>
    <x v="8"/>
    <n v="0.62643652800000005"/>
    <n v="0.57808694400000005"/>
    <n v="5.3"/>
    <n v="20.541401273885349"/>
    <n v="331.39810025500361"/>
  </r>
  <r>
    <s v="REGUA6"/>
    <x v="8"/>
    <n v="0.62643652800000005"/>
    <n v="0.57808694400000005"/>
    <n v="4.9000000000000004"/>
    <n v="18.471337579617835"/>
    <n v="267.9702443982531"/>
  </r>
  <r>
    <s v="REGUA6"/>
    <x v="8"/>
    <n v="0.62643652800000005"/>
    <n v="0.57808694400000005"/>
    <n v="4.7"/>
    <n v="15.127388535031846"/>
    <n v="179.7288537228176"/>
  </r>
  <r>
    <s v="REGUA6"/>
    <x v="8"/>
    <n v="0.62643652800000005"/>
    <n v="0.57808694400000005"/>
    <n v="3.9"/>
    <n v="8.2802547770700627"/>
    <n v="53.848955176343352"/>
  </r>
  <r>
    <s v="REGUA6"/>
    <x v="35"/>
    <n v="0.13069240100000001"/>
    <n v="0.26500000000000001"/>
    <n v="3.5"/>
    <n v="8.7579617834394909"/>
    <n v="60.241527148091237"/>
  </r>
  <r>
    <s v="REGUA6"/>
    <x v="43"/>
    <n v="0.63"/>
    <n v="0.629222222"/>
    <n v="2.8"/>
    <n v="6.8471337579617835"/>
    <n v="36.822011139444854"/>
  </r>
  <r>
    <s v="REGUA6"/>
    <x v="28"/>
    <n v="0.85750000000000004"/>
    <n v="0.61247410899999999"/>
    <n v="7"/>
    <n v="14.64968152866242"/>
    <n v="168.5567886880807"/>
  </r>
  <r>
    <s v="REGUA6"/>
    <x v="28"/>
    <n v="0.85750000000000004"/>
    <n v="0.61247410899999999"/>
    <n v="5.7"/>
    <n v="10.509554140127388"/>
    <n v="86.747799093251359"/>
  </r>
  <r>
    <s v="REGUA6"/>
    <x v="19"/>
    <n v="0.39"/>
    <n v="0.28861111099999998"/>
    <n v="5"/>
    <n v="11.464968152866241"/>
    <n v="103.2370501605636"/>
  </r>
  <r>
    <s v="REGUA6"/>
    <x v="11"/>
    <n v="0.43836446099999998"/>
    <n v="0.58666666700000003"/>
    <n v="4"/>
    <n v="16.560509554140125"/>
    <n v="215.39582070537341"/>
  </r>
  <r>
    <s v="REGUA6"/>
    <x v="37"/>
    <n v="0.28577490700000002"/>
    <n v="0.3422"/>
    <n v="6.5"/>
    <n v="8.1210191082802545"/>
    <n v="51.79775607014389"/>
  </r>
  <r>
    <s v="REGUA6"/>
    <x v="37"/>
    <n v="0.28577490700000002"/>
    <n v="0.3422"/>
    <n v="5"/>
    <n v="9.872611464968152"/>
    <n v="76.55154722554137"/>
  </r>
  <r>
    <s v="REGUA6"/>
    <x v="37"/>
    <n v="0.28577490700000002"/>
    <n v="0.3422"/>
    <n v="4.5"/>
    <n v="12.101910828025478"/>
    <n v="115.02646638260329"/>
  </r>
  <r>
    <s v="REGUA7"/>
    <x v="13"/>
    <n v="0.41"/>
    <n v="0.33983503399999998"/>
    <n v="8"/>
    <n v="9.7133757961783438"/>
    <n v="74.102057030759482"/>
  </r>
  <r>
    <s v="REGUA7"/>
    <x v="13"/>
    <n v="0.41"/>
    <n v="0.33983503399999998"/>
    <n v="7"/>
    <n v="7.0063694267515917"/>
    <n v="38.554577374778376"/>
  </r>
  <r>
    <s v="REGUA7"/>
    <x v="13"/>
    <n v="0.41"/>
    <n v="0.33983503399999998"/>
    <n v="7"/>
    <n v="10.031847133757962"/>
    <n v="79.040866529181514"/>
  </r>
  <r>
    <s v="REGUA7"/>
    <x v="26"/>
    <n v="0.490852183"/>
    <n v="0.607288889"/>
    <n v="5.5"/>
    <n v="4.1401273885350314"/>
    <n v="13.462238794085838"/>
  </r>
  <r>
    <s v="REGUA7"/>
    <x v="8"/>
    <n v="0.62643652800000005"/>
    <n v="0.57808694400000005"/>
    <n v="6"/>
    <n v="20.222929936305732"/>
    <n v="321.20184838729369"/>
  </r>
  <r>
    <s v="REGUA7"/>
    <x v="8"/>
    <n v="0.62643652800000005"/>
    <n v="0.57808694400000005"/>
    <n v="5"/>
    <n v="16.401273885350317"/>
    <n v="211.27350793854535"/>
  </r>
  <r>
    <s v="REGUA7"/>
    <x v="8"/>
    <n v="0.62643652800000005"/>
    <n v="0.57808694400000005"/>
    <n v="4.5"/>
    <n v="4.936305732484076"/>
    <n v="19.137886806385342"/>
  </r>
  <r>
    <s v="REGUA7"/>
    <x v="28"/>
    <n v="0.85750000000000004"/>
    <n v="0.61247410899999999"/>
    <n v="6.5"/>
    <n v="15.764331210191083"/>
    <n v="195.18254795981557"/>
  </r>
  <r>
    <s v="REGUA7"/>
    <x v="28"/>
    <n v="0.85750000000000004"/>
    <n v="0.61247410899999999"/>
    <n v="6.5"/>
    <n v="7.9617834394904454"/>
    <n v="49.786386072802657"/>
  </r>
  <r>
    <s v="REGUA7"/>
    <x v="28"/>
    <n v="0.85750000000000004"/>
    <n v="0.61247410899999999"/>
    <n v="5.7"/>
    <n v="9.3949044585987256"/>
    <n v="69.322563967770421"/>
  </r>
  <r>
    <s v="REGUA7"/>
    <x v="28"/>
    <n v="0.85750000000000004"/>
    <n v="0.61247410899999999"/>
    <n v="5.6"/>
    <n v="9.5541401273885338"/>
    <n v="71.692395944835823"/>
  </r>
  <r>
    <s v="REGUA7"/>
    <x v="28"/>
    <n v="0.85750000000000004"/>
    <n v="0.61247410899999999"/>
    <n v="5.5"/>
    <n v="9.5541401273885338"/>
    <n v="71.692395944835823"/>
  </r>
  <r>
    <s v="REGUA7"/>
    <x v="28"/>
    <n v="0.85750000000000004"/>
    <n v="0.61247410899999999"/>
    <n v="5.5"/>
    <n v="7.3248407643312099"/>
    <n v="42.139197172020175"/>
  </r>
  <r>
    <s v="REGUA7"/>
    <x v="28"/>
    <n v="0.85750000000000004"/>
    <n v="0.61247410899999999"/>
    <n v="4.5"/>
    <n v="15.286624203821656"/>
    <n v="183.53253361877975"/>
  </r>
  <r>
    <s v="REGUA7"/>
    <x v="28"/>
    <n v="0.85750000000000004"/>
    <n v="0.61247410899999999"/>
    <n v="3"/>
    <n v="12.101910828025478"/>
    <n v="115.02646638260329"/>
  </r>
  <r>
    <s v="REGUA7"/>
    <x v="19"/>
    <n v="0.39"/>
    <n v="0.28861111099999998"/>
    <n v="6.5"/>
    <n v="10.350318471337578"/>
    <n v="84.138992463036487"/>
  </r>
  <r>
    <s v="REGUA7"/>
    <x v="31"/>
    <n v="1.1200000000000001"/>
    <n v="0.85527777800000004"/>
    <n v="1.8"/>
    <n v="3.9808917197452227"/>
    <n v="12.446596518200664"/>
  </r>
  <r>
    <s v="REGUA7"/>
    <x v="11"/>
    <n v="0.43836446099999998"/>
    <n v="0.58666666700000003"/>
    <n v="4"/>
    <n v="13.694267515923567"/>
    <n v="147.28804455777941"/>
  </r>
  <r>
    <s v="REGUA7"/>
    <x v="11"/>
    <n v="0.43836446099999998"/>
    <n v="0.58666666700000003"/>
    <n v="3.8"/>
    <n v="12.261146496815286"/>
    <n v="118.0733932102588"/>
  </r>
  <r>
    <s v="REGUA7"/>
    <x v="11"/>
    <n v="0.43836446099999998"/>
    <n v="0.58666666700000003"/>
    <n v="3"/>
    <n v="14.331210191082802"/>
    <n v="161.30789087588062"/>
  </r>
  <r>
    <s v="REGUA7"/>
    <x v="11"/>
    <n v="0.43836446099999998"/>
    <n v="0.58666666700000003"/>
    <n v="2.1"/>
    <n v="1.910828025477707"/>
    <n v="2.8676958377934336"/>
  </r>
  <r>
    <s v="REGUA8"/>
    <x v="13"/>
    <n v="0.41"/>
    <n v="0.33983503399999998"/>
    <n v="7.5"/>
    <n v="7.1656050955414008"/>
    <n v="40.326972718970154"/>
  </r>
  <r>
    <s v="REGUA8"/>
    <x v="2"/>
    <n v="0.6"/>
    <n v="0.66674999999999995"/>
    <n v="5.5"/>
    <n v="8.598726114649681"/>
    <n v="58.070840715317019"/>
  </r>
  <r>
    <s v="REGUA8"/>
    <x v="28"/>
    <n v="0.85750000000000004"/>
    <n v="0.61247410899999999"/>
    <n v="6"/>
    <n v="7.3248407643312099"/>
    <n v="42.139197172020175"/>
  </r>
  <r>
    <s v="REGUA8"/>
    <x v="28"/>
    <n v="0.85750000000000004"/>
    <n v="0.61247410899999999"/>
    <n v="6"/>
    <n v="22.165605095541398"/>
    <n v="385.87715193348436"/>
  </r>
  <r>
    <s v="REGUA8"/>
    <x v="28"/>
    <n v="0.85750000000000004"/>
    <n v="0.61247410899999999"/>
    <n v="6"/>
    <n v="10.509554140127388"/>
    <n v="86.747799093251359"/>
  </r>
  <r>
    <s v="REGUA8"/>
    <x v="28"/>
    <n v="0.85750000000000004"/>
    <n v="0.61247410899999999"/>
    <n v="5.5"/>
    <n v="24.363057324840764"/>
    <n v="466.17980463129504"/>
  </r>
  <r>
    <s v="REGUA8"/>
    <x v="28"/>
    <n v="0.85750000000000004"/>
    <n v="0.61247410899999999"/>
    <n v="4.5"/>
    <n v="13.694267515923567"/>
    <n v="147.28804455777941"/>
  </r>
  <r>
    <s v="REGUA8"/>
    <x v="24"/>
    <n v="0.56023871300000005"/>
    <n v="0.74103703700000001"/>
    <n v="6"/>
    <n v="7.484076433121019"/>
    <n v="43.991250733928432"/>
  </r>
  <r>
    <s v="REGUA8"/>
    <x v="31"/>
    <n v="1.1200000000000001"/>
    <n v="0.85527777800000004"/>
    <n v="5"/>
    <n v="13.375796178343949"/>
    <n v="140.51709605187824"/>
  </r>
  <r>
    <s v="REGUA8"/>
    <x v="31"/>
    <n v="1.1200000000000001"/>
    <n v="0.85527777800000004"/>
    <n v="2.5"/>
    <n v="6.6878980891719744"/>
    <n v="35.12927401296956"/>
  </r>
  <r>
    <s v="REGUA8"/>
    <x v="31"/>
    <n v="1.1200000000000001"/>
    <n v="0.85527777800000004"/>
    <n v="2.2999999999999998"/>
    <n v="2.8662420382165603"/>
    <n v="6.4523156350352249"/>
  </r>
  <r>
    <s v="REGUA8"/>
    <x v="44"/>
    <n v="0.53"/>
    <n v="0.41185714299999998"/>
    <n v="5.5"/>
    <n v="5.7324840764331206"/>
    <n v="25.809262540140899"/>
  </r>
  <r>
    <s v="REGUA8"/>
    <x v="44"/>
    <n v="0.53"/>
    <n v="0.41185714299999998"/>
    <n v="5"/>
    <n v="5.8917197452229297"/>
    <n v="27.263025013466741"/>
  </r>
  <r>
    <s v="REGUA8"/>
    <x v="44"/>
    <n v="0.53"/>
    <n v="0.41185714299999998"/>
    <n v="2.5"/>
    <n v="3.5031847133757958"/>
    <n v="9.6386443436945939"/>
  </r>
  <r>
    <s v="REGUA8"/>
    <x v="45"/>
    <n v="0.371297506"/>
    <n v="0.35258402799999999"/>
    <n v="4.5"/>
    <n v="4.2993630573248405"/>
    <n v="14.517710178829255"/>
  </r>
  <r>
    <s v="REGUA8"/>
    <x v="45"/>
    <n v="0.371297506"/>
    <n v="0.35258402799999999"/>
    <n v="4"/>
    <n v="3.3439490445859872"/>
    <n v="8.78231850324239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15">
  <r>
    <x v="0"/>
    <x v="0"/>
    <n v="0.36"/>
    <n v="0.35"/>
    <n v="4"/>
    <n v="3.9808917197452227"/>
    <n v="12.446596518200664"/>
    <n v="1.3861100085364575"/>
    <n v="173.2637510670572"/>
    <n v="9.2075649843807046"/>
    <x v="0"/>
  </r>
  <r>
    <x v="0"/>
    <x v="0"/>
    <n v="0.36"/>
    <n v="0.35"/>
    <n v="4"/>
    <n v="3.6624203821656049"/>
    <n v="10.534799293005044"/>
    <n v="1.1779084529054955"/>
    <n v="147.23855661318694"/>
    <n v="9.1734865227798288"/>
    <x v="1"/>
  </r>
  <r>
    <x v="0"/>
    <x v="0"/>
    <n v="0.36"/>
    <n v="0.35"/>
    <n v="4"/>
    <n v="3.9808917197452227"/>
    <n v="12.446596518200664"/>
    <n v="1.3861100085364575"/>
    <n v="173.2637510670572"/>
    <n v="9.2075649843807046"/>
    <x v="0"/>
  </r>
  <r>
    <x v="0"/>
    <x v="0"/>
    <n v="0.36"/>
    <n v="0.35"/>
    <n v="2.5"/>
    <n v="2.2292993630573248"/>
    <n v="3.9032526681077284"/>
    <n v="0.28251377288151469"/>
    <n v="35.314221610189335"/>
    <n v="9.029185536938618"/>
    <x v="2"/>
  </r>
  <r>
    <x v="0"/>
    <x v="1"/>
    <n v="0.766138345"/>
    <n v="0.90500000000000003"/>
    <n v="7"/>
    <n v="5.5732484076433115"/>
    <n v="24.395329175673304"/>
    <n v="11.666037351206468"/>
    <n v="1458.2546689008084"/>
    <n v="9.7466968964258172"/>
    <x v="3"/>
  </r>
  <r>
    <x v="0"/>
    <x v="1"/>
    <n v="0.766138345"/>
    <n v="0.90500000000000003"/>
    <n v="6"/>
    <n v="11.942675159235668"/>
    <n v="112.01936866380598"/>
    <n v="44.430587865108954"/>
    <n v="5553.8234831386189"/>
    <n v="11.980877289139517"/>
    <x v="4"/>
  </r>
  <r>
    <x v="0"/>
    <x v="2"/>
    <n v="0.47982689899999997"/>
    <n v="0.51"/>
    <n v="4"/>
    <n v="1.910828025477707"/>
    <n v="2.8676958377934336"/>
    <n v="0.47770377728979629"/>
    <n v="59.712972161224535"/>
    <n v="9.0368176924013142"/>
    <x v="5"/>
  </r>
  <r>
    <x v="0"/>
    <x v="2"/>
    <n v="0.47982689899999997"/>
    <n v="0.51"/>
    <n v="3"/>
    <n v="1.7515923566878979"/>
    <n v="2.4096610859236485"/>
    <n v="0.30440739427722058"/>
    <n v="38.050924284652574"/>
    <n v="9.0179147957320787"/>
    <x v="6"/>
  </r>
  <r>
    <x v="0"/>
    <x v="3"/>
    <n v="0.89361000000000002"/>
    <n v="0.61247410899999999"/>
    <n v="4"/>
    <n v="4.4585987261146496"/>
    <n v="15.613010672430914"/>
    <n v="2.9857847622336413"/>
    <n v="373.22309527920515"/>
    <n v="9.2640074364071552"/>
    <x v="7"/>
  </r>
  <r>
    <x v="0"/>
    <x v="4"/>
    <n v="0.708787469"/>
    <n v="0.80167708299999996"/>
    <n v="9"/>
    <n v="9.3949044585987256"/>
    <n v="69.322563967770421"/>
    <n v="36.706682659982548"/>
    <n v="4588.3353324978189"/>
    <n v="11.766023238265245"/>
    <x v="8"/>
  </r>
  <r>
    <x v="0"/>
    <x v="4"/>
    <n v="0.708787469"/>
    <n v="0.80167708299999996"/>
    <n v="9"/>
    <n v="12.898089171974522"/>
    <n v="130.65939160946331"/>
    <n v="68.140413917417519"/>
    <n v="8517.5517396771902"/>
    <n v="14.226062185078501"/>
    <x v="9"/>
  </r>
  <r>
    <x v="0"/>
    <x v="4"/>
    <n v="0.708787469"/>
    <n v="0.80167708299999996"/>
    <n v="8"/>
    <n v="4.2993630573248405"/>
    <n v="14.517710178829255"/>
    <n v="7.1144153482303318"/>
    <n v="889.30191852879148"/>
    <n v="9.5032666355633086"/>
    <x v="10"/>
  </r>
  <r>
    <x v="0"/>
    <x v="4"/>
    <n v="0.708787469"/>
    <n v="0.80167708299999996"/>
    <n v="7"/>
    <n v="4.7770700636942669"/>
    <n v="17.923098986208956"/>
    <n v="7.6711009420756602"/>
    <n v="958.8876177594575"/>
    <n v="9.5447997606393766"/>
    <x v="11"/>
  </r>
  <r>
    <x v="0"/>
    <x v="5"/>
    <n v="0.45255480399999998"/>
    <n v="0.57808694400000005"/>
    <n v="9"/>
    <n v="23.544585987261144"/>
    <n v="435.38353140519177"/>
    <n v="160.321742347585"/>
    <n v="20040.217793448126"/>
    <n v="26.447647173313314"/>
    <x v="12"/>
  </r>
  <r>
    <x v="0"/>
    <x v="5"/>
    <n v="0.45255480399999998"/>
    <n v="0.57808694400000005"/>
    <n v="9"/>
    <n v="47.611464968152866"/>
    <n v="1780.3810805178525"/>
    <n v="633.80259590057665"/>
    <n v="79225.324487572085"/>
    <n v="80.391525287029893"/>
    <x v="13"/>
  </r>
  <r>
    <x v="0"/>
    <x v="5"/>
    <n v="0.45255480399999998"/>
    <n v="0.57808694400000005"/>
    <n v="8"/>
    <n v="13.535031847133757"/>
    <n v="143.88265575039969"/>
    <n v="48.500334635987954"/>
    <n v="6062.5418294984947"/>
    <n v="14.1152184388819"/>
    <x v="14"/>
  </r>
  <r>
    <x v="0"/>
    <x v="5"/>
    <n v="0.45255480399999998"/>
    <n v="0.57808694400000005"/>
    <n v="8"/>
    <n v="49.044585987261144"/>
    <n v="1889.1742913641408"/>
    <n v="598.64587002559119"/>
    <n v="74830.733753198903"/>
    <n v="76.336099610531861"/>
    <x v="15"/>
  </r>
  <r>
    <x v="0"/>
    <x v="6"/>
    <n v="0.374"/>
    <n v="0.47945833300000001"/>
    <n v="6"/>
    <n v="4.936305732484076"/>
    <n v="19.137886806385342"/>
    <n v="4.2601445623777083"/>
    <n v="532.51807029721351"/>
    <n v="9.4974093999756573"/>
    <x v="16"/>
  </r>
  <r>
    <x v="0"/>
    <x v="6"/>
    <n v="0.374"/>
    <n v="0.47945833300000001"/>
    <n v="5"/>
    <n v="3.6624203821656049"/>
    <n v="10.534799293005044"/>
    <n v="1.9911232792925877"/>
    <n v="248.89040991157347"/>
    <n v="9.2204331534747848"/>
    <x v="17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x v="18"/>
  </r>
  <r>
    <x v="0"/>
    <x v="7"/>
    <n v="0.74387999999999999"/>
    <n v="0.59130000000000005"/>
    <n v="10.1"/>
    <n v="18.312101910828027"/>
    <n v="263.3699823251261"/>
    <n v="112.30062537116449"/>
    <n v="14037.57817139556"/>
    <n v="20.839724250476692"/>
    <x v="19"/>
  </r>
  <r>
    <x v="0"/>
    <x v="8"/>
    <n v="0.66608171000000005"/>
    <n v="0.68661666700000001"/>
    <n v="5"/>
    <n v="2.7070063694267517"/>
    <n v="5.7553062300159885"/>
    <n v="1.5669749562967354"/>
    <n v="195.87186953709192"/>
    <n v="9.1139379609720468"/>
    <x v="20"/>
  </r>
  <r>
    <x v="0"/>
    <x v="8"/>
    <n v="0.66608171000000005"/>
    <n v="0.68661666700000001"/>
    <n v="5"/>
    <n v="3.5031847133757958"/>
    <n v="9.6386443436945939"/>
    <n v="2.5919990258533456"/>
    <n v="323.99987823166822"/>
    <n v="9.2004653048805221"/>
    <x v="21"/>
  </r>
  <r>
    <x v="0"/>
    <x v="8"/>
    <n v="0.66608171000000005"/>
    <n v="0.68661666700000001"/>
    <n v="5"/>
    <n v="6.2101910828025479"/>
    <n v="30.290037286693146"/>
    <n v="7.9247190414458375"/>
    <n v="990.58988018072966"/>
    <n v="9.6606132824861053"/>
    <x v="22"/>
  </r>
  <r>
    <x v="0"/>
    <x v="8"/>
    <n v="0.66608171000000005"/>
    <n v="0.68661666700000001"/>
    <n v="4"/>
    <n v="3.3439490445859872"/>
    <n v="8.7823185032423901"/>
    <n v="1.9037663739053985"/>
    <n v="237.97079673817481"/>
    <n v="9.1422479329790249"/>
    <x v="23"/>
  </r>
  <r>
    <x v="0"/>
    <x v="9"/>
    <n v="0.43836446099999998"/>
    <n v="0.58666666700000003"/>
    <n v="7"/>
    <n v="19.936305732484072"/>
    <n v="312.16143725864976"/>
    <n v="91.978684962229181"/>
    <n v="11497.335620278647"/>
    <n v="18.723379013347394"/>
    <x v="24"/>
  </r>
  <r>
    <x v="0"/>
    <x v="9"/>
    <n v="0.43836446099999998"/>
    <n v="0.58666666700000003"/>
    <n v="7"/>
    <n v="6.5286624203821653"/>
    <n v="33.476365995352509"/>
    <n v="10.40681021185018"/>
    <n v="1300.8512764812726"/>
    <n v="10.029974108483103"/>
    <x v="25"/>
  </r>
  <r>
    <x v="0"/>
    <x v="9"/>
    <n v="0.43836446099999998"/>
    <n v="0.58666666700000003"/>
    <n v="4"/>
    <n v="10.764331210191081"/>
    <n v="91.004734248020256"/>
    <n v="15.9961092306367"/>
    <n v="1999.5136538295874"/>
    <n v="10.607891569637712"/>
    <x v="26"/>
  </r>
  <r>
    <x v="0"/>
    <x v="10"/>
    <n v="0.76500000000000001"/>
    <n v="0.61247410899999999"/>
    <n v="10"/>
    <n v="21.815286624203821"/>
    <n v="373.77627208017333"/>
    <n v="161.98470737818045"/>
    <n v="20248.088422272554"/>
    <n v="25.642435567365816"/>
    <x v="27"/>
  </r>
  <r>
    <x v="0"/>
    <x v="10"/>
    <n v="0.76500000000000001"/>
    <n v="0.61247410899999999"/>
    <n v="10"/>
    <n v="21.592356687898086"/>
    <n v="366.17608152784345"/>
    <n v="158.76924609177664"/>
    <n v="19846.15576147208"/>
    <n v="25.3037453568096"/>
    <x v="28"/>
  </r>
  <r>
    <x v="0"/>
    <x v="10"/>
    <n v="0.76500000000000001"/>
    <n v="0.61247410899999999"/>
    <n v="10"/>
    <n v="27.133757961783438"/>
    <n v="578.24218873266784"/>
    <n v="247.98425592077845"/>
    <n v="30998.031990097308"/>
    <n v="34.754128739502612"/>
    <x v="29"/>
  </r>
  <r>
    <x v="0"/>
    <x v="11"/>
    <n v="0.41240947999999999"/>
    <n v="0.52705000000000002"/>
    <n v="9"/>
    <n v="6.2101910828025479"/>
    <n v="30.290037286693146"/>
    <n v="10.864857029557426"/>
    <n v="1358.1071286946783"/>
    <n v="10.200543908474989"/>
    <x v="30"/>
  </r>
  <r>
    <x v="0"/>
    <x v="11"/>
    <n v="0.41240947999999999"/>
    <n v="0.52705000000000002"/>
    <n v="8.5"/>
    <n v="7.484076433121019"/>
    <n v="43.991250733928432"/>
    <n v="14.790167889295736"/>
    <n v="1848.7709861619669"/>
    <n v="10.652039151689724"/>
    <x v="31"/>
  </r>
  <r>
    <x v="0"/>
    <x v="11"/>
    <n v="0.41240947999999999"/>
    <n v="0.52705000000000002"/>
    <n v="8.5"/>
    <n v="5.5732484076433115"/>
    <n v="24.395329175673304"/>
    <n v="8.3187659930417581"/>
    <n v="1039.8457491302197"/>
    <n v="9.9097676599456364"/>
    <x v="32"/>
  </r>
  <r>
    <x v="0"/>
    <x v="11"/>
    <n v="0.41240947999999999"/>
    <n v="0.52705000000000002"/>
    <n v="4"/>
    <n v="5.8917197452229297"/>
    <n v="27.263025013466741"/>
    <n v="4.4428896908761519"/>
    <n v="555.36121135951896"/>
    <n v="9.4716730617874951"/>
    <x v="33"/>
  </r>
  <r>
    <x v="0"/>
    <x v="11"/>
    <n v="0.41240947999999999"/>
    <n v="0.52705000000000002"/>
    <n v="2.7"/>
    <n v="2.0700636942675157"/>
    <n v="3.3655596985214595"/>
    <n v="0.39296481920279069"/>
    <n v="49.120602400348837"/>
    <n v="9.0261947969491665"/>
    <x v="34"/>
  </r>
  <r>
    <x v="1"/>
    <x v="12"/>
    <n v="0.80908761900000004"/>
    <n v="0.87473809499999999"/>
    <n v="7"/>
    <n v="5.8917197452229297"/>
    <n v="27.263025013466741"/>
    <n v="12.578135231310311"/>
    <n v="1572.2669039137888"/>
    <n v="9.8361528581281181"/>
    <x v="35"/>
  </r>
  <r>
    <x v="1"/>
    <x v="0"/>
    <n v="0.36"/>
    <n v="0.35"/>
    <n v="5"/>
    <n v="5.5095541401273884"/>
    <n v="23.840907980366573"/>
    <n v="3.2499712566168633"/>
    <n v="406.2464070771079"/>
    <n v="9.5169157694024094"/>
    <x v="36"/>
  </r>
  <r>
    <x v="1"/>
    <x v="0"/>
    <n v="0.36"/>
    <n v="0.35"/>
    <n v="2.2999999999999998"/>
    <n v="4.4585987261146496"/>
    <n v="15.613010672430914"/>
    <n v="1.0076439369639711"/>
    <n v="125.95549212049639"/>
    <n v="9.145726775934115"/>
    <x v="37"/>
  </r>
  <r>
    <x v="1"/>
    <x v="1"/>
    <n v="0.766138345"/>
    <n v="0.90500000000000003"/>
    <n v="7"/>
    <n v="9.0764331210191074"/>
    <n v="64.702387340214344"/>
    <n v="30.225274816805985"/>
    <n v="3778.159352100748"/>
    <n v="11.00405013590815"/>
    <x v="38"/>
  </r>
  <r>
    <x v="1"/>
    <x v="1"/>
    <n v="0.766138345"/>
    <n v="0.90500000000000003"/>
    <n v="5.5"/>
    <n v="8.7579617834394909"/>
    <n v="60.241527148091237"/>
    <n v="22.277620825237975"/>
    <n v="2784.7026031547466"/>
    <n v="10.462211471053593"/>
    <x v="39"/>
  </r>
  <r>
    <x v="1"/>
    <x v="1"/>
    <n v="0.766138345"/>
    <n v="0.90500000000000003"/>
    <n v="5"/>
    <n v="4.936305732484076"/>
    <n v="19.137886806385342"/>
    <n v="6.6285662851316234"/>
    <n v="828.57078564145297"/>
    <n v="9.4121244999797149"/>
    <x v="40"/>
  </r>
  <r>
    <x v="1"/>
    <x v="5"/>
    <n v="0.45255480399999998"/>
    <n v="0.57808694400000005"/>
    <n v="9"/>
    <n v="44.904458598726116"/>
    <n v="1583.6850264214238"/>
    <n v="565.36655473751841"/>
    <n v="70670.819342189803"/>
    <n v="72.502627664408294"/>
    <x v="41"/>
  </r>
  <r>
    <x v="1"/>
    <x v="5"/>
    <n v="0.45255480399999998"/>
    <n v="0.57808694400000005"/>
    <n v="8"/>
    <n v="26.273885350318469"/>
    <n v="542.173744332821"/>
    <n v="177.03031870356764"/>
    <n v="22128.789837945955"/>
    <n v="28.314577439247024"/>
    <x v="42"/>
  </r>
  <r>
    <x v="1"/>
    <x v="5"/>
    <n v="0.45255480399999998"/>
    <n v="0.57808694400000005"/>
    <n v="7"/>
    <n v="47.133757961783438"/>
    <n v="1744.8336008618714"/>
    <n v="486.27312935614452"/>
    <n v="60784.141169518065"/>
    <n v="63.414682920199603"/>
    <x v="43"/>
  </r>
  <r>
    <x v="1"/>
    <x v="7"/>
    <n v="0.74387999999999999"/>
    <n v="0.59130000000000005"/>
    <n v="7"/>
    <n v="6.3694267515923562"/>
    <n v="31.863287086593701"/>
    <n v="9.993534582563397"/>
    <n v="1249.1918228204247"/>
    <n v="9.9796551300255576"/>
    <x v="44"/>
  </r>
  <r>
    <x v="1"/>
    <x v="7"/>
    <n v="0.74387999999999999"/>
    <n v="0.59130000000000005"/>
    <n v="6"/>
    <n v="3.8216560509554141"/>
    <n v="11.470783351173734"/>
    <n v="3.1719789293523761"/>
    <n v="396.49736616904704"/>
    <n v="9.2924061544078871"/>
    <x v="18"/>
  </r>
  <r>
    <x v="1"/>
    <x v="7"/>
    <n v="0.74387999999999999"/>
    <n v="0.59130000000000005"/>
    <n v="5"/>
    <n v="5.0955414012738851"/>
    <n v="20.392503735419968"/>
    <n v="4.6551085387138649"/>
    <n v="581.88856733923308"/>
    <n v="9.4400794880116834"/>
    <x v="45"/>
  </r>
  <r>
    <x v="1"/>
    <x v="7"/>
    <n v="0.74387999999999999"/>
    <n v="0.59130000000000005"/>
    <n v="5"/>
    <n v="3.3757961783439487"/>
    <n v="8.9503973426241696"/>
    <n v="2.0839373299017248"/>
    <n v="260.49216623771559"/>
    <n v="9.1851299971601286"/>
    <x v="46"/>
  </r>
  <r>
    <x v="1"/>
    <x v="13"/>
    <n v="0.50857142899999996"/>
    <n v="0.49666666700000001"/>
    <n v="10"/>
    <n v="6.5286624203821653"/>
    <n v="33.476365995352509"/>
    <n v="12.528854958499005"/>
    <n v="1566.1068698123756"/>
    <n v="10.47752015497586"/>
    <x v="47"/>
  </r>
  <r>
    <x v="1"/>
    <x v="13"/>
    <n v="0.50857142899999996"/>
    <n v="0.49666666700000001"/>
    <n v="9"/>
    <n v="8.9171974522292992"/>
    <n v="62.452042689723655"/>
    <n v="20.775955730534701"/>
    <n v="2596.9944663168376"/>
    <n v="11.490466927664407"/>
    <x v="48"/>
  </r>
  <r>
    <x v="1"/>
    <x v="13"/>
    <n v="0.50857142899999996"/>
    <n v="0.49666666700000001"/>
    <n v="9"/>
    <n v="7.1656050955414008"/>
    <n v="40.326972718970154"/>
    <n v="13.557162741635373"/>
    <n v="1694.6453427044216"/>
    <n v="10.603095736135339"/>
    <x v="49"/>
  </r>
  <r>
    <x v="1"/>
    <x v="14"/>
    <n v="0.48464433800000001"/>
    <n v="0.62688577999999995"/>
    <n v="5"/>
    <n v="2.5477707006369426"/>
    <n v="5.098125933854992"/>
    <n v="1.273768974860543"/>
    <n v="159.22112185756788"/>
    <n v="9.0992948720029201"/>
    <x v="50"/>
  </r>
  <r>
    <x v="1"/>
    <x v="8"/>
    <n v="0.66608171000000005"/>
    <n v="0.68661666700000001"/>
    <n v="5"/>
    <n v="4.2993630573248405"/>
    <n v="14.517710178829255"/>
    <n v="3.8658751895990231"/>
    <n v="483.23439869987789"/>
    <n v="9.3091791472270682"/>
    <x v="51"/>
  </r>
  <r>
    <x v="1"/>
    <x v="8"/>
    <n v="0.66608171000000005"/>
    <n v="0.68661666700000001"/>
    <n v="3.5"/>
    <n v="2.8025477707006372"/>
    <n v="6.1687323799645428"/>
    <n v="1.1838104671321783"/>
    <n v="147.97630839152228"/>
    <n v="9.081914856586474"/>
    <x v="52"/>
  </r>
  <r>
    <x v="1"/>
    <x v="9"/>
    <n v="0.43836446099999998"/>
    <n v="0.58666666700000003"/>
    <n v="8"/>
    <n v="3.5031847133757958"/>
    <n v="9.6386443436945939"/>
    <n v="3.5170031665739172"/>
    <n v="439.62539582173963"/>
    <n v="9.3293244878088348"/>
    <x v="53"/>
  </r>
  <r>
    <x v="1"/>
    <x v="9"/>
    <n v="0.43836446099999998"/>
    <n v="0.58666666700000003"/>
    <n v="7"/>
    <n v="14.936305732484076"/>
    <n v="175.21701227135594"/>
    <n v="52.348408967166279"/>
    <n v="6543.5511208957851"/>
    <n v="14.451484108888799"/>
    <x v="54"/>
  </r>
  <r>
    <x v="1"/>
    <x v="9"/>
    <n v="0.43836446099999998"/>
    <n v="0.58666666700000003"/>
    <n v="6.5"/>
    <n v="15.445859872611464"/>
    <n v="187.37604262360011"/>
    <n v="51.991185516408244"/>
    <n v="6498.8981895510306"/>
    <n v="14.413271858898941"/>
    <x v="55"/>
  </r>
  <r>
    <x v="1"/>
    <x v="10"/>
    <n v="0.76500000000000001"/>
    <n v="0.61247410899999999"/>
    <n v="8"/>
    <n v="10.19108280254777"/>
    <n v="81.570014941679872"/>
    <n v="29.489988630667401"/>
    <n v="3686.2485788334252"/>
    <n v="11.893728723274776"/>
    <x v="56"/>
  </r>
  <r>
    <x v="1"/>
    <x v="11"/>
    <n v="0.41240947999999999"/>
    <n v="0.52705000000000002"/>
    <n v="6.5"/>
    <n v="4.7770700636942669"/>
    <n v="17.923098986208956"/>
    <n v="4.7388104663678314"/>
    <n v="592.35130829597892"/>
    <n v="9.5048640634508494"/>
    <x v="57"/>
  </r>
  <r>
    <x v="1"/>
    <x v="11"/>
    <n v="0.41240947999999999"/>
    <n v="0.52705000000000002"/>
    <n v="6"/>
    <n v="4.0764331210191083"/>
    <n v="13.051202390668783"/>
    <n v="3.2157719770855806"/>
    <n v="401.97149713569758"/>
    <n v="9.3346634467929732"/>
    <x v="58"/>
  </r>
  <r>
    <x v="1"/>
    <x v="11"/>
    <n v="0.41240947999999999"/>
    <n v="0.52705000000000002"/>
    <n v="4.5"/>
    <n v="4.3949044585987265"/>
    <n v="15.170110981927266"/>
    <n v="2.812646518663243"/>
    <n v="351.58081483290539"/>
    <n v="9.2899141669033227"/>
    <x v="59"/>
  </r>
  <r>
    <x v="2"/>
    <x v="0"/>
    <n v="0.36"/>
    <n v="0.35"/>
    <n v="4"/>
    <n v="3.1847133757961781"/>
    <n v="7.9658217716484252"/>
    <n v="0.8966632160717094"/>
    <n v="112.08290200896367"/>
    <n v="9.1276935900036502"/>
    <x v="60"/>
  </r>
  <r>
    <x v="2"/>
    <x v="1"/>
    <n v="0.766138345"/>
    <n v="0.90500000000000003"/>
    <n v="6"/>
    <n v="6.7515923566878975"/>
    <n v="35.801589370496679"/>
    <n v="14.594211151131432"/>
    <n v="1824.2763938914291"/>
    <n v="9.9429639863686141"/>
    <x v="61"/>
  </r>
  <r>
    <x v="2"/>
    <x v="4"/>
    <n v="0.708787469"/>
    <n v="0.80167708299999996"/>
    <n v="7"/>
    <n v="8.9171974522292992"/>
    <n v="62.452042689723655"/>
    <n v="25.94060119844589"/>
    <n v="3242.5751498057361"/>
    <n v="10.933852054850094"/>
    <x v="62"/>
  </r>
  <r>
    <x v="2"/>
    <x v="5"/>
    <n v="0.45255480399999998"/>
    <n v="0.57808694400000005"/>
    <n v="8"/>
    <n v="30.573248407643312"/>
    <n v="734.13013447511901"/>
    <n v="237.97042735965869"/>
    <n v="29746.303419957334"/>
    <n v="35.157958509472998"/>
    <x v="63"/>
  </r>
  <r>
    <x v="2"/>
    <x v="5"/>
    <n v="0.45255480399999998"/>
    <n v="0.57808694400000005"/>
    <n v="7"/>
    <n v="25.796178343949045"/>
    <n v="522.63756643785325"/>
    <n v="149.93124946588696"/>
    <n v="18741.406183235871"/>
    <n v="25.289049020244228"/>
    <x v="64"/>
  </r>
  <r>
    <x v="2"/>
    <x v="5"/>
    <n v="0.45255480399999998"/>
    <n v="0.57808694400000005"/>
    <n v="5"/>
    <n v="5.7324840764331206"/>
    <n v="25.809262540140899"/>
    <n v="5.7306036297489085"/>
    <n v="716.32545371861352"/>
    <n v="9.5607740395147864"/>
    <x v="65"/>
  </r>
  <r>
    <x v="2"/>
    <x v="15"/>
    <n v="0.372"/>
    <n v="0.73247777800000002"/>
    <n v="6"/>
    <n v="4.0445859872611463"/>
    <n v="12.848073935491747"/>
    <n v="4.3666487754235765"/>
    <n v="545.8310969279471"/>
    <n v="9.3292321919753327"/>
    <x v="66"/>
  </r>
  <r>
    <x v="2"/>
    <x v="16"/>
    <n v="0.63400000000000001"/>
    <n v="0.73247777800000002"/>
    <n v="6"/>
    <n v="4.3949044585987265"/>
    <n v="15.170110981927266"/>
    <n v="5.135318387975941"/>
    <n v="641.9147984969926"/>
    <n v="9.3913188892044293"/>
    <x v="67"/>
  </r>
  <r>
    <x v="2"/>
    <x v="16"/>
    <n v="0.63400000000000001"/>
    <n v="0.73247777800000002"/>
    <n v="5"/>
    <n v="5.8280254777070066"/>
    <n v="26.676740531073417"/>
    <n v="7.4567061543982396"/>
    <n v="932.08826929977999"/>
    <n v="9.5801029169540346"/>
    <x v="68"/>
  </r>
  <r>
    <x v="2"/>
    <x v="7"/>
    <n v="0.74387999999999999"/>
    <n v="0.59130000000000005"/>
    <n v="9"/>
    <n v="9.872611464968152"/>
    <n v="76.55154722554137"/>
    <n v="30.044957683030223"/>
    <n v="3755.6197103787777"/>
    <n v="12.055956399853949"/>
    <x v="69"/>
  </r>
  <r>
    <x v="2"/>
    <x v="7"/>
    <n v="0.74387999999999999"/>
    <n v="0.59130000000000005"/>
    <n v="8"/>
    <n v="5.7324840764331206"/>
    <n v="25.809262540140899"/>
    <n v="9.2683118569447167"/>
    <n v="1158.5389821180895"/>
    <n v="9.9058184632236603"/>
    <x v="70"/>
  </r>
  <r>
    <x v="2"/>
    <x v="7"/>
    <n v="0.74387999999999999"/>
    <n v="0.59130000000000005"/>
    <n v="6"/>
    <n v="9.5541401273885338"/>
    <n v="71.692395944835823"/>
    <n v="18.97182852524687"/>
    <n v="2371.4785656558588"/>
    <n v="10.902613465049292"/>
    <x v="71"/>
  </r>
  <r>
    <x v="2"/>
    <x v="17"/>
    <n v="0.65716857299999998"/>
    <n v="0.85527777800000004"/>
    <n v="6"/>
    <n v="12.961783439490446"/>
    <n v="131.95304106517904"/>
    <n v="49.334293602440439"/>
    <n v="6166.7867003050551"/>
    <n v="12.513864428577225"/>
    <x v="72"/>
  </r>
  <r>
    <x v="2"/>
    <x v="14"/>
    <n v="0.48464433800000001"/>
    <n v="0.62688577999999995"/>
    <n v="3.5"/>
    <n v="2.2292993630573248"/>
    <n v="3.9032526681077284"/>
    <n v="0.69295666002449408"/>
    <n v="86.619582503061764"/>
    <n v="9.0465797517140647"/>
    <x v="73"/>
  </r>
  <r>
    <x v="2"/>
    <x v="18"/>
    <n v="0.69835862100000001"/>
    <n v="0.69262500000000005"/>
    <n v="8"/>
    <n v="8.4394904458598727"/>
    <n v="55.939983391401071"/>
    <n v="23.010516743806956"/>
    <n v="2876.3145929758693"/>
    <n v="10.979999971601281"/>
    <x v="74"/>
  </r>
  <r>
    <x v="2"/>
    <x v="19"/>
    <n v="0.54326798300000001"/>
    <n v="0.61247410899999999"/>
    <n v="8"/>
    <n v="14.968152866242038"/>
    <n v="175.96500293571373"/>
    <n v="62.45351209919788"/>
    <n v="7806.6890123997346"/>
    <n v="15.258976806361312"/>
    <x v="75"/>
  </r>
  <r>
    <x v="2"/>
    <x v="19"/>
    <n v="0.54326798300000001"/>
    <n v="0.61247410899999999"/>
    <n v="5.5"/>
    <n v="5.2547770700636942"/>
    <n v="21.68694977331284"/>
    <n v="5.6147272507820185"/>
    <n v="701.84090634775237"/>
    <n v="9.5172441295792929"/>
    <x v="76"/>
  </r>
  <r>
    <x v="2"/>
    <x v="9"/>
    <n v="0.43836446099999998"/>
    <n v="0.58666666700000003"/>
    <n v="9"/>
    <n v="10.828025477707007"/>
    <n v="92.084899680255816"/>
    <n v="35.70639013702214"/>
    <n v="4463.2987671277679"/>
    <n v="12.678953275994969"/>
    <x v="77"/>
  </r>
  <r>
    <x v="2"/>
    <x v="9"/>
    <n v="0.43836446099999998"/>
    <n v="0.58666666700000003"/>
    <n v="8"/>
    <n v="13.152866242038215"/>
    <n v="135.87222537683002"/>
    <n v="46.527395110886523"/>
    <n v="5815.9243888608153"/>
    <n v="13.829640930666557"/>
    <x v="78"/>
  </r>
  <r>
    <x v="2"/>
    <x v="9"/>
    <n v="0.43836446099999998"/>
    <n v="0.58666666700000003"/>
    <n v="8"/>
    <n v="13.343949044585989"/>
    <n v="139.84876360523697"/>
    <n v="47.855957581765985"/>
    <n v="5981.9946977207483"/>
    <n v="13.971407330926205"/>
    <x v="79"/>
  </r>
  <r>
    <x v="2"/>
    <x v="9"/>
    <n v="0.43836446099999998"/>
    <n v="0.58666666700000003"/>
    <n v="6.5"/>
    <n v="39.36305732484076"/>
    <n v="1216.9354057260214"/>
    <n v="322.83595831306661"/>
    <n v="40354.494789133329"/>
    <n v="44.235693914560422"/>
    <x v="80"/>
  </r>
  <r>
    <x v="2"/>
    <x v="9"/>
    <n v="0.43836446099999998"/>
    <n v="0.58666666700000003"/>
    <n v="6"/>
    <n v="10.987261146496815"/>
    <n v="94.813193637045387"/>
    <n v="24.73186712676727"/>
    <n v="3091.4833908459086"/>
    <n v="11.520818057527688"/>
    <x v="81"/>
  </r>
  <r>
    <x v="2"/>
    <x v="10"/>
    <n v="0.76500000000000001"/>
    <n v="0.61247410899999999"/>
    <n v="9"/>
    <n v="28.980891719745223"/>
    <n v="659.64970091020621"/>
    <n v="254.44592921854627"/>
    <n v="31805.741152318282"/>
    <n v="35.442300673455314"/>
    <x v="82"/>
  </r>
  <r>
    <x v="2"/>
    <x v="10"/>
    <n v="0.76500000000000001"/>
    <n v="0.61247410899999999"/>
    <n v="10.4"/>
    <n v="13.503184713375795"/>
    <n v="143.20635748198671"/>
    <n v="65.985530308408244"/>
    <n v="8248.1912885510301"/>
    <n v="15.622730305489066"/>
    <x v="83"/>
  </r>
  <r>
    <x v="2"/>
    <x v="10"/>
    <n v="0.76500000000000001"/>
    <n v="0.61247410899999999"/>
    <n v="9.1"/>
    <n v="14.872611464968154"/>
    <n v="173.72581043570338"/>
    <n v="69.941826560040184"/>
    <n v="8742.7283200050224"/>
    <n v="16.030747111444683"/>
    <x v="84"/>
  </r>
  <r>
    <x v="2"/>
    <x v="11"/>
    <n v="0.41240947999999999"/>
    <n v="0.52705000000000002"/>
    <n v="6"/>
    <n v="4.3949044585987265"/>
    <n v="15.170110981927266"/>
    <n v="3.7243918040162489"/>
    <n v="465.54897550203111"/>
    <n v="9.3913188892044293"/>
    <x v="67"/>
  </r>
  <r>
    <x v="3"/>
    <x v="0"/>
    <n v="0.36"/>
    <n v="0.35"/>
    <n v="4.5"/>
    <n v="16.464968152866241"/>
    <n v="212.91765355221364"/>
    <n v="24.847789316616161"/>
    <n v="3105.9736645770204"/>
    <n v="13.255449026329668"/>
    <x v="85"/>
  </r>
  <r>
    <x v="3"/>
    <x v="0"/>
    <n v="0.36"/>
    <n v="0.35"/>
    <n v="4"/>
    <n v="4.4585987261146496"/>
    <n v="15.613010672430914"/>
    <n v="1.729303735682749"/>
    <n v="216.16296696034362"/>
    <n v="9.2640074364071552"/>
    <x v="7"/>
  </r>
  <r>
    <x v="3"/>
    <x v="0"/>
    <n v="0.36"/>
    <n v="0.35"/>
    <n v="3.2"/>
    <n v="5.4140127388535033"/>
    <n v="23.021224920063954"/>
    <n v="2.0318024320791621"/>
    <n v="253.97530400989527"/>
    <n v="9.3139891800884413"/>
    <x v="86"/>
  </r>
  <r>
    <x v="3"/>
    <x v="20"/>
    <n v="0.86599999999999999"/>
    <n v="0.73582777799999999"/>
    <n v="9"/>
    <n v="17.038216560509554"/>
    <n v="228.0017336590071"/>
    <n v="107.91186872235879"/>
    <n v="13488.983590294849"/>
    <n v="18.130175942228895"/>
    <x v="87"/>
  </r>
  <r>
    <x v="3"/>
    <x v="21"/>
    <n v="0.39790071399999999"/>
    <n v="0.50565277799999997"/>
    <n v="7"/>
    <n v="11.305732484076433"/>
    <n v="100.3892688771993"/>
    <n v="26.292371703565664"/>
    <n v="3286.5464629457078"/>
    <n v="12.117279881536776"/>
    <x v="88"/>
  </r>
  <r>
    <x v="3"/>
    <x v="5"/>
    <n v="0.45255480399999998"/>
    <n v="0.57808694400000005"/>
    <n v="8"/>
    <n v="36.783439490445858"/>
    <n v="1062.6605388923292"/>
    <n v="341.42048650594387"/>
    <n v="42677.560813242984"/>
    <n v="46.870299780924171"/>
    <x v="89"/>
  </r>
  <r>
    <x v="3"/>
    <x v="5"/>
    <n v="0.45255480399999998"/>
    <n v="0.57808694400000005"/>
    <n v="6.1"/>
    <n v="48.152866242038208"/>
    <n v="1821.1015648323414"/>
    <n v="443.28264819723927"/>
    <n v="55410.331024654908"/>
    <n v="58.489913558359348"/>
    <x v="90"/>
  </r>
  <r>
    <x v="3"/>
    <x v="22"/>
    <n v="1082380952"/>
    <n v="0.61247410899999999"/>
    <n v="8"/>
    <n v="15.764331210191083"/>
    <n v="195.18254795981557"/>
    <n v="69.102092052572189"/>
    <n v="8637.7615065715236"/>
    <n v="15.94409587812893"/>
    <x v="91"/>
  </r>
  <r>
    <x v="3"/>
    <x v="15"/>
    <n v="0.372"/>
    <n v="0.73247777800000002"/>
    <n v="6"/>
    <n v="9.3949044585987256"/>
    <n v="69.322563967770421"/>
    <n v="22.626426721406872"/>
    <n v="2828.3033401758589"/>
    <n v="10.839248825510163"/>
    <x v="92"/>
  </r>
  <r>
    <x v="3"/>
    <x v="15"/>
    <n v="0.372"/>
    <n v="0.73247777800000002"/>
    <n v="5.5"/>
    <n v="10.668789808917197"/>
    <n v="89.396434832324445"/>
    <n v="26.639693642844531"/>
    <n v="3329.9617053555662"/>
    <n v="11.176794212746966"/>
    <x v="93"/>
  </r>
  <r>
    <x v="3"/>
    <x v="6"/>
    <n v="0.374"/>
    <n v="0.47945833300000001"/>
    <n v="5"/>
    <n v="4.1401273885350314"/>
    <n v="13.462238794085838"/>
    <n v="2.5294924606293905"/>
    <n v="316.18655757867378"/>
    <n v="9.2856614588827124"/>
    <x v="94"/>
  </r>
  <r>
    <x v="3"/>
    <x v="7"/>
    <n v="0.74387999999999999"/>
    <n v="0.59130000000000005"/>
    <n v="12"/>
    <n v="16.242038216560509"/>
    <n v="207.19102428057556"/>
    <n v="105.13583323469436"/>
    <n v="13141.979154336796"/>
    <n v="20.065459827984906"/>
    <x v="95"/>
  </r>
  <r>
    <x v="3"/>
    <x v="7"/>
    <n v="0.74387999999999999"/>
    <n v="0.59130000000000005"/>
    <n v="9"/>
    <n v="9.4585987261146496"/>
    <n v="70.26571726553361"/>
    <n v="27.634662145127106"/>
    <n v="3454.3327681408882"/>
    <n v="11.803850330642216"/>
    <x v="96"/>
  </r>
  <r>
    <x v="3"/>
    <x v="7"/>
    <n v="0.74387999999999999"/>
    <n v="0.59130000000000005"/>
    <n v="7"/>
    <n v="10.350318471337578"/>
    <n v="84.138992463036487"/>
    <n v="25.781304527996088"/>
    <n v="3222.6630659995112"/>
    <n v="11.610362765223741"/>
    <x v="97"/>
  </r>
  <r>
    <x v="3"/>
    <x v="23"/>
    <n v="0.590536375"/>
    <n v="0.61247410899999999"/>
    <n v="9"/>
    <n v="27.866242038216559"/>
    <n v="609.88322939183263"/>
    <n v="235.69286135248356"/>
    <n v="29461.607669060446"/>
    <n v="33.446314527972739"/>
    <x v="98"/>
  </r>
  <r>
    <x v="3"/>
    <x v="23"/>
    <n v="0.590536375"/>
    <n v="0.61247410899999999"/>
    <n v="8.5"/>
    <n v="56.050955414012734"/>
    <n v="2467.492951985816"/>
    <n v="872.08661162760143"/>
    <n v="109010.82645345018"/>
    <n v="102.45156068400338"/>
    <x v="99"/>
  </r>
  <r>
    <x v="3"/>
    <x v="9"/>
    <n v="0.43836446099999998"/>
    <n v="0.58666666700000003"/>
    <n v="6.5"/>
    <n v="29.29936305732484"/>
    <n v="674.2271547523228"/>
    <n v="181.41604119402928"/>
    <n v="22677.005149253659"/>
    <n v="28.515498369102197"/>
    <x v="100"/>
  </r>
  <r>
    <x v="3"/>
    <x v="11"/>
    <n v="0.41240947999999999"/>
    <n v="0.52705000000000002"/>
    <n v="8"/>
    <n v="10.987261146496815"/>
    <n v="94.813193637045387"/>
    <n v="29.496770292514544"/>
    <n v="3687.0962865643178"/>
    <n v="12.365857410036918"/>
    <x v="101"/>
  </r>
  <r>
    <x v="3"/>
    <x v="11"/>
    <n v="0.41240947999999999"/>
    <n v="0.52705000000000002"/>
    <n v="6"/>
    <n v="8.9171974522292992"/>
    <n v="62.452042689723655"/>
    <n v="14.820534367005608"/>
    <n v="1852.566795875701"/>
    <n v="10.655544618442939"/>
    <x v="102"/>
  </r>
  <r>
    <x v="4"/>
    <x v="12"/>
    <n v="0.80908761900000004"/>
    <n v="0.87473809499999999"/>
    <n v="10.199999999999999"/>
    <n v="20.063694267515924"/>
    <n v="316.16346611672606"/>
    <n v="198.60394866035315"/>
    <n v="24825.493582544143"/>
    <n v="23.356800247474542"/>
    <x v="103"/>
  </r>
  <r>
    <x v="4"/>
    <x v="12"/>
    <n v="0.80908761900000004"/>
    <n v="0.87473809499999999"/>
    <n v="8.6"/>
    <n v="29.490445859872608"/>
    <n v="683.05009894660043"/>
    <n v="356.59602123279393"/>
    <n v="44574.50265409924"/>
    <n v="35.163260550123731"/>
    <x v="104"/>
  </r>
  <r>
    <x v="4"/>
    <x v="12"/>
    <n v="0.80908761900000004"/>
    <n v="0.87473809499999999"/>
    <n v="8.1"/>
    <n v="23.789808917197451"/>
    <n v="444.50002409757667"/>
    <n v="221.14878206653859"/>
    <n v="27643.597758317323"/>
    <n v="25.030524485780354"/>
    <x v="105"/>
  </r>
  <r>
    <x v="4"/>
    <x v="0"/>
    <n v="0.36"/>
    <n v="0.35"/>
    <n v="5"/>
    <n v="19.044585987261144"/>
    <n v="284.86097288285629"/>
    <n v="36.587626571697399"/>
    <n v="4573.4533214621752"/>
    <n v="15.332884469958211"/>
    <x v="106"/>
  </r>
  <r>
    <x v="4"/>
    <x v="1"/>
    <n v="0.766138345"/>
    <n v="0.90500000000000003"/>
    <n v="6.5"/>
    <n v="8.598726114649681"/>
    <n v="58.070840715317019"/>
    <n v="25.300139058084721"/>
    <n v="3162.5173822605902"/>
    <n v="10.667791565580753"/>
    <x v="107"/>
  </r>
  <r>
    <x v="4"/>
    <x v="21"/>
    <n v="0.39790071399999999"/>
    <n v="0.50565277799999997"/>
    <n v="8"/>
    <n v="11.942675159235668"/>
    <n v="112.01936866380598"/>
    <n v="33.334442263011745"/>
    <n v="4166.8052828764685"/>
    <n v="12.979269718852692"/>
    <x v="108"/>
  </r>
  <r>
    <x v="4"/>
    <x v="21"/>
    <n v="0.39790071399999999"/>
    <n v="0.50565277799999997"/>
    <n v="5.5"/>
    <n v="7.6433121019108281"/>
    <n v="45.883133404694938"/>
    <n v="9.6768645013948031"/>
    <n v="1209.6080626743503"/>
    <n v="10.110289232828917"/>
    <x v="109"/>
  </r>
  <r>
    <x v="4"/>
    <x v="3"/>
    <n v="0.89361000000000002"/>
    <n v="0.61247410899999999"/>
    <n v="6"/>
    <n v="7.6433121019108281"/>
    <n v="45.883133404694938"/>
    <n v="12.701469928347809"/>
    <n v="1587.6837410434762"/>
    <n v="10.212524617631546"/>
    <x v="110"/>
  </r>
  <r>
    <x v="4"/>
    <x v="3"/>
    <n v="0.89361000000000002"/>
    <n v="0.61247410899999999"/>
    <n v="2.7"/>
    <n v="3.6624203821656049"/>
    <n v="10.534799293005044"/>
    <n v="1.3857957922163595"/>
    <n v="173.22447402704495"/>
    <n v="9.1124559028763841"/>
    <x v="111"/>
  </r>
  <r>
    <x v="4"/>
    <x v="4"/>
    <n v="0.708787469"/>
    <n v="0.80167708299999996"/>
    <n v="8"/>
    <n v="8.598726114649681"/>
    <n v="58.070840715317019"/>
    <n v="27.526422261541022"/>
    <n v="3440.8027826926277"/>
    <n v="11.055966542253234"/>
    <x v="112"/>
  </r>
  <r>
    <x v="4"/>
    <x v="24"/>
    <n v="0.56193137999999998"/>
    <n v="0.57808694400000005"/>
    <n v="5.5"/>
    <n v="14.490445859872612"/>
    <n v="164.91242522755155"/>
    <n v="38.436687034753241"/>
    <n v="4804.5858793441548"/>
    <n v="13.027680658444561"/>
    <x v="113"/>
  </r>
  <r>
    <x v="4"/>
    <x v="15"/>
    <n v="0.372"/>
    <n v="0.73247777800000002"/>
    <n v="5.5"/>
    <n v="12.993630573248407"/>
    <n v="132.60225553956835"/>
    <n v="39.142665918508136"/>
    <n v="4892.8332398135171"/>
    <n v="12.235762882875573"/>
    <x v="114"/>
  </r>
  <r>
    <x v="4"/>
    <x v="7"/>
    <n v="0.74387999999999999"/>
    <n v="0.59130000000000005"/>
    <n v="6.5"/>
    <n v="5.7324840764331206"/>
    <n v="25.809262540140899"/>
    <n v="7.5681241390466463"/>
    <n v="946.01551738083083"/>
    <n v="9.7332962513692234"/>
    <x v="115"/>
  </r>
  <r>
    <x v="4"/>
    <x v="23"/>
    <n v="0.590536375"/>
    <n v="0.61247410899999999"/>
    <n v="9"/>
    <n v="23.248407643312103"/>
    <n v="424.49864221114467"/>
    <n v="165.48282730941466"/>
    <n v="20685.353413676832"/>
    <n v="26.011086425412799"/>
    <x v="116"/>
  </r>
  <r>
    <x v="4"/>
    <x v="25"/>
    <n v="1187461538"/>
    <n v="0.95"/>
    <n v="2.5"/>
    <n v="3.9808917197452227"/>
    <n v="12.446596518200664"/>
    <n v="2.3217979521250802"/>
    <n v="290.22474401563505"/>
    <n v="9.1243656152379398"/>
    <x v="117"/>
  </r>
  <r>
    <x v="4"/>
    <x v="14"/>
    <n v="0.48464433800000001"/>
    <n v="0.62688577999999995"/>
    <n v="6"/>
    <n v="3.9808917197452227"/>
    <n v="12.446596518200664"/>
    <n v="3.636706506120404"/>
    <n v="454.58831326505049"/>
    <n v="9.3184974765710571"/>
    <x v="118"/>
  </r>
  <r>
    <x v="4"/>
    <x v="8"/>
    <n v="0.66608171000000005"/>
    <n v="0.68661666700000001"/>
    <n v="6"/>
    <n v="11.464968152866241"/>
    <n v="103.2370501605636"/>
    <n v="31.33427785501587"/>
    <n v="3916.7847318769836"/>
    <n v="11.74605538967098"/>
    <x v="119"/>
  </r>
  <r>
    <x v="4"/>
    <x v="10"/>
    <n v="0.76500000000000001"/>
    <n v="0.61247410899999999"/>
    <n v="10"/>
    <n v="33.757961783439491"/>
    <n v="895.03973426241714"/>
    <n v="379.84207446322267"/>
    <n v="47480.259307902837"/>
    <n v="48.871699432025643"/>
    <x v="120"/>
  </r>
  <r>
    <x v="5"/>
    <x v="26"/>
    <n v="0.54247040000000002"/>
    <n v="0.54247042099999998"/>
    <n v="4"/>
    <n v="2.5477707006369426"/>
    <n v="5.098125933854992"/>
    <n v="0.88961405242058189"/>
    <n v="111.20175655257273"/>
    <n v="9.0765758976023356"/>
    <x v="121"/>
  </r>
  <r>
    <x v="5"/>
    <x v="27"/>
    <n v="0.81991655299999999"/>
    <n v="0.72276027399999998"/>
    <n v="4"/>
    <n v="4.4585987261146496"/>
    <n v="15.613010672430914"/>
    <n v="3.5094517806950214"/>
    <n v="438.68147258687765"/>
    <n v="9.2640074364071552"/>
    <x v="7"/>
  </r>
  <r>
    <x v="5"/>
    <x v="3"/>
    <n v="0.89361000000000002"/>
    <n v="0.61247410899999999"/>
    <n v="6.5"/>
    <n v="8.7579617834394909"/>
    <n v="60.241527148091237"/>
    <n v="17.91376507867809"/>
    <n v="2239.2206348347613"/>
    <n v="10.730668102154246"/>
    <x v="122"/>
  </r>
  <r>
    <x v="5"/>
    <x v="3"/>
    <n v="0.89361000000000002"/>
    <n v="0.61247410899999999"/>
    <n v="5"/>
    <n v="3.121019108280255"/>
    <n v="7.65037522949115"/>
    <n v="1.8504358940222632"/>
    <n v="231.30448675278291"/>
    <n v="9.1561633047993833"/>
    <x v="123"/>
  </r>
  <r>
    <x v="5"/>
    <x v="3"/>
    <n v="0.89361000000000002"/>
    <n v="0.61247410899999999"/>
    <n v="4.5"/>
    <n v="3.1847133757961781"/>
    <n v="7.9658217716484252"/>
    <n v="1.7367665001375754"/>
    <n v="217.09581251719692"/>
    <n v="9.1454427887541065"/>
    <x v="124"/>
  </r>
  <r>
    <x v="5"/>
    <x v="5"/>
    <n v="0.45255480399999998"/>
    <n v="0.57808694400000005"/>
    <n v="8"/>
    <n v="43.630573248407643"/>
    <n v="1495.1050883206933"/>
    <n v="476.43986260351005"/>
    <n v="59554.982825438754"/>
    <n v="62.287253815570615"/>
    <x v="125"/>
  </r>
  <r>
    <x v="5"/>
    <x v="5"/>
    <n v="0.45255480399999998"/>
    <n v="0.57808694400000005"/>
    <n v="8"/>
    <n v="28.980891719745223"/>
    <n v="659.64970091020621"/>
    <n v="214.37707520620538"/>
    <n v="26797.134400775671"/>
    <n v="32.502678376404724"/>
    <x v="126"/>
  </r>
  <r>
    <x v="5"/>
    <x v="7"/>
    <n v="0.74387999999999999"/>
    <n v="0.59130000000000005"/>
    <n v="5"/>
    <n v="8.7579617834394909"/>
    <n v="60.241527148091237"/>
    <n v="13.398772822507244"/>
    <n v="1674.8466028134055"/>
    <n v="10.327983155503265"/>
    <x v="127"/>
  </r>
  <r>
    <x v="5"/>
    <x v="7"/>
    <n v="0.74387999999999999"/>
    <n v="0.59130000000000005"/>
    <n v="3.5"/>
    <n v="6.2101910828025479"/>
    <n v="30.290037286693146"/>
    <n v="4.8356053984407446"/>
    <n v="604.45067480509306"/>
    <n v="9.4581392977402725"/>
    <x v="128"/>
  </r>
  <r>
    <x v="5"/>
    <x v="28"/>
    <n v="1.1200000000000001"/>
    <n v="0.85527777800000004"/>
    <n v="5"/>
    <n v="9.3949044585987256"/>
    <n v="69.322563967770421"/>
    <n v="22.030903406414829"/>
    <n v="2753.8629258018536"/>
    <n v="10.530324021258469"/>
    <x v="129"/>
  </r>
  <r>
    <x v="5"/>
    <x v="18"/>
    <n v="0.69835862100000001"/>
    <n v="0.69262500000000005"/>
    <n v="4.5"/>
    <n v="3.0254777070063694"/>
    <n v="7.1891541489127055"/>
    <n v="1.771684923219784"/>
    <n v="221.460615402473"/>
    <n v="9.1298678668505815"/>
    <x v="130"/>
  </r>
  <r>
    <x v="5"/>
    <x v="8"/>
    <n v="0.66608171000000005"/>
    <n v="0.68661666700000001"/>
    <n v="7"/>
    <n v="11.783439490445859"/>
    <n v="109.05210005386697"/>
    <n v="38.422625760270186"/>
    <n v="4802.8282200337735"/>
    <n v="12.387511432512476"/>
    <x v="131"/>
  </r>
  <r>
    <x v="5"/>
    <x v="8"/>
    <n v="0.66608171000000005"/>
    <n v="0.68661666700000001"/>
    <n v="6"/>
    <n v="9.2356687898089174"/>
    <n v="66.992561099563275"/>
    <n v="20.545565557980407"/>
    <n v="2568.195694747551"/>
    <n v="10.776949137896061"/>
    <x v="132"/>
  </r>
  <r>
    <x v="5"/>
    <x v="9"/>
    <n v="0.43836446099999998"/>
    <n v="0.58666666700000003"/>
    <n v="8"/>
    <n v="43.248407643312106"/>
    <n v="1469.0281741690251"/>
    <n v="475.11045662972577"/>
    <n v="59388.807078715719"/>
    <n v="61.357593383098717"/>
    <x v="133"/>
  </r>
  <r>
    <x v="5"/>
    <x v="9"/>
    <n v="0.43836446099999998"/>
    <n v="0.58666666700000003"/>
    <n v="8"/>
    <n v="43.949044585987259"/>
    <n v="1517.0110981927262"/>
    <n v="490.25069110671899"/>
    <n v="61281.336388339871"/>
    <n v="63.068218560590694"/>
    <x v="134"/>
  </r>
  <r>
    <x v="5"/>
    <x v="9"/>
    <n v="0.43836446099999998"/>
    <n v="0.58666666700000003"/>
    <n v="8"/>
    <n v="32.675159235668787"/>
    <n v="838.54293992917769"/>
    <n v="274.87414161572303"/>
    <n v="34359.267701965378"/>
    <n v="38.880348870136714"/>
    <x v="135"/>
  </r>
  <r>
    <x v="5"/>
    <x v="9"/>
    <n v="0.43836446099999998"/>
    <n v="0.58666666700000003"/>
    <n v="6.5"/>
    <n v="14.968152866242038"/>
    <n v="175.96500293571373"/>
    <n v="48.898649566167919"/>
    <n v="6112.3311957709902"/>
    <n v="14.082737405168565"/>
    <x v="136"/>
  </r>
  <r>
    <x v="5"/>
    <x v="29"/>
    <n v="0.40238543599999999"/>
    <n v="0.40883333300000002"/>
    <n v="12"/>
    <n v="16.242038216560509"/>
    <n v="207.19102428057556"/>
    <n v="73.339079955438663"/>
    <n v="9167.3849944298327"/>
    <n v="20.065459827984906"/>
    <x v="95"/>
  </r>
  <r>
    <x v="5"/>
    <x v="10"/>
    <n v="0.76500000000000001"/>
    <n v="0.61247410899999999"/>
    <n v="9"/>
    <n v="18.312101910828027"/>
    <n v="263.3699823251261"/>
    <n v="103.85283157332336"/>
    <n v="12981.60394666542"/>
    <n v="19.54869190636537"/>
    <x v="137"/>
  </r>
  <r>
    <x v="5"/>
    <x v="11"/>
    <n v="0.41240947999999999"/>
    <n v="0.52705000000000002"/>
    <n v="7"/>
    <n v="10.031847133757962"/>
    <n v="79.040866529181514"/>
    <n v="21.679719222230172"/>
    <n v="2709.9649027787714"/>
    <n v="11.451329944419651"/>
    <x v="138"/>
  </r>
  <r>
    <x v="5"/>
    <x v="11"/>
    <n v="0.41240947999999999"/>
    <n v="0.52705000000000002"/>
    <n v="6.5"/>
    <n v="8.1210191082802545"/>
    <n v="51.79775607014389"/>
    <n v="13.350749075854461"/>
    <n v="1668.8436344818076"/>
    <n v="10.486084143372956"/>
    <x v="139"/>
  </r>
  <r>
    <x v="5"/>
    <x v="11"/>
    <n v="0.41240947999999999"/>
    <n v="0.52705000000000002"/>
    <n v="6"/>
    <n v="7.9617834394904454"/>
    <n v="49.786386072802657"/>
    <n v="11.87928447390674"/>
    <n v="1484.9105592383426"/>
    <n v="10.31688990628423"/>
    <x v="140"/>
  </r>
  <r>
    <x v="5"/>
    <x v="11"/>
    <n v="0.41240947999999999"/>
    <n v="0.52705000000000002"/>
    <n v="4.5"/>
    <n v="4.2993630573248405"/>
    <n v="14.517710178829255"/>
    <n v="2.6945279620274487"/>
    <n v="336.81599525343108"/>
    <n v="9.2768312325043603"/>
    <x v="141"/>
  </r>
  <r>
    <x v="6"/>
    <x v="1"/>
    <n v="0.766138345"/>
    <n v="0.90500000000000003"/>
    <n v="5"/>
    <n v="3.5031847133757958"/>
    <n v="9.6386443436945939"/>
    <n v="3.3938344216908192"/>
    <n v="424.22930271135237"/>
    <n v="9.2004653048805221"/>
    <x v="21"/>
  </r>
  <r>
    <x v="6"/>
    <x v="1"/>
    <n v="0.766138345"/>
    <n v="0.90500000000000003"/>
    <n v="4"/>
    <n v="5.3184713375796173"/>
    <n v="22.215880338950296"/>
    <n v="6.166667149756714"/>
    <n v="770.83339371958925"/>
    <n v="9.3817059231611832"/>
    <x v="142"/>
  </r>
  <r>
    <x v="6"/>
    <x v="26"/>
    <n v="0.54247040000000002"/>
    <n v="0.54247042099999998"/>
    <n v="3"/>
    <n v="4.7770700636942669"/>
    <n v="17.923098986208956"/>
    <n v="2.2917113232529447"/>
    <n v="286.46391540661807"/>
    <n v="9.2253141831311609"/>
    <x v="143"/>
  </r>
  <r>
    <x v="6"/>
    <x v="26"/>
    <n v="0.54247040000000002"/>
    <n v="0.54247042099999998"/>
    <n v="2.2999999999999998"/>
    <n v="3.9808917197452227"/>
    <n v="12.446596518200664"/>
    <n v="1.2387228294635269"/>
    <n v="154.84035368294084"/>
    <n v="9.1132723660189043"/>
    <x v="144"/>
  </r>
  <r>
    <x v="6"/>
    <x v="3"/>
    <n v="0.89361000000000002"/>
    <n v="0.61247410899999999"/>
    <n v="6"/>
    <n v="2.7070063694267517"/>
    <n v="5.7553062300159885"/>
    <n v="1.6745857202004957"/>
    <n v="209.32321502506196"/>
    <n v="9.1395855531664569"/>
    <x v="145"/>
  </r>
  <r>
    <x v="6"/>
    <x v="4"/>
    <n v="0.708787469"/>
    <n v="0.80167708299999996"/>
    <n v="5"/>
    <n v="3.5031847133757958"/>
    <n v="9.6386443436945939"/>
    <n v="3.015123589312823"/>
    <n v="376.89044866410285"/>
    <n v="9.2004653048805221"/>
    <x v="21"/>
  </r>
  <r>
    <x v="6"/>
    <x v="4"/>
    <n v="0.708787469"/>
    <n v="0.80167708299999996"/>
    <n v="4"/>
    <n v="3.5031847133757958"/>
    <n v="9.6386443436945939"/>
    <n v="2.4250513871362016"/>
    <n v="303.13142339202523"/>
    <n v="9.1575122439044172"/>
    <x v="146"/>
  </r>
  <r>
    <x v="6"/>
    <x v="5"/>
    <n v="0.45255480399999998"/>
    <n v="0.57808694400000005"/>
    <n v="9"/>
    <n v="57.00636942675159"/>
    <n v="2552.3289538538725"/>
    <n v="900.78992896006355"/>
    <n v="112598.74112000794"/>
    <n v="111.35207388940728"/>
    <x v="147"/>
  </r>
  <r>
    <x v="6"/>
    <x v="5"/>
    <n v="0.45255480399999998"/>
    <n v="0.57808694400000005"/>
    <n v="9"/>
    <n v="25.796178343949045"/>
    <n v="522.63756643785325"/>
    <n v="191.60955506183683"/>
    <n v="23951.194382729605"/>
    <n v="29.947148740314006"/>
    <x v="148"/>
  </r>
  <r>
    <x v="6"/>
    <x v="5"/>
    <n v="0.45255480399999998"/>
    <n v="0.57808694400000005"/>
    <n v="8.5"/>
    <n v="19.585987261146496"/>
    <n v="301.2872939581726"/>
    <n v="105.85486285652358"/>
    <n v="13231.857857065448"/>
    <n v="20.398124185565337"/>
    <x v="149"/>
  </r>
  <r>
    <x v="6"/>
    <x v="5"/>
    <n v="0.45255480399999998"/>
    <n v="0.57808694400000005"/>
    <n v="8"/>
    <n v="48.726114649681527"/>
    <n v="1864.7192185251802"/>
    <n v="591.08129561168528"/>
    <n v="73885.161951460657"/>
    <n v="75.464258967909444"/>
    <x v="150"/>
  </r>
  <r>
    <x v="6"/>
    <x v="5"/>
    <n v="0.45255480399999998"/>
    <n v="0.57808694400000005"/>
    <n v="7"/>
    <n v="28.821656050955411"/>
    <n v="652.42071765243509"/>
    <n v="186.16902745179704"/>
    <n v="23271.12843147463"/>
    <n v="29.337552509229582"/>
    <x v="151"/>
  </r>
  <r>
    <x v="6"/>
    <x v="5"/>
    <n v="0.45255480399999998"/>
    <n v="0.57808694400000005"/>
    <n v="6"/>
    <n v="4.6178343949044587"/>
    <n v="16.748140274890819"/>
    <n v="4.4893108407143938"/>
    <n v="561.1638550892992"/>
    <n v="9.4335122844740145"/>
    <x v="152"/>
  </r>
  <r>
    <x v="6"/>
    <x v="5"/>
    <n v="0.45255480399999998"/>
    <n v="0.57808694400000005"/>
    <n v="6"/>
    <n v="33.375796178343947"/>
    <n v="874.88939150885528"/>
    <n v="213.27235298154449"/>
    <n v="26659.04412269306"/>
    <n v="32.378519181305528"/>
    <x v="153"/>
  </r>
  <r>
    <x v="6"/>
    <x v="5"/>
    <n v="0.45255480399999998"/>
    <n v="0.57808694400000005"/>
    <n v="5"/>
    <n v="15.923566878980891"/>
    <n v="199.14554429121063"/>
    <n v="42.10153100184003"/>
    <n v="5262.6913752300034"/>
    <n v="13.422999687614102"/>
    <x v="154"/>
  </r>
  <r>
    <x v="6"/>
    <x v="15"/>
    <n v="0.372"/>
    <n v="0.73247777800000002"/>
    <n v="5"/>
    <n v="6.8471337579617835"/>
    <n v="36.822011139444854"/>
    <n v="10.213212681919188"/>
    <n v="1276.6515852398986"/>
    <n v="9.8061567122398472"/>
    <x v="155"/>
  </r>
  <r>
    <x v="6"/>
    <x v="15"/>
    <n v="0.372"/>
    <n v="0.73247777800000002"/>
    <n v="5"/>
    <n v="12.420382165605096"/>
    <n v="121.16014914677258"/>
    <n v="32.658829464642665"/>
    <n v="4082.3536830803332"/>
    <n v="11.685353129944419"/>
    <x v="156"/>
  </r>
  <r>
    <x v="6"/>
    <x v="7"/>
    <n v="0.74387999999999999"/>
    <n v="0.59130000000000005"/>
    <n v="10"/>
    <n v="7.3248407643312099"/>
    <n v="42.139197172020175"/>
    <n v="18.594547618451539"/>
    <n v="2324.3184523064424"/>
    <n v="10.863565227798288"/>
    <x v="157"/>
  </r>
  <r>
    <x v="6"/>
    <x v="7"/>
    <n v="0.74387999999999999"/>
    <n v="0.59130000000000005"/>
    <n v="8.5"/>
    <n v="5.4140127388535033"/>
    <n v="23.021224920063954"/>
    <n v="8.7951256258393773"/>
    <n v="1099.3907032299221"/>
    <n v="9.8577181346099234"/>
    <x v="158"/>
  </r>
  <r>
    <x v="6"/>
    <x v="7"/>
    <n v="0.74387999999999999"/>
    <n v="0.59130000000000005"/>
    <n v="7"/>
    <n v="3.5668789808917194"/>
    <n v="9.9923268303557844"/>
    <n v="3.2224200301020121"/>
    <n v="402.80250376275148"/>
    <n v="9.2974043287760146"/>
    <x v="159"/>
  </r>
  <r>
    <x v="6"/>
    <x v="7"/>
    <n v="0.74387999999999999"/>
    <n v="0.59130000000000005"/>
    <n v="5"/>
    <n v="3.6624203821656049"/>
    <n v="10.534799293005044"/>
    <n v="2.4432605891571972"/>
    <n v="305.40757364464963"/>
    <n v="9.2204331534747848"/>
    <x v="17"/>
  </r>
  <r>
    <x v="6"/>
    <x v="13"/>
    <n v="0.50857142899999996"/>
    <n v="0.49666666700000001"/>
    <n v="10"/>
    <n v="10.668789808917197"/>
    <n v="89.396434832324445"/>
    <n v="32.677987940821822"/>
    <n v="4084.7484926027278"/>
    <n v="12.969507659539939"/>
    <x v="160"/>
  </r>
  <r>
    <x v="6"/>
    <x v="13"/>
    <n v="0.50857142899999996"/>
    <n v="0.49666666700000001"/>
    <n v="9"/>
    <n v="13.375796178343949"/>
    <n v="140.51709605187824"/>
    <n v="45.844912577572472"/>
    <n v="5730.6140721965594"/>
    <n v="14.621425587244918"/>
    <x v="161"/>
  </r>
  <r>
    <x v="6"/>
    <x v="9"/>
    <n v="0.43836446099999998"/>
    <n v="0.58666666700000003"/>
    <n v="7"/>
    <n v="12.579617834394904"/>
    <n v="124.28673419214456"/>
    <n v="37.439636912494116"/>
    <n v="4679.9546140617649"/>
    <n v="12.862746229055944"/>
    <x v="162"/>
  </r>
  <r>
    <x v="6"/>
    <x v="9"/>
    <n v="0.43836446099999998"/>
    <n v="0.58666666700000003"/>
    <n v="6"/>
    <n v="14.808917197452228"/>
    <n v="172.24098125746809"/>
    <n v="44.28964456909771"/>
    <n v="5536.2055711372141"/>
    <n v="13.591084599780924"/>
    <x v="163"/>
  </r>
  <r>
    <x v="6"/>
    <x v="9"/>
    <n v="0.43836446099999998"/>
    <n v="0.58666666700000003"/>
    <n v="6"/>
    <n v="12.929936305732484"/>
    <n v="131.30541975514402"/>
    <n v="33.984184161053456"/>
    <n v="4248.0230201316817"/>
    <n v="12.496548310276278"/>
    <x v="164"/>
  </r>
  <r>
    <x v="6"/>
    <x v="9"/>
    <n v="0.43836446099999998"/>
    <n v="0.58666666700000003"/>
    <n v="5.5"/>
    <n v="3.121019108280255"/>
    <n v="7.65037522949115"/>
    <n v="1.9472678577646125"/>
    <n v="243.40848222057656"/>
    <n v="9.1732096352793207"/>
    <x v="165"/>
  </r>
  <r>
    <x v="6"/>
    <x v="9"/>
    <n v="0.43836446099999998"/>
    <n v="0.58666666700000003"/>
    <n v="4.5"/>
    <n v="8.2802547770700627"/>
    <n v="53.848955176343352"/>
    <n v="10.752805724453451"/>
    <n v="1344.1007155566813"/>
    <n v="10.065561251977767"/>
    <x v="166"/>
  </r>
  <r>
    <x v="6"/>
    <x v="29"/>
    <n v="0.40238543599999999"/>
    <n v="0.40883333300000002"/>
    <n v="8"/>
    <n v="13.694267515923567"/>
    <n v="147.28804455777941"/>
    <n v="35.385377254141616"/>
    <n v="4423.1721567677023"/>
    <n v="14.236622958335023"/>
    <x v="167"/>
  </r>
  <r>
    <x v="6"/>
    <x v="10"/>
    <n v="0.76500000000000001"/>
    <n v="0.61247410899999999"/>
    <n v="8"/>
    <n v="18.630573248407643"/>
    <n v="272.61033558023826"/>
    <n v="95.743676040240118"/>
    <n v="11967.959505030014"/>
    <n v="18.704451267799911"/>
    <x v="168"/>
  </r>
  <r>
    <x v="6"/>
    <x v="30"/>
    <n v="0.57917600000000002"/>
    <n v="0.60285714300000004"/>
    <n v="6"/>
    <n v="10.350318471337578"/>
    <n v="84.138992463036487"/>
    <n v="22.603182801842905"/>
    <n v="2825.397850230363"/>
    <n v="11.23541094162035"/>
    <x v="169"/>
  </r>
  <r>
    <x v="6"/>
    <x v="11"/>
    <n v="0.41240947999999999"/>
    <n v="0.52705000000000002"/>
    <n v="7"/>
    <n v="8.4394904458598727"/>
    <n v="55.939983391401071"/>
    <n v="15.471321043351168"/>
    <n v="1933.9151304188958"/>
    <n v="10.730712475151121"/>
    <x v="170"/>
  </r>
  <r>
    <x v="6"/>
    <x v="11"/>
    <n v="0.41240947999999999"/>
    <n v="0.52705000000000002"/>
    <n v="6"/>
    <n v="4.6815286624203818"/>
    <n v="17.213344266355083"/>
    <n v="4.2132266544569523"/>
    <n v="526.653331807119"/>
    <n v="9.4459509229583354"/>
    <x v="171"/>
  </r>
  <r>
    <x v="6"/>
    <x v="11"/>
    <n v="0.41240947999999999"/>
    <n v="0.52705000000000002"/>
    <n v="6"/>
    <n v="3.7898089171974521"/>
    <n v="11.280400210831337"/>
    <n v="2.7891961318658836"/>
    <n v="348.64951648323546"/>
    <n v="9.2873156842062556"/>
    <x v="172"/>
  </r>
  <r>
    <x v="6"/>
    <x v="11"/>
    <n v="0.41240947999999999"/>
    <n v="0.52705000000000002"/>
    <n v="5"/>
    <n v="4.936305732484076"/>
    <n v="19.137886806385342"/>
    <n v="3.9107311827681963"/>
    <n v="488.84139784602456"/>
    <n v="9.4121244999797149"/>
    <x v="40"/>
  </r>
  <r>
    <x v="7"/>
    <x v="31"/>
    <n v="0.40257753800000001"/>
    <n v="0.40843333300000001"/>
    <n v="7"/>
    <n v="14.490445859872612"/>
    <n v="164.91242522755155"/>
    <n v="34.651065596872719"/>
    <n v="8662.7663992181806"/>
    <n v="14.130039019838533"/>
    <x v="173"/>
  </r>
  <r>
    <x v="7"/>
    <x v="31"/>
    <n v="0.40257753800000001"/>
    <n v="0.40843333300000001"/>
    <n v="7"/>
    <n v="8.7898089171974529"/>
    <n v="60.680443927709064"/>
    <n v="13.05969025389218"/>
    <n v="3264.9225634730451"/>
    <n v="10.878588149620674"/>
    <x v="174"/>
  </r>
  <r>
    <x v="7"/>
    <x v="12"/>
    <n v="0.80908761900000004"/>
    <n v="0.87473809499999999"/>
    <n v="8"/>
    <n v="22.643312101910826"/>
    <n v="402.68901878254832"/>
    <n v="198.4022745208932"/>
    <n v="49600.568630223301"/>
    <n v="23.341848322447156"/>
    <x v="175"/>
  </r>
  <r>
    <x v="7"/>
    <x v="32"/>
    <n v="0.78445916699999996"/>
    <n v="0.87841666699999998"/>
    <n v="3.5"/>
    <n v="3.7579617834394905"/>
    <n v="11.091610234843269"/>
    <n v="2.6692191658454902"/>
    <n v="667.30479146137259"/>
    <n v="9.1586978903809477"/>
    <x v="176"/>
  </r>
  <r>
    <x v="7"/>
    <x v="33"/>
    <n v="0.63206279899999995"/>
    <n v="0.75690909100000003"/>
    <n v="3"/>
    <n v="3.7261146496815285"/>
    <n v="10.904413423209531"/>
    <n v="1.9530987859003874"/>
    <n v="488.27469647509685"/>
    <n v="9.131481269016998"/>
    <x v="177"/>
  </r>
  <r>
    <x v="7"/>
    <x v="34"/>
    <n v="0.53"/>
    <n v="0.54764999999999997"/>
    <n v="5"/>
    <n v="24.331210191082803"/>
    <n v="464.96183048241005"/>
    <n v="91.365107417244872"/>
    <n v="22841.276854311218"/>
    <n v="19.345836313846405"/>
    <x v="178"/>
  </r>
  <r>
    <x v="7"/>
    <x v="35"/>
    <n v="0.52500000000000002"/>
    <n v="0.52500000000000002"/>
    <n v="5"/>
    <n v="14.108280254777069"/>
    <n v="156.32845568642318"/>
    <n v="30.259285509510391"/>
    <n v="7564.8213773775979"/>
    <n v="12.468962505578318"/>
    <x v="179"/>
  </r>
  <r>
    <x v="7"/>
    <x v="35"/>
    <n v="0.52500000000000002"/>
    <n v="0.52500000000000002"/>
    <n v="5"/>
    <n v="42.834394904458598"/>
    <n v="1441.0370730456295"/>
    <n v="264.4505621633084"/>
    <n v="66112.640540827095"/>
    <n v="41.094444269544404"/>
    <x v="180"/>
  </r>
  <r>
    <x v="7"/>
    <x v="36"/>
    <n v="0.39984676499999999"/>
    <n v="0.450333333"/>
    <n v="7"/>
    <n v="17.070063694267517"/>
    <n v="228.85487317075069"/>
    <n v="52.481111383480709"/>
    <n v="13120.277845870178"/>
    <n v="16.124683325895575"/>
    <x v="181"/>
  </r>
  <r>
    <x v="7"/>
    <x v="37"/>
    <n v="0.61"/>
    <n v="0.84088888900000003"/>
    <n v="6.5"/>
    <n v="61.178343949044589"/>
    <n v="2939.5802100429664"/>
    <n v="1084.9310304152698"/>
    <n v="271232.75760381744"/>
    <n v="94.134167229907916"/>
    <x v="182"/>
  </r>
  <r>
    <x v="7"/>
    <x v="7"/>
    <n v="0.74387999999999999"/>
    <n v="0.59130000000000005"/>
    <n v="8"/>
    <n v="9.936305732484076"/>
    <n v="77.542495453934436"/>
    <n v="27.120548951885002"/>
    <n v="6780.1372379712502"/>
    <n v="11.750144805063085"/>
    <x v="183"/>
  </r>
  <r>
    <x v="7"/>
    <x v="38"/>
    <n v="0.371297506"/>
    <n v="0.35258402799999999"/>
    <n v="7"/>
    <n v="9.3312101910828016"/>
    <n v="68.385783327424562"/>
    <n v="12.713876980196423"/>
    <n v="3178.4692450491057"/>
    <n v="11.118951348939104"/>
    <x v="184"/>
  </r>
  <r>
    <x v="7"/>
    <x v="38"/>
    <n v="0.371297506"/>
    <n v="0.35258402799999999"/>
    <n v="7"/>
    <n v="23.503184713375795"/>
    <n v="433.85370329976854"/>
    <n v="77.161103188816554"/>
    <n v="19290.27579720414"/>
    <n v="22.519492445941012"/>
    <x v="185"/>
  </r>
  <r>
    <x v="8"/>
    <x v="12"/>
    <n v="0.80908761900000004"/>
    <n v="0.87473809499999999"/>
    <n v="4.5"/>
    <n v="10.350318471337578"/>
    <n v="84.138992463036487"/>
    <n v="24.547829197649403"/>
    <n v="6136.9572994123509"/>
    <n v="10.672983206215262"/>
    <x v="186"/>
  </r>
  <r>
    <x v="8"/>
    <x v="39"/>
    <n v="0.41"/>
    <n v="0.33983503399999998"/>
    <n v="5.5"/>
    <n v="16.97452229299363"/>
    <n v="226.30023412858299"/>
    <n v="31.16675602764964"/>
    <n v="7791.6890069124102"/>
    <n v="14.53228733620025"/>
    <x v="187"/>
  </r>
  <r>
    <x v="8"/>
    <x v="40"/>
    <n v="0.9"/>
    <n v="0.61247410899999999"/>
    <n v="4"/>
    <n v="5.5732484076433115"/>
    <n v="24.395329175673304"/>
    <n v="4.6155859503181826"/>
    <n v="1153.8964875795457"/>
    <n v="9.4205553693861823"/>
    <x v="188"/>
  </r>
  <r>
    <x v="8"/>
    <x v="40"/>
    <n v="0.9"/>
    <n v="0.61247410899999999"/>
    <n v="4"/>
    <n v="10.127388535031846"/>
    <n v="80.553576083617529"/>
    <n v="14.809974470345026"/>
    <n v="3702.4936175862563"/>
    <n v="10.421595979552922"/>
    <x v="189"/>
  </r>
  <r>
    <x v="8"/>
    <x v="24"/>
    <n v="0.56193137999999998"/>
    <n v="0.57808694400000005"/>
    <n v="5"/>
    <n v="20.159235668789808"/>
    <n v="319.18171598600367"/>
    <n v="66.718839330385379"/>
    <n v="16679.709832596345"/>
    <n v="16.097608698121626"/>
    <x v="190"/>
  </r>
  <r>
    <x v="8"/>
    <x v="36"/>
    <n v="0.39984676499999999"/>
    <n v="0.450333333"/>
    <n v="7"/>
    <n v="13.439490445859873"/>
    <n v="141.85854043822386"/>
    <n v="32.906618648879373"/>
    <n v="8226.6546622198439"/>
    <n v="13.410887634386789"/>
    <x v="191"/>
  </r>
  <r>
    <x v="8"/>
    <x v="22"/>
    <n v="1082380952"/>
    <n v="0.61247410899999999"/>
    <n v="6.5"/>
    <n v="23.885350318471335"/>
    <n v="448.07747465522391"/>
    <n v="126.97816374118136"/>
    <n v="31744.540935295339"/>
    <n v="21.964801586271246"/>
    <x v="192"/>
  </r>
  <r>
    <x v="8"/>
    <x v="37"/>
    <n v="0.61"/>
    <n v="0.84088888900000003"/>
    <n v="6"/>
    <n v="56.464968152866234"/>
    <n v="2504.0791748008201"/>
    <n v="858.04161321277161"/>
    <n v="214510.4033031929"/>
    <n v="75.939845198588159"/>
    <x v="193"/>
  </r>
  <r>
    <x v="8"/>
    <x v="9"/>
    <n v="0.43836446099999998"/>
    <n v="0.58666666700000003"/>
    <n v="4"/>
    <n v="58.630573248407636"/>
    <n v="2699.8408380034343"/>
    <n v="437.47572273533149"/>
    <n v="109368.93068383288"/>
    <n v="57.111317672116506"/>
    <x v="194"/>
  </r>
  <r>
    <x v="8"/>
    <x v="9"/>
    <n v="0.43836446099999998"/>
    <n v="0.58666666700000003"/>
    <n v="3.5"/>
    <n v="14.968152866242038"/>
    <n v="175.96500293571373"/>
    <n v="26.724146298212627"/>
    <n v="6681.0365745531572"/>
    <n v="11.730258602783074"/>
    <x v="195"/>
  </r>
  <r>
    <x v="8"/>
    <x v="9"/>
    <n v="0.43836446099999998"/>
    <n v="0.58666666700000003"/>
    <n v="5"/>
    <n v="18.439490445859871"/>
    <n v="267.04700565491896"/>
    <n v="56.872417742203282"/>
    <n v="14218.10443555082"/>
    <n v="14.935959138301754"/>
    <x v="196"/>
  </r>
  <r>
    <x v="8"/>
    <x v="9"/>
    <n v="0.43836446099999998"/>
    <n v="0.58666666700000003"/>
    <n v="5.5"/>
    <n v="51.464968152866248"/>
    <n v="2080.2393060501918"/>
    <n v="462.83897520399466"/>
    <n v="115709.74380099867"/>
    <n v="59.972076729279088"/>
    <x v="197"/>
  </r>
  <r>
    <x v="8"/>
    <x v="38"/>
    <n v="0.371297506"/>
    <n v="0.35258402799999999"/>
    <n v="5"/>
    <n v="24.490445859872612"/>
    <n v="471.06763287037853"/>
    <n v="60.208757145370988"/>
    <n v="15052.189286342747"/>
    <n v="19.481883922268651"/>
    <x v="198"/>
  </r>
  <r>
    <x v="8"/>
    <x v="41"/>
    <n v="0.693333333"/>
    <n v="0.64166666699999997"/>
    <n v="6"/>
    <n v="10.286624203821654"/>
    <n v="83.106621961430847"/>
    <n v="23.73457103825136"/>
    <n v="5933.6427595628402"/>
    <n v="11.207807387723639"/>
    <x v="199"/>
  </r>
  <r>
    <x v="8"/>
    <x v="41"/>
    <n v="0.693333333"/>
    <n v="0.64166666699999997"/>
    <n v="4.5"/>
    <n v="9.6496815286624198"/>
    <n v="73.13341310332703"/>
    <n v="15.821726297425954"/>
    <n v="3955.4315743564885"/>
    <n v="10.452282569272587"/>
    <x v="200"/>
  </r>
  <r>
    <x v="9"/>
    <x v="12"/>
    <n v="0.80908761900000004"/>
    <n v="0.87473809499999999"/>
    <n v="4.5"/>
    <n v="8.7579617834394909"/>
    <n v="60.241527148091237"/>
    <n v="17.717163399845305"/>
    <n v="4429.2908499613259"/>
    <n v="10.193754839952939"/>
    <x v="201"/>
  </r>
  <r>
    <x v="9"/>
    <x v="32"/>
    <n v="0.78445916699999996"/>
    <n v="0.87841666699999998"/>
    <n v="4"/>
    <n v="7.2929936305732479"/>
    <n v="41.773565952701503"/>
    <n v="11.093524786946661"/>
    <n v="2773.3811967366651"/>
    <n v="9.7303285853381478"/>
    <x v="202"/>
  </r>
  <r>
    <x v="9"/>
    <x v="42"/>
    <n v="0.66"/>
    <n v="0.75533333300000005"/>
    <n v="7"/>
    <n v="7.7388535031847123"/>
    <n v="47.037380979406777"/>
    <n v="18.560550251895538"/>
    <n v="4640.137562973885"/>
    <n v="10.45300141182198"/>
    <x v="203"/>
  </r>
  <r>
    <x v="9"/>
    <x v="26"/>
    <n v="0.54247040000000002"/>
    <n v="0.54247042099999998"/>
    <n v="3.5"/>
    <n v="16.019108280254777"/>
    <n v="201.54246006229965"/>
    <n v="28.263799682956368"/>
    <n v="7065.9499207390918"/>
    <n v="12.129194918657957"/>
    <x v="204"/>
  </r>
  <r>
    <x v="9"/>
    <x v="35"/>
    <n v="0.52500000000000002"/>
    <n v="0.52500000000000002"/>
    <n v="5"/>
    <n v="7.2929936305732479"/>
    <n v="41.773565952701503"/>
    <n v="8.3459822564818484"/>
    <n v="2086.4955641204619"/>
    <n v="9.9164857316726831"/>
    <x v="205"/>
  </r>
  <r>
    <x v="9"/>
    <x v="24"/>
    <n v="0.56193137999999998"/>
    <n v="0.57808694400000005"/>
    <n v="7"/>
    <n v="28.057324840764334"/>
    <n v="618.27601921044163"/>
    <n v="176.65355294612766"/>
    <n v="44163.388236531915"/>
    <n v="28.272430191894202"/>
    <x v="206"/>
  </r>
  <r>
    <x v="9"/>
    <x v="24"/>
    <n v="0.56193137999999998"/>
    <n v="0.57808694400000005"/>
    <n v="7"/>
    <n v="35.828025477707008"/>
    <n v="1008.1743179742541"/>
    <n v="284.69453283857302"/>
    <n v="71173.63320964326"/>
    <n v="40.435061535964948"/>
    <x v="207"/>
  </r>
  <r>
    <x v="9"/>
    <x v="36"/>
    <n v="0.39984676499999999"/>
    <n v="0.450333333"/>
    <n v="8"/>
    <n v="20.636942675159233"/>
    <n v="334.48804252022603"/>
    <n v="86.590033103324089"/>
    <n v="21647.508275831024"/>
    <n v="20.910435283378632"/>
    <x v="208"/>
  </r>
  <r>
    <x v="9"/>
    <x v="36"/>
    <n v="0.39984676499999999"/>
    <n v="0.450333333"/>
    <n v="9"/>
    <n v="42.866242038216569"/>
    <n v="1443.1806756843805"/>
    <n v="404.66376046163577"/>
    <n v="101165.94011540894"/>
    <n v="66.86741325408741"/>
    <x v="209"/>
  </r>
  <r>
    <x v="9"/>
    <x v="22"/>
    <n v="1082380952"/>
    <n v="0.61247410899999999"/>
    <n v="5.5"/>
    <n v="12.961783439490446"/>
    <n v="131.95304106517904"/>
    <n v="32.713596442541601"/>
    <n v="8178.3991106354006"/>
    <n v="12.219850726195789"/>
    <x v="210"/>
  </r>
  <r>
    <x v="9"/>
    <x v="37"/>
    <n v="0.61"/>
    <n v="0.84088888900000003"/>
    <n v="6.5"/>
    <n v="51.27388535031848"/>
    <n v="2064.8206614289893"/>
    <n v="768.56539197835389"/>
    <n v="192141.34799458846"/>
    <n v="68.795707505375489"/>
    <x v="211"/>
  </r>
  <r>
    <x v="9"/>
    <x v="37"/>
    <n v="0.61"/>
    <n v="0.84088888900000003"/>
    <n v="8"/>
    <n v="49.777070063694261"/>
    <n v="1946.0255647662179"/>
    <n v="888.33552651273214"/>
    <n v="222083.88162818304"/>
    <n v="78.362887715525957"/>
    <x v="212"/>
  </r>
  <r>
    <x v="9"/>
    <x v="9"/>
    <n v="0.43836446099999998"/>
    <n v="0.58666666700000003"/>
    <n v="5"/>
    <n v="39.71337579617834"/>
    <n v="1238.6924547309247"/>
    <n v="254.2637524294361"/>
    <n v="63565.938107359027"/>
    <n v="36.585863799748466"/>
    <x v="213"/>
  </r>
  <r>
    <x v="9"/>
    <x v="9"/>
    <n v="0.43836446099999998"/>
    <n v="0.58666666700000003"/>
    <n v="6.5"/>
    <n v="22.611464968152866"/>
    <n v="401.5570755087972"/>
    <n v="109.4002069110892"/>
    <n v="27350.051727772301"/>
    <n v="20.617282417136597"/>
    <x v="214"/>
  </r>
  <r>
    <x v="9"/>
    <x v="38"/>
    <n v="0.371297506"/>
    <n v="0.35258402799999999"/>
    <n v="6"/>
    <n v="15.318471337579615"/>
    <n v="184.2980490910351"/>
    <n v="28.784555831908577"/>
    <n v="7196.1389579771439"/>
    <n v="13.91346684652521"/>
    <x v="215"/>
  </r>
  <r>
    <x v="9"/>
    <x v="41"/>
    <n v="0.693333333"/>
    <n v="0.64166666699999997"/>
    <n v="5"/>
    <n v="9.4585987261146496"/>
    <n v="70.26571726553361"/>
    <n v="16.863889829543421"/>
    <n v="4215.9724573858548"/>
    <n v="10.551339072579008"/>
    <x v="216"/>
  </r>
  <r>
    <x v="10"/>
    <x v="39"/>
    <n v="0.41"/>
    <n v="0.33983503399999998"/>
    <n v="6"/>
    <n v="12.707006369426752"/>
    <n v="126.81667918682014"/>
    <n v="19.279724208831478"/>
    <n v="4819.9310522078695"/>
    <n v="12.376528228325693"/>
    <x v="217"/>
  </r>
  <r>
    <x v="10"/>
    <x v="26"/>
    <n v="0.54247040000000002"/>
    <n v="0.54247042099999998"/>
    <n v="2.8"/>
    <n v="10.127388535031846"/>
    <n v="80.553576083617529"/>
    <n v="9.2880256288707344"/>
    <n v="2322.0064072176838"/>
    <n v="9.9908271856870456"/>
    <x v="218"/>
  </r>
  <r>
    <x v="10"/>
    <x v="33"/>
    <n v="0.63206279899999995"/>
    <n v="0.75690909100000003"/>
    <n v="3"/>
    <n v="2.4203821656050954"/>
    <n v="4.6010586553041311"/>
    <n v="0.84134388013232886"/>
    <n v="210.33597003308222"/>
    <n v="9.0472116231895807"/>
    <x v="219"/>
  </r>
  <r>
    <x v="10"/>
    <x v="40"/>
    <n v="0.9"/>
    <n v="0.61247410899999999"/>
    <n v="5"/>
    <n v="8.9808917197452232"/>
    <n v="63.347401056856945"/>
    <n v="14.564212395934689"/>
    <n v="3641.053098983672"/>
    <n v="10.397187281431295"/>
    <x v="220"/>
  </r>
  <r>
    <x v="10"/>
    <x v="35"/>
    <n v="0.52500000000000002"/>
    <n v="0.52500000000000002"/>
    <n v="8"/>
    <n v="4.5222929936305727"/>
    <n v="16.062283020351884"/>
    <n v="5.1947726679758723"/>
    <n v="1298.6931669939681"/>
    <n v="9.5583317497667242"/>
    <x v="221"/>
  </r>
  <r>
    <x v="10"/>
    <x v="35"/>
    <n v="0.52500000000000002"/>
    <n v="0.52500000000000002"/>
    <n v="6"/>
    <n v="14.490445859872612"/>
    <n v="164.91242522755155"/>
    <n v="38.088839261929088"/>
    <n v="9522.2098154822725"/>
    <n v="13.395133445575885"/>
    <x v="222"/>
  </r>
  <r>
    <x v="10"/>
    <x v="43"/>
    <n v="0.62643652800000005"/>
    <n v="0.57808694400000005"/>
    <n v="5.5"/>
    <n v="34.681528662420384"/>
    <n v="944.68353212550744"/>
    <n v="211.14758695371552"/>
    <n v="52786.896738428877"/>
    <n v="32.139762284474017"/>
    <x v="223"/>
  </r>
  <r>
    <x v="10"/>
    <x v="24"/>
    <n v="0.56193137999999998"/>
    <n v="0.57808694400000005"/>
    <n v="6.5"/>
    <n v="37.101910828025474"/>
    <n v="1081.1412454025535"/>
    <n v="283.52108273137719"/>
    <n v="70880.270682844304"/>
    <n v="40.302253156314656"/>
    <x v="224"/>
  </r>
  <r>
    <x v="10"/>
    <x v="24"/>
    <n v="0.56193137999999998"/>
    <n v="0.57808694400000005"/>
    <n v="4"/>
    <n v="11.242038216560509"/>
    <n v="99.261308514333876"/>
    <n v="17.162497729460849"/>
    <n v="4290.6244323652127"/>
    <n v="10.755067925676498"/>
    <x v="225"/>
  </r>
  <r>
    <x v="10"/>
    <x v="36"/>
    <n v="0.39984676499999999"/>
    <n v="0.450333333"/>
    <n v="10"/>
    <n v="30.191082802547768"/>
    <n v="715.89158894675268"/>
    <n v="226.24945482504853"/>
    <n v="56562.363706262135"/>
    <n v="40.888251827660348"/>
    <x v="226"/>
  </r>
  <r>
    <x v="10"/>
    <x v="36"/>
    <n v="0.39984676499999999"/>
    <n v="0.450333333"/>
    <n v="9"/>
    <n v="15.19108280254777"/>
    <n v="181.24554618813946"/>
    <n v="53.415368890415074"/>
    <n v="13353.842222603769"/>
    <n v="16.254923396486671"/>
    <x v="227"/>
  </r>
  <r>
    <x v="10"/>
    <x v="36"/>
    <n v="0.39984676499999999"/>
    <n v="0.450333333"/>
    <n v="10"/>
    <n v="48.089171974522294"/>
    <n v="1816.2870221535579"/>
    <n v="561.33312082112445"/>
    <n v="140333.2802052811"/>
    <n v="89.925596141831306"/>
    <x v="228"/>
  </r>
  <r>
    <x v="10"/>
    <x v="22"/>
    <n v="1082380952"/>
    <n v="0.61247410899999999"/>
    <n v="4.5"/>
    <n v="11.337579617834395"/>
    <n v="100.9556388051635"/>
    <n v="20.709605670767441"/>
    <n v="5177.4014176918599"/>
    <n v="11.010216207554059"/>
    <x v="229"/>
  </r>
  <r>
    <x v="10"/>
    <x v="22"/>
    <n v="1082380952"/>
    <n v="0.61247410899999999"/>
    <n v="4.5"/>
    <n v="9.936305732484076"/>
    <n v="77.542495453934436"/>
    <n v="16.007783467694491"/>
    <n v="4001.9458669236228"/>
    <n v="10.540700202847985"/>
    <x v="230"/>
  </r>
  <r>
    <x v="10"/>
    <x v="37"/>
    <n v="0.61"/>
    <n v="0.84088888900000003"/>
    <n v="6"/>
    <n v="26.624203821656053"/>
    <n v="556.72809729179994"/>
    <n v="197.77689408775979"/>
    <n v="49444.223521939944"/>
    <n v="23.87151281187878"/>
    <x v="231"/>
  </r>
  <r>
    <x v="10"/>
    <x v="37"/>
    <n v="0.61"/>
    <n v="0.84088888900000003"/>
    <n v="8"/>
    <n v="67.70700636942675"/>
    <n v="3600.45266459512"/>
    <n v="1619.4688155014444"/>
    <n v="404867.20387536113"/>
    <n v="137.34438392226866"/>
    <x v="232"/>
  </r>
  <r>
    <x v="10"/>
    <x v="37"/>
    <n v="0.61"/>
    <n v="0.84088888900000003"/>
    <n v="4"/>
    <n v="4.3949044585987265"/>
    <n v="15.170110981927266"/>
    <n v="3.9555584529794028"/>
    <n v="988.88961324485069"/>
    <n v="9.2561125928029533"/>
    <x v="233"/>
  </r>
  <r>
    <x v="10"/>
    <x v="9"/>
    <n v="0.43836446099999998"/>
    <n v="0.58666666700000003"/>
    <n v="6"/>
    <n v="31.050955414012737"/>
    <n v="757.25093216732841"/>
    <n v="187.91915063190723"/>
    <n v="46979.787657976805"/>
    <n v="29.233098474583144"/>
    <x v="234"/>
  </r>
  <r>
    <x v="10"/>
    <x v="38"/>
    <n v="0.371297506"/>
    <n v="0.35258402799999999"/>
    <n v="5"/>
    <n v="8.1847133757961785"/>
    <n v="52.613456219560696"/>
    <n v="7.0879542202028656"/>
    <n v="1771.9885550507163"/>
    <n v="10.158016828268895"/>
    <x v="235"/>
  </r>
  <r>
    <x v="10"/>
    <x v="38"/>
    <n v="0.371297506"/>
    <n v="0.35258402799999999"/>
    <n v="8"/>
    <n v="36.433121019108277"/>
    <n v="1042.5157722140075"/>
    <n v="206.8236269937818"/>
    <n v="51705.90674844545"/>
    <n v="46.152124601403706"/>
    <x v="236"/>
  </r>
  <r>
    <x v="10"/>
    <x v="38"/>
    <n v="0.371297506"/>
    <n v="0.35258402799999999"/>
    <n v="6.5"/>
    <n v="28.566878980891719"/>
    <n v="640.9371889864268"/>
    <n v="105.04877873356381"/>
    <n v="26262.194683390953"/>
    <n v="27.551214574627771"/>
    <x v="237"/>
  </r>
  <r>
    <x v="11"/>
    <x v="12"/>
    <n v="0.80908761900000004"/>
    <n v="0.87473809499999999"/>
    <n v="7"/>
    <n v="7.7388535031847132"/>
    <n v="47.037380979406791"/>
    <n v="21.419064165816053"/>
    <n v="5354.7660414540132"/>
    <n v="10.45300141182198"/>
    <x v="203"/>
  </r>
  <r>
    <x v="11"/>
    <x v="44"/>
    <n v="0.77800000000000002"/>
    <n v="0.77386111099999999"/>
    <n v="3.5"/>
    <n v="3.6305732484076434"/>
    <n v="10.352381974434296"/>
    <n v="2.205119766556412"/>
    <n v="551.27994163910296"/>
    <n v="9.147168010872651"/>
    <x v="238"/>
  </r>
  <r>
    <x v="11"/>
    <x v="39"/>
    <n v="0.41"/>
    <n v="0.33983503399999998"/>
    <n v="6"/>
    <n v="10.477707006369428"/>
    <n v="86.22285143849976"/>
    <n v="13.230252035978143"/>
    <n v="3307.5630089945357"/>
    <n v="11.291129226337784"/>
    <x v="239"/>
  </r>
  <r>
    <x v="11"/>
    <x v="45"/>
    <n v="0.31264018999999998"/>
    <n v="0.356821212"/>
    <n v="5"/>
    <n v="6.4968152866242033"/>
    <n v="33.150563884892087"/>
    <n v="4.568704301936207"/>
    <n v="1142.1760754840518"/>
    <n v="9.7243506551989931"/>
    <x v="240"/>
  </r>
  <r>
    <x v="11"/>
    <x v="46"/>
    <n v="0.55560299999999996"/>
    <n v="0.55961111100000005"/>
    <n v="3.5"/>
    <n v="17.802547770700635"/>
    <n v="248.91679530264716"/>
    <n v="35.801704885161797"/>
    <n v="8950.4262212904487"/>
    <n v="12.868101162318958"/>
    <x v="241"/>
  </r>
  <r>
    <x v="11"/>
    <x v="40"/>
    <n v="0.9"/>
    <n v="0.61247410899999999"/>
    <n v="7"/>
    <n v="4.2356687898089174"/>
    <n v="14.090742131868904"/>
    <n v="4.6642316365258329"/>
    <n v="1166.0579091314582"/>
    <n v="9.4252518073755525"/>
    <x v="242"/>
  </r>
  <r>
    <x v="11"/>
    <x v="40"/>
    <n v="0.9"/>
    <n v="0.61247410899999999"/>
    <n v="6"/>
    <n v="1.7834394904458597"/>
    <n v="2.4980817075889461"/>
    <n v="0.74155722265958568"/>
    <n v="185.38930566489643"/>
    <n v="9.0524937847377167"/>
    <x v="243"/>
  </r>
  <r>
    <x v="11"/>
    <x v="43"/>
    <n v="0.62643652800000005"/>
    <n v="0.57808694400000005"/>
    <n v="6"/>
    <n v="8.8216560509554132"/>
    <n v="61.120953871681195"/>
    <n v="15.882170204843614"/>
    <n v="3970.5425512109036"/>
    <n v="10.619953925108522"/>
    <x v="244"/>
  </r>
  <r>
    <x v="11"/>
    <x v="36"/>
    <n v="0.39984676499999999"/>
    <n v="0.450333333"/>
    <n v="10"/>
    <n v="7.9617834394904454"/>
    <n v="49.786386072802657"/>
    <n v="16.773997109289372"/>
    <n v="4193.499277322343"/>
    <n v="11.20434984380705"/>
    <x v="245"/>
  </r>
  <r>
    <x v="11"/>
    <x v="36"/>
    <n v="0.39984676499999999"/>
    <n v="0.450333333"/>
    <n v="10"/>
    <n v="23.471337579617831"/>
    <n v="432.67874458845034"/>
    <n v="138.40577235980334"/>
    <n v="34601.443089950837"/>
    <n v="28.267329072173311"/>
    <x v="246"/>
  </r>
  <r>
    <x v="11"/>
    <x v="36"/>
    <n v="0.39984676499999999"/>
    <n v="0.450333333"/>
    <n v="9"/>
    <n v="20.541401273885349"/>
    <n v="331.39810025500361"/>
    <n v="96.262895139142799"/>
    <n v="24065.7237847857"/>
    <n v="22.277098738285527"/>
    <x v="247"/>
  </r>
  <r>
    <x v="11"/>
    <x v="36"/>
    <n v="0.39984676499999999"/>
    <n v="0.450333333"/>
    <n v="9"/>
    <n v="30.796178343949045"/>
    <n v="744.87523146289561"/>
    <n v="212.20266487211924"/>
    <n v="53050.666218029808"/>
    <n v="38.860444918657954"/>
    <x v="248"/>
  </r>
  <r>
    <x v="11"/>
    <x v="36"/>
    <n v="0.39984676499999999"/>
    <n v="0.450333333"/>
    <n v="8"/>
    <n v="15.063694267515922"/>
    <n v="178.21853391491305"/>
    <n v="46.838442037875318"/>
    <n v="11709.61050946883"/>
    <n v="15.339316779585378"/>
    <x v="249"/>
  </r>
  <r>
    <x v="11"/>
    <x v="36"/>
    <n v="0.39984676499999999"/>
    <n v="0.450333333"/>
    <n v="11"/>
    <n v="5.4458598726114653"/>
    <n v="23.29285944247717"/>
    <n v="8.7713276676587171"/>
    <n v="2192.8319169146794"/>
    <n v="10.127509505456612"/>
    <x v="250"/>
  </r>
  <r>
    <x v="11"/>
    <x v="36"/>
    <n v="0.39984676499999999"/>
    <n v="0.450333333"/>
    <n v="7"/>
    <n v="16.242038216560509"/>
    <n v="207.19102428057556"/>
    <n v="47.626683213138655"/>
    <n v="11906.670803284664"/>
    <n v="15.448893232991196"/>
    <x v="251"/>
  </r>
  <r>
    <x v="11"/>
    <x v="36"/>
    <n v="0.39984676499999999"/>
    <n v="0.450333333"/>
    <n v="7"/>
    <n v="48.121019108280251"/>
    <n v="1818.6934969107724"/>
    <n v="396.82368737497785"/>
    <n v="99205.921843744465"/>
    <n v="65.718695760477075"/>
    <x v="252"/>
  </r>
  <r>
    <x v="11"/>
    <x v="22"/>
    <n v="1082380952"/>
    <n v="0.61247410899999999"/>
    <n v="5"/>
    <n v="23.853503184713375"/>
    <n v="446.88339797165389"/>
    <n v="98.036828312963934"/>
    <n v="24509.207078240983"/>
    <n v="18.943018248204794"/>
    <x v="253"/>
  </r>
  <r>
    <x v="11"/>
    <x v="22"/>
    <n v="1082380952"/>
    <n v="0.61247410899999999"/>
    <n v="6"/>
    <n v="17.802547770700635"/>
    <n v="248.91679530264716"/>
    <n v="66.165178656769328"/>
    <n v="16541.294664192334"/>
    <n v="15.641244849689642"/>
    <x v="254"/>
  </r>
  <r>
    <x v="11"/>
    <x v="37"/>
    <n v="0.61"/>
    <n v="0.84088888900000003"/>
    <n v="8"/>
    <n v="34.681528662420384"/>
    <n v="944.68353212550744"/>
    <n v="438.78071050393442"/>
    <n v="109695.1776259836"/>
    <n v="42.664336050144023"/>
    <x v="255"/>
  </r>
  <r>
    <x v="11"/>
    <x v="9"/>
    <n v="0.43836446099999998"/>
    <n v="0.58666666700000003"/>
    <n v="7"/>
    <n v="32.484076433121025"/>
    <n v="828.76409712230259"/>
    <n v="238.54022960203525"/>
    <n v="59635.057400508813"/>
    <n v="34.838472931964795"/>
    <x v="256"/>
  </r>
  <r>
    <x v="11"/>
    <x v="9"/>
    <n v="0.43836446099999998"/>
    <n v="0.58666666700000003"/>
    <n v="6"/>
    <n v="22.101910828025478"/>
    <n v="383.66265348096618"/>
    <n v="96.776011067851513"/>
    <n v="24194.00276696288"/>
    <n v="19.244083707249786"/>
    <x v="257"/>
  </r>
  <r>
    <x v="12"/>
    <x v="47"/>
    <n v="0.43916666700000001"/>
    <n v="0.51877777800000002"/>
    <n v="6"/>
    <n v="10"/>
    <n v="78.539816339744831"/>
    <n v="18.252085584510233"/>
    <n v="2607.4407977871765"/>
    <n v="11.085699999999999"/>
    <x v="258"/>
  </r>
  <r>
    <x v="12"/>
    <x v="39"/>
    <n v="0.41"/>
    <n v="0.33983503399999998"/>
    <n v="7"/>
    <n v="8.0891719745222925"/>
    <n v="51.39229574196699"/>
    <n v="9.280624608852154"/>
    <n v="1325.8035155503078"/>
    <n v="10.588850229218224"/>
    <x v="259"/>
  </r>
  <r>
    <x v="12"/>
    <x v="33"/>
    <n v="0.63206279899999995"/>
    <n v="0.75690909100000003"/>
    <n v="5"/>
    <n v="6.1783439490445851"/>
    <n v="29.980166819776009"/>
    <n v="8.6285687615675997"/>
    <n v="1232.6526802239428"/>
    <n v="9.6537088441721775"/>
    <x v="260"/>
  </r>
  <r>
    <x v="12"/>
    <x v="33"/>
    <n v="0.63206279899999995"/>
    <n v="0.75690909100000003"/>
    <n v="5.5"/>
    <n v="19.076433121019104"/>
    <n v="285.81448174892262"/>
    <n v="85.523645675365358"/>
    <n v="12217.663667909337"/>
    <n v="15.990973286948757"/>
    <x v="261"/>
  </r>
  <r>
    <x v="12"/>
    <x v="33"/>
    <n v="0.63206279899999995"/>
    <n v="0.75690909100000003"/>
    <n v="4.5"/>
    <n v="4.6178343949044587"/>
    <n v="16.748140274890819"/>
    <n v="4.4104288173545854"/>
    <n v="630.06125962208364"/>
    <n v="9.3215592133555116"/>
    <x v="262"/>
  </r>
  <r>
    <x v="12"/>
    <x v="40"/>
    <n v="0.9"/>
    <n v="0.61247410899999999"/>
    <n v="3"/>
    <n v="2.6433121019108281"/>
    <n v="5.4876546184886017"/>
    <n v="0.81267481498658056"/>
    <n v="116.09640214094009"/>
    <n v="9.0590645381151358"/>
    <x v="263"/>
  </r>
  <r>
    <x v="12"/>
    <x v="35"/>
    <n v="0.52500000000000002"/>
    <n v="0.52500000000000002"/>
    <n v="6"/>
    <n v="18.121019108280255"/>
    <n v="257.90224226106665"/>
    <n v="58.930297787845461"/>
    <n v="8418.6139696922091"/>
    <n v="15.881498003975821"/>
    <x v="264"/>
  </r>
  <r>
    <x v="12"/>
    <x v="43"/>
    <n v="0.62643652800000005"/>
    <n v="0.57808694400000005"/>
    <n v="6"/>
    <n v="26.273885350318469"/>
    <n v="542.173744332821"/>
    <n v="133.6926230646547"/>
    <n v="19098.946152093529"/>
    <n v="23.482358079435272"/>
    <x v="265"/>
  </r>
  <r>
    <x v="12"/>
    <x v="43"/>
    <n v="0.62643652800000005"/>
    <n v="0.57808694400000005"/>
    <n v="6.5"/>
    <n v="34.522292993630572"/>
    <n v="936.02866677061127"/>
    <n v="246.31695735435574"/>
    <n v="35188.136764907962"/>
    <n v="36.098893232991195"/>
    <x v="266"/>
  </r>
  <r>
    <x v="12"/>
    <x v="43"/>
    <n v="0.62643652800000005"/>
    <n v="0.57808694400000005"/>
    <n v="7"/>
    <n v="40.636942675159233"/>
    <n v="1296.9759828875447"/>
    <n v="364.04068240149007"/>
    <n v="52005.811771641434"/>
    <n v="49.444047194612352"/>
    <x v="267"/>
  </r>
  <r>
    <x v="12"/>
    <x v="43"/>
    <n v="0.62643652800000005"/>
    <n v="0.57808694400000005"/>
    <n v="6"/>
    <n v="42.834394904458598"/>
    <n v="1441.0370730456295"/>
    <n v="347.1004971738102"/>
    <n v="49585.785310544314"/>
    <n v="47.516193123453284"/>
    <x v="268"/>
  </r>
  <r>
    <x v="12"/>
    <x v="43"/>
    <n v="0.62643652800000005"/>
    <n v="0.57808694400000005"/>
    <n v="6"/>
    <n v="80.636942675159233"/>
    <n v="5106.9074557760587"/>
    <n v="1193.3023111059365"/>
    <n v="170471.7587294195"/>
    <n v="145.53434700393524"/>
    <x v="269"/>
  </r>
  <r>
    <x v="12"/>
    <x v="43"/>
    <n v="0.62643652800000005"/>
    <n v="0.57808694400000005"/>
    <n v="5.5"/>
    <n v="53.726114649681534"/>
    <n v="2267.0481821636504"/>
    <n v="496.1766727510751"/>
    <n v="70882.381821582167"/>
    <n v="64.550736360501446"/>
    <x v="270"/>
  </r>
  <r>
    <x v="12"/>
    <x v="43"/>
    <n v="0.62643652800000005"/>
    <n v="0.57808694400000005"/>
    <n v="6.5"/>
    <n v="68.439490445859875"/>
    <n v="3678.7766071648539"/>
    <n v="936.79083985453963"/>
    <n v="133827.26283636279"/>
    <n v="115.54587764412349"/>
    <x v="271"/>
  </r>
  <r>
    <x v="12"/>
    <x v="22"/>
    <n v="1082380952"/>
    <n v="0.61247410899999999"/>
    <n v="6"/>
    <n v="4.6496815286624198"/>
    <n v="16.979945688445781"/>
    <n v="4.8139149711013225"/>
    <n v="687.70213872876036"/>
    <n v="9.4397103046776749"/>
    <x v="272"/>
  </r>
  <r>
    <x v="12"/>
    <x v="48"/>
    <n v="0.39"/>
    <n v="0.28861111099999998"/>
    <n v="4.5"/>
    <n v="5.2547770700636942"/>
    <n v="21.68694977331284"/>
    <n v="2.2148177594903453"/>
    <n v="316.40253707004933"/>
    <n v="9.4205997423830574"/>
    <x v="273"/>
  </r>
  <r>
    <x v="12"/>
    <x v="9"/>
    <n v="0.43836446099999998"/>
    <n v="0.58666666700000003"/>
    <n v="6"/>
    <n v="19.777070063694268"/>
    <n v="307.1947473840271"/>
    <n v="77.902040708479078"/>
    <n v="11128.862958354153"/>
    <n v="17.199482506389714"/>
    <x v="274"/>
  </r>
  <r>
    <x v="12"/>
    <x v="9"/>
    <n v="0.43836446099999998"/>
    <n v="0.58666666700000003"/>
    <n v="5.5"/>
    <n v="24.076433121019104"/>
    <n v="455.27539120808535"/>
    <n v="105.05747060049707"/>
    <n v="15008.210085785295"/>
    <n v="20.144436662744937"/>
    <x v="275"/>
  </r>
  <r>
    <x v="12"/>
    <x v="29"/>
    <n v="0.40238543599999999"/>
    <n v="0.40883333300000002"/>
    <n v="12"/>
    <n v="17.00636942675159"/>
    <n v="227.1501873116178"/>
    <n v="80.226714562541446"/>
    <n v="11460.959223220207"/>
    <n v="21.132797245324351"/>
    <x v="276"/>
  </r>
  <r>
    <x v="12"/>
    <x v="29"/>
    <n v="0.40238543599999999"/>
    <n v="0.40883333300000002"/>
    <n v="12"/>
    <n v="22.452229299363058"/>
    <n v="395.92125660535595"/>
    <n v="137.98237948728163"/>
    <n v="19711.76849818309"/>
    <n v="30.158009221469435"/>
    <x v="277"/>
  </r>
  <r>
    <x v="12"/>
    <x v="41"/>
    <n v="0.693333333"/>
    <n v="0.64166666699999997"/>
    <n v="6"/>
    <n v="10.063694267515924"/>
    <n v="79.543509882972543"/>
    <n v="22.740879066864679"/>
    <n v="3248.6970095520969"/>
    <n v="11.11253678851069"/>
    <x v="278"/>
  </r>
  <r>
    <x v="13"/>
    <x v="49"/>
    <n v="0.86"/>
    <n v="0.65666666699999998"/>
    <n v="7"/>
    <n v="42.70700636942675"/>
    <n v="1432.4785941341702"/>
    <n v="454.2487542423458"/>
    <n v="64892.67917747797"/>
    <n v="53.670965629437298"/>
    <x v="279"/>
  </r>
  <r>
    <x v="13"/>
    <x v="49"/>
    <n v="0.86"/>
    <n v="0.65666666699999998"/>
    <n v="7"/>
    <n v="10.031847133757962"/>
    <n v="79.040866529181514"/>
    <n v="26.869214574979377"/>
    <n v="3838.4592249970542"/>
    <n v="11.451329944419651"/>
    <x v="280"/>
  </r>
  <r>
    <x v="13"/>
    <x v="39"/>
    <n v="0.41"/>
    <n v="0.33983503399999998"/>
    <n v="6"/>
    <n v="11.082802547770699"/>
    <n v="96.469287983371089"/>
    <n v="14.762652907610374"/>
    <n v="2108.9504153729108"/>
    <n v="11.565098758570326"/>
    <x v="281"/>
  </r>
  <r>
    <x v="13"/>
    <x v="33"/>
    <n v="0.63206279899999995"/>
    <n v="0.75690909100000003"/>
    <n v="6"/>
    <n v="9.7133757961783438"/>
    <n v="74.102057030759482"/>
    <n v="24.933541561450205"/>
    <n v="3561.934508778601"/>
    <n v="10.967043056513448"/>
    <x v="282"/>
  </r>
  <r>
    <x v="13"/>
    <x v="43"/>
    <n v="0.62643652800000005"/>
    <n v="0.57808694400000005"/>
    <n v="7"/>
    <n v="24.777070063694271"/>
    <n v="482.1584465230448"/>
    <n v="138.58670739076314"/>
    <n v="19798.101055823303"/>
    <n v="24.026328423059766"/>
    <x v="283"/>
  </r>
  <r>
    <x v="13"/>
    <x v="43"/>
    <n v="0.62643652800000005"/>
    <n v="0.57808694400000005"/>
    <n v="7.5"/>
    <n v="37.356687898089163"/>
    <n v="1096.0405184442443"/>
    <n v="330.40242718835867"/>
    <n v="47200.346741194095"/>
    <n v="45.618155931275084"/>
    <x v="284"/>
  </r>
  <r>
    <x v="13"/>
    <x v="43"/>
    <n v="0.62643652800000005"/>
    <n v="0.57808694400000005"/>
    <n v="7"/>
    <n v="38.566878980891715"/>
    <n v="1168.204491037962"/>
    <n v="328.72048635120245"/>
    <n v="46960.069478743208"/>
    <n v="45.427101781005305"/>
    <x v="285"/>
  </r>
  <r>
    <x v="13"/>
    <x v="36"/>
    <n v="0.39984676499999999"/>
    <n v="0.450333333"/>
    <n v="9"/>
    <n v="26.815286624203821"/>
    <n v="564.74808665149556"/>
    <n v="161.95992192190616"/>
    <n v="23137.131703129449"/>
    <n v="31.636077297253436"/>
    <x v="286"/>
  </r>
  <r>
    <x v="13"/>
    <x v="22"/>
    <n v="1082380952"/>
    <n v="0.61247410899999999"/>
    <n v="5"/>
    <n v="5.1273885350318471"/>
    <n v="20.648206614289887"/>
    <n v="4.8766866876081263"/>
    <n v="696.66952680116094"/>
    <n v="9.4457769808105798"/>
    <x v="287"/>
  </r>
  <r>
    <x v="13"/>
    <x v="37"/>
    <n v="0.61"/>
    <n v="0.84088888900000003"/>
    <n v="6"/>
    <n v="3.8853503184713372"/>
    <n v="11.856329124921515"/>
    <n v="4.6195884656285742"/>
    <n v="659.94120937551065"/>
    <n v="9.3027148890421518"/>
    <x v="288"/>
  </r>
  <r>
    <x v="13"/>
    <x v="37"/>
    <n v="0.61"/>
    <n v="0.84088888900000003"/>
    <n v="5"/>
    <n v="12.770700636942674"/>
    <n v="128.09121067028386"/>
    <n v="39.453525586368677"/>
    <n v="5636.2179409098107"/>
    <n v="11.839788908272141"/>
    <x v="289"/>
  </r>
  <r>
    <x v="13"/>
    <x v="37"/>
    <n v="0.61"/>
    <n v="0.84088888900000003"/>
    <n v="8"/>
    <n v="29.617834394904456"/>
    <n v="688.96392502987237"/>
    <n v="322.43918988988503"/>
    <n v="46062.741412840718"/>
    <n v="33.547751198831591"/>
    <x v="290"/>
  </r>
  <r>
    <x v="13"/>
    <x v="9"/>
    <n v="0.43836446099999998"/>
    <n v="0.58666666700000003"/>
    <n v="5"/>
    <n v="10.668789808917197"/>
    <n v="89.396434832324445"/>
    <n v="19.545221574333535"/>
    <n v="2792.1745106190765"/>
    <n v="10.97760382976997"/>
    <x v="291"/>
  </r>
  <r>
    <x v="13"/>
    <x v="9"/>
    <n v="0.43836446099999998"/>
    <n v="0.58666666700000003"/>
    <n v="6.5"/>
    <n v="16.050955414012737"/>
    <n v="202.34461831470463"/>
    <n v="56.041048720505763"/>
    <n v="8005.8641029293949"/>
    <n v="14.846854610734713"/>
    <x v="292"/>
  </r>
  <r>
    <x v="13"/>
    <x v="29"/>
    <n v="0.40238543599999999"/>
    <n v="0.40883333300000002"/>
    <n v="11"/>
    <n v="28.726114649681527"/>
    <n v="648.10244567002451"/>
    <n v="205.04066396263306"/>
    <n v="29291.523423233295"/>
    <n v="40.755502020365931"/>
    <x v="293"/>
  </r>
  <r>
    <x v="13"/>
    <x v="30"/>
    <n v="0.57917600000000002"/>
    <n v="0.60285714300000004"/>
    <n v="8"/>
    <n v="58.121019108280251"/>
    <n v="2653.1165138196538"/>
    <n v="868.75757335503636"/>
    <n v="124108.22476500519"/>
    <n v="103.57118014118218"/>
    <x v="294"/>
  </r>
  <r>
    <x v="14"/>
    <x v="12"/>
    <n v="0.80908761900000004"/>
    <n v="0.87473809499999999"/>
    <n v="12"/>
    <n v="25.668789808917193"/>
    <n v="517.48845924465957"/>
    <n v="376.46816442120826"/>
    <n v="53781.166345886893"/>
    <n v="36.658944350683591"/>
    <x v="295"/>
  </r>
  <r>
    <x v="14"/>
    <x v="12"/>
    <n v="0.80908761900000004"/>
    <n v="0.87473809499999999"/>
    <n v="12"/>
    <n v="26.815286624203821"/>
    <n v="564.74808665149556"/>
    <n v="409.9882945622951"/>
    <n v="58569.756366042151"/>
    <n v="39.186203063004584"/>
    <x v="296"/>
  </r>
  <r>
    <x v="14"/>
    <x v="45"/>
    <n v="0.31264018999999998"/>
    <n v="0.356821212"/>
    <n v="6"/>
    <n v="13.789808917197451"/>
    <n v="149.35039581445918"/>
    <n v="23.719210719032588"/>
    <n v="3388.4586741475127"/>
    <n v="12.979035429429185"/>
    <x v="297"/>
  </r>
  <r>
    <x v="14"/>
    <x v="45"/>
    <n v="0.31264018999999998"/>
    <n v="0.356821212"/>
    <n v="5"/>
    <n v="7.7388535031847132"/>
    <n v="47.037380979406791"/>
    <n v="6.428333645612148"/>
    <n v="918.3333779445926"/>
    <n v="10.033772437015699"/>
    <x v="298"/>
  </r>
  <r>
    <x v="14"/>
    <x v="45"/>
    <n v="0.31264018999999998"/>
    <n v="0.356821212"/>
    <n v="4.5"/>
    <n v="7.388535031847133"/>
    <n v="42.875239103720482"/>
    <n v="5.2986861859257255"/>
    <n v="756.95516941796075"/>
    <n v="9.8454995861901082"/>
    <x v="299"/>
  </r>
  <r>
    <x v="14"/>
    <x v="35"/>
    <n v="0.52500000000000002"/>
    <n v="0.52500000000000002"/>
    <n v="6"/>
    <n v="6.5286624203821653"/>
    <n v="33.476365995352509"/>
    <n v="8.0334672671401179"/>
    <n v="1147.6381810200169"/>
    <n v="9.8807920929855158"/>
    <x v="300"/>
  </r>
  <r>
    <x v="14"/>
    <x v="35"/>
    <n v="0.52500000000000002"/>
    <n v="0.52500000000000002"/>
    <n v="8"/>
    <n v="15.796178343949045"/>
    <n v="195.97196089738594"/>
    <n v="59.687024776492926"/>
    <n v="8526.7178252132744"/>
    <n v="15.972239007667653"/>
    <x v="301"/>
  </r>
  <r>
    <x v="14"/>
    <x v="35"/>
    <n v="0.52500000000000002"/>
    <n v="0.52500000000000002"/>
    <n v="10"/>
    <n v="37.802547770700635"/>
    <n v="1122.359593577771"/>
    <n v="407.57888295186126"/>
    <n v="58225.554707408752"/>
    <n v="59.001841628463623"/>
    <x v="302"/>
  </r>
  <r>
    <x v="14"/>
    <x v="35"/>
    <n v="0.52500000000000002"/>
    <n v="0.52500000000000002"/>
    <n v="6.5"/>
    <n v="8.7261146496815272"/>
    <n v="59.804203532827714"/>
    <n v="15.302993931128864"/>
    <n v="2186.1419901612662"/>
    <n v="10.718000499006044"/>
    <x v="303"/>
  </r>
  <r>
    <x v="14"/>
    <x v="35"/>
    <n v="0.52500000000000002"/>
    <n v="0.52500000000000002"/>
    <n v="5"/>
    <n v="8.7579617834394909"/>
    <n v="60.241527148091237"/>
    <n v="11.930427719329533"/>
    <n v="1704.3468170470762"/>
    <n v="10.327983155503265"/>
    <x v="304"/>
  </r>
  <r>
    <x v="14"/>
    <x v="36"/>
    <n v="0.39984676499999999"/>
    <n v="0.450333333"/>
    <n v="7"/>
    <n v="18.375796178343951"/>
    <n v="265.20530766131395"/>
    <n v="60.602221056554534"/>
    <n v="8657.460150936362"/>
    <n v="17.258612187106984"/>
    <x v="305"/>
  </r>
  <r>
    <x v="14"/>
    <x v="36"/>
    <n v="0.39984676499999999"/>
    <n v="0.450333333"/>
    <n v="7"/>
    <n v="16.273885350318473"/>
    <n v="208.00433468346091"/>
    <n v="47.809142139369754"/>
    <n v="6829.877448481393"/>
    <n v="15.4742639376851"/>
    <x v="306"/>
  </r>
  <r>
    <x v="14"/>
    <x v="9"/>
    <n v="0.43836446099999998"/>
    <n v="0.58666666700000003"/>
    <n v="6"/>
    <n v="11.273885350318473"/>
    <n v="99.824492113589457"/>
    <n v="26.006888664178685"/>
    <n v="3715.2698091683837"/>
    <n v="11.654810308734636"/>
    <x v="307"/>
  </r>
  <r>
    <x v="14"/>
    <x v="9"/>
    <n v="0.43836446099999998"/>
    <n v="0.58666666700000003"/>
    <n v="5.5"/>
    <n v="10.668789808917197"/>
    <n v="89.396434832324445"/>
    <n v="21.450620469969529"/>
    <n v="3064.3743528527898"/>
    <n v="11.176794212746966"/>
    <x v="308"/>
  </r>
  <r>
    <x v="15"/>
    <x v="45"/>
    <n v="0.31264018999999998"/>
    <n v="0.356821212"/>
    <n v="3"/>
    <n v="6.8471337579617835"/>
    <n v="36.822011139444854"/>
    <n v="3.0746129895454435"/>
    <n v="439.23042707792047"/>
    <n v="9.4779740273439081"/>
    <x v="309"/>
  </r>
  <r>
    <x v="15"/>
    <x v="45"/>
    <n v="0.31264018999999998"/>
    <n v="0.356821212"/>
    <n v="4.5"/>
    <n v="8.4713375796178347"/>
    <n v="56.362968527475616"/>
    <n v="6.9199763059612165"/>
    <n v="988.56804370874522"/>
    <n v="10.115976076108565"/>
    <x v="310"/>
  </r>
  <r>
    <x v="15"/>
    <x v="45"/>
    <n v="0.31264018999999998"/>
    <n v="0.356821212"/>
    <n v="4.5"/>
    <n v="11.273885350318471"/>
    <n v="99.824492113589415"/>
    <n v="12.088990052027254"/>
    <n v="1726.9985788610363"/>
    <n v="10.987532731550974"/>
    <x v="311"/>
  </r>
  <r>
    <x v="15"/>
    <x v="45"/>
    <n v="0.31264018999999998"/>
    <n v="0.356821212"/>
    <n v="6"/>
    <n v="14.108280254777069"/>
    <n v="156.32845568642318"/>
    <n v="24.800242831824804"/>
    <n v="3542.8918331178288"/>
    <n v="13.165615006693983"/>
    <x v="312"/>
  </r>
  <r>
    <x v="15"/>
    <x v="45"/>
    <n v="0.31264018999999998"/>
    <n v="0.356821212"/>
    <n v="3"/>
    <n v="7.388535031847133"/>
    <n v="42.875239103720482"/>
    <n v="3.5670001729642231"/>
    <n v="509.57145328060329"/>
    <n v="9.5588997241267393"/>
    <x v="313"/>
  </r>
  <r>
    <x v="15"/>
    <x v="45"/>
    <n v="0.31264018999999998"/>
    <n v="0.356821212"/>
    <n v="5"/>
    <n v="10.286624203821654"/>
    <n v="83.106621961430847"/>
    <n v="11.203617857153048"/>
    <n v="1600.5168367361498"/>
    <n v="10.837456156436366"/>
    <x v="314"/>
  </r>
  <r>
    <x v="15"/>
    <x v="45"/>
    <n v="0.31264018999999998"/>
    <n v="0.356821212"/>
    <n v="5"/>
    <n v="5.8917197452229297"/>
    <n v="27.263025013466741"/>
    <n v="3.774975847709316"/>
    <n v="539.28226395847366"/>
    <n v="9.5931663272343695"/>
    <x v="315"/>
  </r>
  <r>
    <x v="15"/>
    <x v="35"/>
    <n v="0.52500000000000002"/>
    <n v="0.52500000000000002"/>
    <n v="7"/>
    <n v="11.942675159235668"/>
    <n v="112.01936866380598"/>
    <n v="30.353487214092148"/>
    <n v="4336.2124591560214"/>
    <n v="12.480073503996104"/>
    <x v="316"/>
  </r>
  <r>
    <x v="15"/>
    <x v="35"/>
    <n v="0.52500000000000002"/>
    <n v="0.52500000000000002"/>
    <n v="8"/>
    <n v="17.070063694267514"/>
    <n v="228.85487317075058"/>
    <n v="69.443142886670458"/>
    <n v="9920.4489838100653"/>
    <n v="17.144538086737796"/>
    <x v="317"/>
  </r>
  <r>
    <x v="15"/>
    <x v="35"/>
    <n v="0.52500000000000002"/>
    <n v="0.52500000000000002"/>
    <n v="8"/>
    <n v="28.025477707006367"/>
    <n v="616.87323799645401"/>
    <n v="182.78050573909977"/>
    <n v="26111.500819871395"/>
    <n v="30.9776672197655"/>
    <x v="318"/>
  </r>
  <r>
    <x v="15"/>
    <x v="35"/>
    <n v="0.52500000000000002"/>
    <n v="0.52500000000000002"/>
    <n v="8"/>
    <n v="10.891719745222931"/>
    <n v="93.171437769908678"/>
    <n v="28.888078637675598"/>
    <n v="4126.8683768107994"/>
    <n v="12.307327652237413"/>
    <x v="319"/>
  </r>
  <r>
    <x v="15"/>
    <x v="36"/>
    <n v="0.39984676499999999"/>
    <n v="0.450333333"/>
    <n v="8"/>
    <n v="14.490445859872612"/>
    <n v="164.91242522755155"/>
    <n v="43.422191715493206"/>
    <n v="6203.1702450704588"/>
    <n v="14.86494459410118"/>
    <x v="320"/>
  </r>
  <r>
    <x v="15"/>
    <x v="36"/>
    <n v="0.39984676499999999"/>
    <n v="0.450333333"/>
    <n v="11"/>
    <n v="15.987261146496815"/>
    <n v="200.74189497424902"/>
    <n v="71.784484090948396"/>
    <n v="10254.926298706912"/>
    <n v="18.826011980202036"/>
    <x v="321"/>
  </r>
  <r>
    <x v="15"/>
    <x v="50"/>
    <n v="0.43538739399999998"/>
    <n v="0.568333333"/>
    <n v="6.5"/>
    <n v="10.095541401273884"/>
    <n v="80.047746401117848"/>
    <n v="21.977189877389751"/>
    <n v="3139.5985539128219"/>
    <n v="11.304379003204996"/>
    <x v="322"/>
  </r>
  <r>
    <x v="15"/>
    <x v="17"/>
    <n v="0.65716857299999998"/>
    <n v="0.85527777800000004"/>
    <n v="6"/>
    <n v="6.2101910828025479"/>
    <n v="30.290037286693146"/>
    <n v="11.731895574380706"/>
    <n v="1675.9850820543866"/>
    <n v="9.7955959389833254"/>
    <x v="323"/>
  </r>
  <r>
    <x v="15"/>
    <x v="17"/>
    <n v="0.65716857299999998"/>
    <n v="0.85527777800000004"/>
    <n v="6"/>
    <n v="5.7961783439490437"/>
    <n v="26.385988036408239"/>
    <n v="10.253685121407155"/>
    <n v="1464.8121602010222"/>
    <n v="9.6912093512921409"/>
    <x v="324"/>
  </r>
  <r>
    <x v="15"/>
    <x v="17"/>
    <n v="0.65716857299999998"/>
    <n v="0.85527777800000004"/>
    <n v="8"/>
    <n v="12.611464968152864"/>
    <n v="124.91683069428193"/>
    <n v="61.924404256079256"/>
    <n v="8846.3434651541793"/>
    <n v="13.439073362002514"/>
    <x v="325"/>
  </r>
  <r>
    <x v="15"/>
    <x v="9"/>
    <n v="0.43836446099999998"/>
    <n v="0.58666666700000003"/>
    <n v="6.5"/>
    <n v="18.598726114649679"/>
    <n v="271.6791310151325"/>
    <n v="74.71361054483674"/>
    <n v="10673.372934976678"/>
    <n v="16.855211947746355"/>
    <x v="326"/>
  </r>
  <r>
    <x v="15"/>
    <x v="9"/>
    <n v="0.43836446099999998"/>
    <n v="0.58666666700000003"/>
    <n v="7.5"/>
    <n v="29.840764331210195"/>
    <n v="699.37445750323991"/>
    <n v="216.19910167376128"/>
    <n v="30885.585953394468"/>
    <n v="32.360569416609202"/>
    <x v="327"/>
  </r>
  <r>
    <x v="15"/>
    <x v="29"/>
    <n v="0.40238543599999999"/>
    <n v="0.40883333300000002"/>
    <n v="11"/>
    <n v="20.828025477707008"/>
    <n v="340.71094248823789"/>
    <n v="109.46734954735675"/>
    <n v="15638.192792479535"/>
    <n v="25.687255844050469"/>
    <x v="328"/>
  </r>
  <r>
    <x v="15"/>
    <x v="29"/>
    <n v="0.40238543599999999"/>
    <n v="0.40883333300000002"/>
    <n v="12"/>
    <n v="21.082802547770701"/>
    <n v="349.09735964942934"/>
    <n v="122.03187074470571"/>
    <n v="17433.124392100817"/>
    <n v="27.654051657268042"/>
    <x v="329"/>
  </r>
  <r>
    <x v="16"/>
    <x v="12"/>
    <n v="0.80908761900000004"/>
    <n v="0.87473809499999999"/>
    <n v="14"/>
    <n v="30.668789808917197"/>
    <n v="738.72561705518297"/>
    <n v="619.35669148292709"/>
    <n v="88479.527354703867"/>
    <n v="55.073858748833622"/>
    <x v="330"/>
  </r>
  <r>
    <x v="16"/>
    <x v="12"/>
    <n v="0.80908761900000004"/>
    <n v="0.87473809499999999"/>
    <n v="11"/>
    <n v="75.859872611464965"/>
    <n v="4519.7467329878527"/>
    <n v="2867.2854402598559"/>
    <n v="409612.20575140795"/>
    <n v="230.54243049616616"/>
    <x v="331"/>
  </r>
  <r>
    <x v="16"/>
    <x v="45"/>
    <n v="0.31264018999999998"/>
    <n v="0.356821212"/>
    <n v="5"/>
    <n v="9.968152866242038"/>
    <n v="78.040359314662467"/>
    <n v="10.536527631470989"/>
    <n v="1505.218233067284"/>
    <n v="10.724571252383463"/>
    <x v="332"/>
  </r>
  <r>
    <x v="16"/>
    <x v="35"/>
    <n v="0.52500000000000002"/>
    <n v="0.52500000000000002"/>
    <n v="7"/>
    <n v="16.719745222929937"/>
    <n v="219.55796258105977"/>
    <n v="58.539703524684612"/>
    <n v="8362.8147892406596"/>
    <n v="15.834672067832365"/>
    <x v="333"/>
  </r>
  <r>
    <x v="16"/>
    <x v="35"/>
    <n v="0.52500000000000002"/>
    <n v="0.52500000000000002"/>
    <n v="6.5"/>
    <n v="8.6942675159235669"/>
    <n v="59.368473081918566"/>
    <n v="15.194163465206746"/>
    <n v="2170.594780743821"/>
    <n v="10.705379043774595"/>
    <x v="334"/>
  </r>
  <r>
    <x v="16"/>
    <x v="35"/>
    <n v="0.52500000000000002"/>
    <n v="0.52500000000000002"/>
    <n v="9"/>
    <n v="46.43312101910827"/>
    <n v="1693.3457152586438"/>
    <n v="549.38809894685733"/>
    <n v="78484.014135265345"/>
    <n v="76.900793918617353"/>
    <x v="335"/>
  </r>
  <r>
    <x v="16"/>
    <x v="36"/>
    <n v="0.39984676499999999"/>
    <n v="0.450333333"/>
    <n v="12"/>
    <n v="41.019108280254777"/>
    <n v="1321.4852233145527"/>
    <n v="491.69334212418971"/>
    <n v="70241.906017741392"/>
    <n v="79.653524252505164"/>
    <x v="336"/>
  </r>
  <r>
    <x v="16"/>
    <x v="36"/>
    <n v="0.39984676499999999"/>
    <n v="0.450333333"/>
    <n v="12"/>
    <n v="23.98089171974522"/>
    <n v="451.66926369206016"/>
    <n v="172.44172419818179"/>
    <n v="24634.532028311685"/>
    <n v="33.139193042314083"/>
    <x v="337"/>
  </r>
  <r>
    <x v="16"/>
    <x v="36"/>
    <n v="0.39984676499999999"/>
    <n v="0.450333333"/>
    <n v="13"/>
    <n v="41.401273885350314"/>
    <n v="1346.2238794085838"/>
    <n v="541.35705694347928"/>
    <n v="77336.722420497026"/>
    <n v="86.975679309505438"/>
    <x v="338"/>
  </r>
  <r>
    <x v="16"/>
    <x v="36"/>
    <n v="0.39984676499999999"/>
    <n v="0.450333333"/>
    <n v="12"/>
    <n v="38.471337579617831"/>
    <n v="1162.4236941782769"/>
    <n v="433.84362356922162"/>
    <n v="61977.660509888803"/>
    <n v="71.147540236926446"/>
    <x v="339"/>
  </r>
  <r>
    <x v="16"/>
    <x v="36"/>
    <n v="0.39984676499999999"/>
    <n v="0.450333333"/>
    <n v="12"/>
    <n v="18.885350318471335"/>
    <n v="280.11732601783973"/>
    <n v="108.17859198084813"/>
    <n v="15454.08456869259"/>
    <n v="23.965271179358183"/>
    <x v="340"/>
  </r>
  <r>
    <x v="16"/>
    <x v="36"/>
    <n v="0.39984676499999999"/>
    <n v="0.450333333"/>
    <n v="10"/>
    <n v="19.554140127388536"/>
    <n v="300.308294462437"/>
    <n v="96.908601749874705"/>
    <n v="13844.085964267815"/>
    <n v="22.368453864254128"/>
    <x v="341"/>
  </r>
  <r>
    <x v="16"/>
    <x v="51"/>
    <n v="0.54"/>
    <n v="0.61247410899999999"/>
    <n v="6"/>
    <n v="7.1019108280254777"/>
    <n v="39.613235088230461"/>
    <n v="11.004561280164936"/>
    <n v="1572.080182880705"/>
    <n v="10.044879885593735"/>
    <x v="342"/>
  </r>
  <r>
    <x v="16"/>
    <x v="9"/>
    <n v="0.43836446099999998"/>
    <n v="0.58666666700000003"/>
    <n v="6"/>
    <n v="17.261146496815286"/>
    <n v="234.00716669265282"/>
    <n v="59.731117270844578"/>
    <n v="8533.0167529777973"/>
    <n v="15.242590746074891"/>
    <x v="343"/>
  </r>
  <r>
    <x v="16"/>
    <x v="29"/>
    <n v="0.40238543599999999"/>
    <n v="0.40883333300000002"/>
    <n v="11"/>
    <n v="15.445859872611464"/>
    <n v="187.37604262360011"/>
    <n v="61.072361315582846"/>
    <n v="8724.6230450832627"/>
    <n v="18.170821607367436"/>
    <x v="344"/>
  </r>
  <r>
    <x v="16"/>
    <x v="29"/>
    <n v="0.40238543599999999"/>
    <n v="0.40883333300000002"/>
    <n v="8"/>
    <n v="15.19108280254777"/>
    <n v="181.24554618813946"/>
    <n v="43.327265529516296"/>
    <n v="6189.6093613594712"/>
    <n v="15.447231907988153"/>
    <x v="345"/>
  </r>
  <r>
    <x v="16"/>
    <x v="29"/>
    <n v="0.40238543599999999"/>
    <n v="0.40883333300000002"/>
    <n v="8"/>
    <n v="16.433121019108281"/>
    <n v="212.09478416320235"/>
    <n v="50.51095996515626"/>
    <n v="7215.8514235937519"/>
    <n v="16.547029060002433"/>
    <x v="346"/>
  </r>
  <r>
    <x v="16"/>
    <x v="41"/>
    <n v="0.693333333"/>
    <n v="0.64166666699999997"/>
    <n v="5"/>
    <n v="5.8280254777070066"/>
    <n v="26.676740531073417"/>
    <n v="6.5530230325623595"/>
    <n v="936.14614750890848"/>
    <n v="9.5801029169540346"/>
    <x v="347"/>
  </r>
  <r>
    <x v="16"/>
    <x v="41"/>
    <n v="0.693333333"/>
    <n v="0.64166666699999997"/>
    <n v="7"/>
    <n v="17.00636942675159"/>
    <n v="227.1501873116178"/>
    <n v="73.606923095541589"/>
    <n v="10515.274727934511"/>
    <n v="16.071506726439203"/>
    <x v="348"/>
  </r>
  <r>
    <x v="17"/>
    <x v="45"/>
    <n v="0.31264018999999998"/>
    <n v="0.356821212"/>
    <n v="2.7"/>
    <n v="2.3885350320000001"/>
    <n v="4.4807747471257793"/>
    <n v="0.35508380030736086"/>
    <n v="59.180633384560146"/>
    <n v="9.0396131912114122"/>
    <x v="349"/>
  </r>
  <r>
    <x v="17"/>
    <x v="2"/>
    <n v="0.47982689899999997"/>
    <n v="0.51"/>
    <n v="6"/>
    <n v="8.6624203820000005"/>
    <n v="58.93433579311035"/>
    <n v="13.562851419139609"/>
    <n v="2260.475236523268"/>
    <n v="10.561488064364269"/>
    <x v="350"/>
  </r>
  <r>
    <x v="17"/>
    <x v="2"/>
    <n v="0.47982689899999997"/>
    <n v="0.51"/>
    <n v="6"/>
    <n v="7.1019108280000003"/>
    <n v="39.613235087946244"/>
    <n v="9.2037242006687592"/>
    <n v="1533.9540334447931"/>
    <n v="10.044879885586136"/>
    <x v="351"/>
  </r>
  <r>
    <x v="17"/>
    <x v="43"/>
    <n v="0.62643652800000005"/>
    <n v="0.57808694400000005"/>
    <n v="6"/>
    <n v="43.184713379999998"/>
    <n v="1464.7043263965377"/>
    <n v="352.66328677133208"/>
    <n v="58777.214461888681"/>
    <n v="48.149008863967772"/>
    <x v="352"/>
  </r>
  <r>
    <x v="17"/>
    <x v="43"/>
    <n v="0.62643652800000005"/>
    <n v="0.57808694400000005"/>
    <n v="7"/>
    <n v="35.414012739999997"/>
    <n v="985.00891174390063"/>
    <n v="278.30816517745774"/>
    <n v="46384.694196242956"/>
    <n v="39.712431309547611"/>
    <x v="353"/>
  </r>
  <r>
    <x v="17"/>
    <x v="43"/>
    <n v="0.62643652800000005"/>
    <n v="0.57808694400000005"/>
    <n v="6"/>
    <n v="27.866242039999999"/>
    <n v="609.88322946989774"/>
    <n v="149.96470455962128"/>
    <n v="24994.117426603549"/>
    <n v="25.292776354069133"/>
    <x v="354"/>
  </r>
  <r>
    <x v="17"/>
    <x v="43"/>
    <n v="0.62643652800000005"/>
    <n v="0.57808694400000005"/>
    <n v="6"/>
    <n v="38.270700640000001"/>
    <n v="1150.3306927064905"/>
    <n v="278.58084295980143"/>
    <n v="46430.140493300241"/>
    <n v="39.743277077006425"/>
    <x v="355"/>
  </r>
  <r>
    <x v="17"/>
    <x v="36"/>
    <n v="0.39984676499999999"/>
    <n v="0.450333333"/>
    <n v="11"/>
    <n v="38.72611465"/>
    <n v="1177.8710157772305"/>
    <n v="403.68932561045892"/>
    <n v="67281.554268409818"/>
    <n v="66.724610301570365"/>
    <x v="356"/>
  </r>
  <r>
    <x v="17"/>
    <x v="29"/>
    <n v="0.40238543599999999"/>
    <n v="0.40883333300000002"/>
    <n v="6"/>
    <n v="15.95541401"/>
    <n v="199.94292298190959"/>
    <n v="36.011104232459161"/>
    <n v="6001.85070540986"/>
    <n v="14.33177996084059"/>
    <x v="357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x v="358"/>
  </r>
  <r>
    <x v="17"/>
    <x v="29"/>
    <n v="0.40238543599999999"/>
    <n v="0.40883333300000002"/>
    <n v="7"/>
    <n v="12.61146497"/>
    <n v="124.91683073087377"/>
    <n v="26.448087170142614"/>
    <n v="4408.0145283571028"/>
    <n v="12.882401692893659"/>
    <x v="359"/>
  </r>
  <r>
    <x v="17"/>
    <x v="29"/>
    <n v="0.40238543599999999"/>
    <n v="0.40883333300000002"/>
    <n v="7"/>
    <n v="11.33757962"/>
    <n v="100.95563884373082"/>
    <n v="21.484421332831829"/>
    <n v="3580.7368888053047"/>
    <n v="12.134947435176063"/>
    <x v="360"/>
  </r>
  <r>
    <x v="17"/>
    <x v="29"/>
    <n v="0.40238543599999999"/>
    <n v="0.40883333300000002"/>
    <n v="7"/>
    <n v="13.853503180000001"/>
    <n v="150.73326237144946"/>
    <n v="31.770517857283473"/>
    <n v="5295.0863095472459"/>
    <n v="13.687728983777617"/>
    <x v="361"/>
  </r>
  <r>
    <x v="17"/>
    <x v="29"/>
    <n v="0.40238543599999999"/>
    <n v="0.40883333300000002"/>
    <n v="7"/>
    <n v="14.10828025"/>
    <n v="156.32845558055743"/>
    <n v="32.921024189513865"/>
    <n v="5486.837364918978"/>
    <n v="13.862267504507232"/>
    <x v="362"/>
  </r>
  <r>
    <x v="17"/>
    <x v="29"/>
    <n v="0.40238543599999999"/>
    <n v="0.40883333300000002"/>
    <n v="8"/>
    <n v="12.229299360000001"/>
    <n v="117.46082145728865"/>
    <n v="28.373176167205518"/>
    <n v="4728.862694534253"/>
    <n v="13.1732613594219"/>
    <x v="363"/>
  </r>
  <r>
    <x v="17"/>
    <x v="29"/>
    <n v="0.40238543599999999"/>
    <n v="0.40883333300000002"/>
    <n v="8"/>
    <n v="13.15286624"/>
    <n v="135.87222533471953"/>
    <n v="32.706035629090614"/>
    <n v="5451.0059381817691"/>
    <n v="13.829640929165288"/>
    <x v="364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x v="358"/>
  </r>
  <r>
    <x v="17"/>
    <x v="52"/>
    <n v="0.46679999999999999"/>
    <n v="0.81159999999999999"/>
    <n v="8"/>
    <n v="17.006369429999999"/>
    <n v="227.15018739839431"/>
    <n v="105.4635975523872"/>
    <n v="17577.266258731201"/>
    <n v="17.083764833309878"/>
    <x v="365"/>
  </r>
  <r>
    <x v="17"/>
    <x v="52"/>
    <n v="0.46679999999999999"/>
    <n v="0.81159999999999999"/>
    <n v="5"/>
    <n v="14.58598726"/>
    <n v="167.09426378453796"/>
    <n v="49.400387759586074"/>
    <n v="8233.3979599310132"/>
    <n v="12.70884292610544"/>
    <x v="366"/>
  </r>
  <r>
    <x v="17"/>
    <x v="52"/>
    <n v="0.46679999999999999"/>
    <n v="0.81159999999999999"/>
    <n v="6"/>
    <n v="4.9681528659999996"/>
    <n v="19.385623861594752"/>
    <n v="7.2107602660856314"/>
    <n v="1201.7933776809384"/>
    <n v="9.5040334008988232"/>
    <x v="367"/>
  </r>
  <r>
    <x v="18"/>
    <x v="2"/>
    <n v="0.47982689899999997"/>
    <n v="0.51"/>
    <n v="8"/>
    <n v="10.350318471337578"/>
    <n v="84.138992463036487"/>
    <n v="25.421959996716282"/>
    <n v="4236.9933327860472"/>
    <n v="11.985314588827132"/>
    <x v="368"/>
  </r>
  <r>
    <x v="18"/>
    <x v="2"/>
    <n v="0.47982689899999997"/>
    <n v="0.51"/>
    <n v="8"/>
    <n v="6.5605095541401273"/>
    <n v="33.803761270167257"/>
    <n v="10.439543890715761"/>
    <n v="1739.92398178596"/>
    <n v="10.190827997078989"/>
    <x v="369"/>
  </r>
  <r>
    <x v="18"/>
    <x v="2"/>
    <n v="0.47982689899999997"/>
    <n v="0.51"/>
    <n v="9"/>
    <n v="10.414012738853504"/>
    <n v="85.177735622059473"/>
    <n v="28.86255579431289"/>
    <n v="4810.425965718815"/>
    <n v="12.401927331737596"/>
    <x v="370"/>
  </r>
  <r>
    <x v="18"/>
    <x v="43"/>
    <n v="0.62643652800000005"/>
    <n v="0.57808694400000005"/>
    <n v="5"/>
    <n v="27.802547770700635"/>
    <n v="607.09837810046429"/>
    <n v="124.95920233962403"/>
    <n v="20826.53372327067"/>
    <n v="22.512879094486589"/>
    <x v="371"/>
  </r>
  <r>
    <x v="18"/>
    <x v="43"/>
    <n v="0.62643652800000005"/>
    <n v="0.57808694400000005"/>
    <n v="7"/>
    <n v="61.942675159235669"/>
    <n v="3013.4902907690289"/>
    <n v="828.8968202676333"/>
    <n v="138149.47004460555"/>
    <n v="102.9896276441235"/>
    <x v="372"/>
  </r>
  <r>
    <x v="18"/>
    <x v="43"/>
    <n v="0.62643652800000005"/>
    <n v="0.57808694400000005"/>
    <n v="7"/>
    <n v="59.203821656050955"/>
    <n v="2752.8932110026135"/>
    <n v="758.86194083768464"/>
    <n v="126476.99013961411"/>
    <n v="94.860466217696441"/>
    <x v="373"/>
  </r>
  <r>
    <x v="18"/>
    <x v="43"/>
    <n v="0.62643652800000005"/>
    <n v="0.57808694400000005"/>
    <n v="7"/>
    <n v="64.363057324840767"/>
    <n v="3253.5929042813473"/>
    <n v="893.29488529400498"/>
    <n v="148882.48088233417"/>
    <n v="110.47947713091808"/>
    <x v="374"/>
  </r>
  <r>
    <x v="18"/>
    <x v="43"/>
    <n v="0.62643652800000005"/>
    <n v="0.57808694400000005"/>
    <n v="7"/>
    <n v="34.617834394904456"/>
    <n v="941.21680649048585"/>
    <n v="266.22539093782513"/>
    <n v="44370.898489637526"/>
    <n v="38.346364225729239"/>
    <x v="375"/>
  </r>
  <r>
    <x v="18"/>
    <x v="43"/>
    <n v="0.62643652800000005"/>
    <n v="0.57808694400000005"/>
    <n v="7"/>
    <n v="58.535031847133759"/>
    <n v="2691.0489605140669"/>
    <n v="742.21859928524566"/>
    <n v="123703.09988087427"/>
    <n v="92.931273856951591"/>
    <x v="376"/>
  </r>
  <r>
    <x v="19"/>
    <x v="45"/>
    <n v="0.31264018999999998"/>
    <n v="0.356821212"/>
    <n v="5"/>
    <n v="9.7133757961783438"/>
    <n v="74.102057030759482"/>
    <n v="10.017243941741139"/>
    <n v="1669.5406569568565"/>
    <n v="10.636819213761207"/>
    <x v="377"/>
  </r>
  <r>
    <x v="19"/>
    <x v="53"/>
    <n v="0.6"/>
    <n v="0.66674999999999995"/>
    <n v="8"/>
    <n v="10.031847133757962"/>
    <n v="79.040866529181514"/>
    <n v="31.068074024936699"/>
    <n v="5178.0123374894501"/>
    <n v="11.80356279362246"/>
    <x v="378"/>
  </r>
  <r>
    <x v="19"/>
    <x v="2"/>
    <n v="0.47982689899999997"/>
    <n v="0.51"/>
    <n v="5"/>
    <n v="4.0127388535031843"/>
    <n v="12.64653864466904"/>
    <n v="2.5276382067380969"/>
    <n v="421.27303445634948"/>
    <n v="9.2674862793622452"/>
    <x v="379"/>
  </r>
  <r>
    <x v="19"/>
    <x v="2"/>
    <n v="0.47982689899999997"/>
    <n v="0.51"/>
    <n v="4"/>
    <n v="2.6751592356687897"/>
    <n v="5.6206838420751293"/>
    <n v="0.92129900257995967"/>
    <n v="153.5498337633266"/>
    <n v="9.0858906771065762"/>
    <x v="380"/>
  </r>
  <r>
    <x v="19"/>
    <x v="43"/>
    <n v="0.62643652800000005"/>
    <n v="0.57808694400000005"/>
    <n v="6"/>
    <n v="41.910828025477706"/>
    <n v="1379.5656230159957"/>
    <n v="332.64180805887514"/>
    <n v="55440.30134314586"/>
    <n v="45.872567621404521"/>
    <x v="381"/>
  </r>
  <r>
    <x v="19"/>
    <x v="43"/>
    <n v="0.62643652800000005"/>
    <n v="0.57808694400000005"/>
    <n v="6"/>
    <n v="45.859872611464965"/>
    <n v="1651.7928025690176"/>
    <n v="396.56366651622477"/>
    <n v="66093.944419370804"/>
    <n v="53.151386234735689"/>
    <x v="382"/>
  </r>
  <r>
    <x v="19"/>
    <x v="43"/>
    <n v="0.62643652800000005"/>
    <n v="0.57808694400000005"/>
    <n v="6"/>
    <n v="58.152866242038222"/>
    <n v="2656.0248353484835"/>
    <n v="630.43286613538851"/>
    <n v="105072.14435589808"/>
    <n v="80.002572895452161"/>
    <x v="383"/>
  </r>
  <r>
    <x v="19"/>
    <x v="43"/>
    <n v="0.62643652800000005"/>
    <n v="0.57808694400000005"/>
    <n v="7"/>
    <n v="52.133757961783431"/>
    <n v="2134.6562243188523"/>
    <n v="592.04187531820583"/>
    <n v="98673.645886367638"/>
    <n v="75.57495362083651"/>
    <x v="384"/>
  </r>
  <r>
    <x v="19"/>
    <x v="43"/>
    <n v="0.62643652800000005"/>
    <n v="0.57808694400000005"/>
    <n v="7"/>
    <n v="68.184713375796179"/>
    <n v="3651.4379068445564"/>
    <n v="999.75397130367901"/>
    <n v="166625.66188394651"/>
    <n v="122.8900008844172"/>
    <x v="385"/>
  </r>
  <r>
    <x v="19"/>
    <x v="43"/>
    <n v="0.62643652800000005"/>
    <n v="0.57808694400000005"/>
    <n v="6"/>
    <n v="48.089171974522294"/>
    <n v="1816.2870221535579"/>
    <n v="435.06318793683613"/>
    <n v="72510.531322806026"/>
    <n v="57.549637685098794"/>
    <x v="386"/>
  </r>
  <r>
    <x v="19"/>
    <x v="43"/>
    <n v="0.62643652800000005"/>
    <n v="0.57808694400000005"/>
    <n v="6"/>
    <n v="52.738853503184707"/>
    <n v="2184.4959813975256"/>
    <n v="520.94887638091745"/>
    <n v="86824.812730152902"/>
    <n v="67.394820045437939"/>
    <x v="387"/>
  </r>
  <r>
    <x v="19"/>
    <x v="43"/>
    <n v="0.62643652800000005"/>
    <n v="0.57808694400000005"/>
    <n v="6.5"/>
    <n v="38.726114649681527"/>
    <n v="1177.8710157578575"/>
    <n v="308.25312686477821"/>
    <n v="51375.521144129707"/>
    <n v="43.104146995821331"/>
    <x v="388"/>
  </r>
  <r>
    <x v="19"/>
    <x v="43"/>
    <n v="0.62643652800000005"/>
    <n v="0.57808694400000005"/>
    <n v="5"/>
    <n v="45.859872611464965"/>
    <n v="1651.7928025690176"/>
    <n v="331.91893255315193"/>
    <n v="55319.822092191986"/>
    <n v="45.790438528946403"/>
    <x v="389"/>
  </r>
  <r>
    <x v="19"/>
    <x v="36"/>
    <n v="0.39984676499999999"/>
    <n v="0.450333333"/>
    <n v="10"/>
    <n v="15.35031847133758"/>
    <n v="185.06515772764493"/>
    <n v="60.417880457086518"/>
    <n v="10069.646742847754"/>
    <n v="17.232829701002068"/>
    <x v="390"/>
  </r>
  <r>
    <x v="19"/>
    <x v="36"/>
    <n v="0.39984676499999999"/>
    <n v="0.450333333"/>
    <n v="10"/>
    <n v="50.222929936305725"/>
    <n v="1981.0433172743847"/>
    <n v="610.97738067478883"/>
    <n v="101829.56344579814"/>
    <n v="97.267694198547574"/>
    <x v="391"/>
  </r>
  <r>
    <x v="19"/>
    <x v="36"/>
    <n v="0.39984676499999999"/>
    <n v="0.450333333"/>
    <n v="12"/>
    <n v="24.044585987261147"/>
    <n v="454.07175553838948"/>
    <n v="173.33689495737727"/>
    <n v="28889.482492896208"/>
    <n v="33.267668842549398"/>
    <x v="392"/>
  </r>
  <r>
    <x v="19"/>
    <x v="50"/>
    <n v="0.43538739399999998"/>
    <n v="0.568333333"/>
    <n v="5"/>
    <n v="14.840764331210188"/>
    <n v="172.98259926440852"/>
    <n v="36.089850088210476"/>
    <n v="6014.9750147017467"/>
    <n v="12.84004500385411"/>
    <x v="393"/>
  </r>
  <r>
    <x v="19"/>
    <x v="9"/>
    <n v="0.43836446099999998"/>
    <n v="0.58666666700000003"/>
    <n v="7"/>
    <n v="10.085987261146498"/>
    <n v="79.896308163417089"/>
    <n v="24.324230901202633"/>
    <n v="4054.0384835337718"/>
    <n v="11.47801490628423"/>
    <x v="394"/>
  </r>
  <r>
    <x v="19"/>
    <x v="9"/>
    <n v="0.43836446099999998"/>
    <n v="0.58666666700000003"/>
    <n v="4"/>
    <n v="5.6050955414012744"/>
    <n v="24.674929519858171"/>
    <n v="4.4751715666800909"/>
    <n v="745.86192778001521"/>
    <n v="9.4255393443953093"/>
    <x v="395"/>
  </r>
  <r>
    <x v="19"/>
    <x v="29"/>
    <n v="0.40238543599999999"/>
    <n v="0.40883333300000002"/>
    <n v="9"/>
    <n v="10.031847133757962"/>
    <n v="79.040866529181514"/>
    <n v="21.62322501710204"/>
    <n v="3603.870836183673"/>
    <n v="12.155795642825266"/>
    <x v="396"/>
  </r>
  <r>
    <x v="19"/>
    <x v="29"/>
    <n v="0.40238543599999999"/>
    <n v="0.40883333300000002"/>
    <n v="8"/>
    <n v="4.9044585987261149"/>
    <n v="18.891742913641409"/>
    <n v="4.767973707772156"/>
    <n v="794.66228462869265"/>
    <n v="9.6592039961053189"/>
    <x v="397"/>
  </r>
  <r>
    <x v="19"/>
    <x v="29"/>
    <n v="0.40238543599999999"/>
    <n v="0.40883333300000002"/>
    <n v="8.5"/>
    <n v="10.859872611464969"/>
    <n v="92.627372142905088"/>
    <n v="23.874099349573637"/>
    <n v="3979.0165582622726"/>
    <n v="12.494320785833096"/>
    <x v="398"/>
  </r>
  <r>
    <x v="19"/>
    <x v="29"/>
    <n v="0.40238543599999999"/>
    <n v="0.40883333300000002"/>
    <n v="8"/>
    <n v="16.305732484076433"/>
    <n v="208.81923825070052"/>
    <n v="49.749459717905232"/>
    <n v="8291.5766196508721"/>
    <n v="16.430253531583432"/>
    <x v="399"/>
  </r>
  <r>
    <x v="19"/>
    <x v="29"/>
    <n v="0.40238543599999999"/>
    <n v="0.40883333300000002"/>
    <n v="8"/>
    <n v="11.146496815286623"/>
    <n v="97.581316702693215"/>
    <n v="23.6763214334803"/>
    <n v="3946.0535722467171"/>
    <n v="12.464542955089454"/>
    <x v="400"/>
  </r>
  <r>
    <x v="20"/>
    <x v="45"/>
    <n v="0.31264018999999998"/>
    <n v="0.356821212"/>
    <n v="6"/>
    <n v="12.898089171974522"/>
    <n v="130.65939160946331"/>
    <n v="20.817475632398985"/>
    <n v="3469.5792720664977"/>
    <n v="12.479274790052335"/>
    <x v="401"/>
  </r>
  <r>
    <x v="20"/>
    <x v="45"/>
    <n v="0.31264018999999998"/>
    <n v="0.356821212"/>
    <n v="4.5"/>
    <n v="5.8917197452229297"/>
    <n v="27.263025013466741"/>
    <n v="3.4060801754594729"/>
    <n v="567.68002924324549"/>
    <n v="9.5324196945109332"/>
    <x v="402"/>
  </r>
  <r>
    <x v="20"/>
    <x v="45"/>
    <n v="0.31264018999999998"/>
    <n v="0.356821212"/>
    <n v="6"/>
    <n v="13.821656050955413"/>
    <n v="150.04103256206108"/>
    <n v="23.826256435556235"/>
    <n v="3971.0427392593724"/>
    <n v="12.997501695809159"/>
    <x v="403"/>
  </r>
  <r>
    <x v="20"/>
    <x v="53"/>
    <n v="0.6"/>
    <n v="0.66674999999999995"/>
    <n v="6"/>
    <n v="9.7770700636942678"/>
    <n v="75.077073615609251"/>
    <n v="22.313414458151563"/>
    <n v="3718.902409691927"/>
    <n v="10.993113079638119"/>
    <x v="404"/>
  </r>
  <r>
    <x v="20"/>
    <x v="53"/>
    <n v="0.6"/>
    <n v="0.66674999999999995"/>
    <n v="5"/>
    <n v="23.662420382165603"/>
    <n v="439.75239432167416"/>
    <n v="104.84825133036051"/>
    <n v="17474.708555060086"/>
    <n v="18.784127420990707"/>
    <x v="405"/>
  </r>
  <r>
    <x v="20"/>
    <x v="54"/>
    <n v="0.59"/>
    <n v="0.59"/>
    <n v="6"/>
    <n v="12.738853503184712"/>
    <n v="127.4531483463748"/>
    <n v="33.193777456567091"/>
    <n v="5532.2962427611819"/>
    <n v="12.393546160087629"/>
    <x v="406"/>
  </r>
  <r>
    <x v="20"/>
    <x v="2"/>
    <n v="0.47982689899999997"/>
    <n v="0.51"/>
    <n v="6"/>
    <n v="11.337579617834395"/>
    <n v="100.9556388051635"/>
    <n v="22.935219426047357"/>
    <n v="3822.5365710078931"/>
    <n v="11.685054943405412"/>
    <x v="407"/>
  </r>
  <r>
    <x v="20"/>
    <x v="2"/>
    <n v="0.47982689899999997"/>
    <n v="0.51"/>
    <n v="8"/>
    <n v="15.254777070063692"/>
    <n v="182.76861131087861"/>
    <n v="54.203537700377417"/>
    <n v="9033.9229500629026"/>
    <n v="15.501530256805548"/>
    <x v="408"/>
  </r>
  <r>
    <x v="20"/>
    <x v="35"/>
    <n v="0.52500000000000002"/>
    <n v="0.52500000000000002"/>
    <n v="8"/>
    <n v="18.089171974522291"/>
    <n v="256.99652832563015"/>
    <n v="77.765621984808689"/>
    <n v="12960.936997468116"/>
    <n v="18.147807996267595"/>
    <x v="409"/>
  </r>
  <r>
    <x v="20"/>
    <x v="35"/>
    <n v="0.52500000000000002"/>
    <n v="0.52500000000000002"/>
    <n v="8"/>
    <n v="16.337579617834393"/>
    <n v="209.63573498229442"/>
    <n v="63.745391877776719"/>
    <n v="10624.231979629452"/>
    <n v="16.459362217534178"/>
    <x v="410"/>
  </r>
  <r>
    <x v="20"/>
    <x v="22"/>
    <n v="1082380952"/>
    <n v="0.61247410899999999"/>
    <n v="6"/>
    <n v="20.764331210191077"/>
    <n v="338.63026984148308"/>
    <n v="89.349668875618292"/>
    <n v="14891.611479269714"/>
    <n v="18.04000646273682"/>
    <x v="411"/>
  </r>
  <r>
    <x v="20"/>
    <x v="50"/>
    <n v="0.43538739399999998"/>
    <n v="0.568333333"/>
    <n v="7"/>
    <n v="23.853503184713375"/>
    <n v="446.88339797165389"/>
    <n v="126.56255675925294"/>
    <n v="21093.759459875491"/>
    <n v="22.925945547486712"/>
    <x v="412"/>
  </r>
  <r>
    <x v="20"/>
    <x v="50"/>
    <n v="0.43538739399999998"/>
    <n v="0.568333333"/>
    <n v="8"/>
    <n v="29.267515923566879"/>
    <n v="672.76224012851674"/>
    <n v="214.93579593726162"/>
    <n v="35822.632656210269"/>
    <n v="32.970149673414745"/>
    <x v="413"/>
  </r>
  <r>
    <x v="20"/>
    <x v="48"/>
    <n v="0.39"/>
    <n v="0.28861111099999998"/>
    <n v="4"/>
    <n v="6.5286624203821653"/>
    <n v="33.476365995352509"/>
    <n v="3.0159769149157314"/>
    <n v="502.66281915262192"/>
    <n v="9.5824280619903437"/>
    <x v="414"/>
  </r>
  <r>
    <x v="20"/>
    <x v="48"/>
    <n v="0.39"/>
    <n v="0.28861111099999998"/>
    <n v="5.5"/>
    <n v="14.585987261146496"/>
    <n v="167.09426381080601"/>
    <n v="19.764112746266424"/>
    <n v="3294.0187910444038"/>
    <n v="13.08115721935981"/>
    <x v="415"/>
  </r>
  <r>
    <x v="20"/>
    <x v="41"/>
    <n v="0.693333333"/>
    <n v="0.64166666699999997"/>
    <n v="7"/>
    <n v="18.757961783439491"/>
    <n v="276.35108548420442"/>
    <n v="89.129852026871191"/>
    <n v="14854.975337811864"/>
    <n v="17.606297691589923"/>
    <x v="416"/>
  </r>
  <r>
    <x v="20"/>
    <x v="41"/>
    <n v="0.693333333"/>
    <n v="0.64166666699999997"/>
    <n v="6"/>
    <n v="13.789808917197451"/>
    <n v="149.35039581445918"/>
    <n v="42.057401560213215"/>
    <n v="7009.5669267022022"/>
    <n v="12.979035429429185"/>
    <x v="417"/>
  </r>
  <r>
    <x v="20"/>
    <x v="41"/>
    <n v="0.693333333"/>
    <n v="0.64166666699999997"/>
    <n v="8"/>
    <n v="23.917197452229296"/>
    <n v="449.27314450314827"/>
    <n v="163.15764471342811"/>
    <n v="27192.940785571351"/>
    <n v="25.002605351129858"/>
    <x v="418"/>
  </r>
  <r>
    <x v="20"/>
    <x v="55"/>
    <n v="0.77"/>
    <n v="0.77"/>
    <n v="3"/>
    <n v="4.2675159235668794"/>
    <n v="14.303429573171918"/>
    <n v="2.5882263240525862"/>
    <n v="431.37105400876436"/>
    <n v="9.176922767657917"/>
    <x v="419"/>
  </r>
  <r>
    <x v="20"/>
    <x v="55"/>
    <n v="0.77"/>
    <n v="0.77"/>
    <n v="3.5"/>
    <n v="3.6624203821656049"/>
    <n v="10.534799293005044"/>
    <n v="2.2321117550252167"/>
    <n v="372.01862583753609"/>
    <n v="9.1500132074323499"/>
    <x v="420"/>
  </r>
  <r>
    <x v="21"/>
    <x v="12"/>
    <n v="0.80908761900000004"/>
    <n v="0.87473809499999999"/>
    <n v="11"/>
    <n v="27.261146496815282"/>
    <n v="583.68443816705803"/>
    <n v="388.92817712393003"/>
    <n v="64821.362853988336"/>
    <n v="37.597749170351733"/>
    <x v="421"/>
  </r>
  <r>
    <x v="21"/>
    <x v="12"/>
    <n v="0.80908761900000004"/>
    <n v="0.87473809499999999"/>
    <n v="5"/>
    <n v="5.5732484076433115"/>
    <n v="24.395329175673304"/>
    <n v="8.1261784287459289"/>
    <n v="1354.3630714576548"/>
    <n v="9.5292692117327267"/>
    <x v="422"/>
  </r>
  <r>
    <x v="21"/>
    <x v="12"/>
    <n v="0.80908761900000004"/>
    <n v="0.87473809499999999"/>
    <n v="8"/>
    <n v="31.210191082802545"/>
    <n v="765.03752294911476"/>
    <n v="371.16796500554665"/>
    <n v="61861.327500924439"/>
    <n v="36.259828767901332"/>
    <x v="423"/>
  </r>
  <r>
    <x v="21"/>
    <x v="12"/>
    <n v="0.80908761900000004"/>
    <n v="0.87473809499999999"/>
    <n v="7"/>
    <n v="16.019108280254777"/>
    <n v="201.54246006229965"/>
    <n v="88.625307007193143"/>
    <n v="14770.884501198858"/>
    <n v="15.272689837315914"/>
    <x v="424"/>
  </r>
  <r>
    <x v="21"/>
    <x v="56"/>
    <n v="0.37226847299999999"/>
    <n v="0.42234285700000002"/>
    <n v="3"/>
    <n v="3.9171974522292996"/>
    <n v="12.051491758326906"/>
    <n v="1.218492058669159"/>
    <n v="203.08200977819317"/>
    <n v="9.1468165767373932"/>
    <x v="425"/>
  </r>
  <r>
    <x v="21"/>
    <x v="53"/>
    <n v="0.6"/>
    <n v="0.66674999999999995"/>
    <n v="6.5"/>
    <n v="4.6178343949044587"/>
    <n v="16.748140274890819"/>
    <n v="5.5794331623388533"/>
    <n v="929.90552705647553"/>
    <n v="9.4708299748468487"/>
    <x v="426"/>
  </r>
  <r>
    <x v="21"/>
    <x v="53"/>
    <n v="0.6"/>
    <n v="0.66674999999999995"/>
    <n v="6"/>
    <n v="6.2101910828025479"/>
    <n v="30.290037286693146"/>
    <n v="9.2006706473116253"/>
    <n v="1533.4451078852708"/>
    <n v="9.7955959389833254"/>
    <x v="427"/>
  </r>
  <r>
    <x v="21"/>
    <x v="40"/>
    <n v="0.9"/>
    <n v="0.61247410899999999"/>
    <n v="4"/>
    <n v="2.6114649681528661"/>
    <n v="5.3562185592564013"/>
    <n v="1.0509479600190543"/>
    <n v="175.15799333650907"/>
    <n v="9.0811764899184553"/>
    <x v="428"/>
  </r>
  <r>
    <x v="21"/>
    <x v="43"/>
    <n v="0.62643652800000005"/>
    <n v="0.57808694400000005"/>
    <n v="8"/>
    <n v="82.738853503184714"/>
    <n v="5376.6142493205307"/>
    <n v="1661.5184113324447"/>
    <n v="276919.73522207414"/>
    <n v="200.66580061260092"/>
    <x v="429"/>
  </r>
  <r>
    <x v="21"/>
    <x v="43"/>
    <n v="0.62643652800000005"/>
    <n v="0.57808694400000005"/>
    <n v="7"/>
    <n v="69.522292993630572"/>
    <n v="3796.1036028751091"/>
    <n v="1038.3942999518572"/>
    <n v="173065.71665864286"/>
    <n v="127.40275596575927"/>
    <x v="430"/>
  </r>
  <r>
    <x v="21"/>
    <x v="48"/>
    <n v="0.39"/>
    <n v="0.28861111099999998"/>
    <n v="4"/>
    <n v="11.019108280254777"/>
    <n v="95.363631921466293"/>
    <n v="8.3783986600297169"/>
    <n v="1396.3997766716195"/>
    <n v="10.685590462087712"/>
    <x v="431"/>
  </r>
  <r>
    <x v="21"/>
    <x v="48"/>
    <n v="0.39"/>
    <n v="0.28861111099999998"/>
    <n v="4"/>
    <n v="8.6942675159235669"/>
    <n v="59.368473081918566"/>
    <n v="5.2756255543509862"/>
    <n v="879.27092572516437"/>
    <n v="10.043964026938212"/>
    <x v="432"/>
  </r>
  <r>
    <x v="21"/>
    <x v="41"/>
    <n v="0.693333333"/>
    <n v="0.64166666699999997"/>
    <n v="7"/>
    <n v="27.452229299363058"/>
    <n v="591.89560724927344"/>
    <n v="187.44260573306298"/>
    <n v="31240.43428884383"/>
    <n v="27.449509890867787"/>
    <x v="433"/>
  </r>
  <r>
    <x v="21"/>
    <x v="41"/>
    <n v="0.693333333"/>
    <n v="0.64166666699999997"/>
    <n v="7"/>
    <n v="11.878980891719744"/>
    <n v="110.82768172676738"/>
    <n v="36.537074419754461"/>
    <n v="6089.5124032924105"/>
    <n v="12.442899582133148"/>
    <x v="434"/>
  </r>
  <r>
    <x v="21"/>
    <x v="41"/>
    <n v="0.693333333"/>
    <n v="0.64166666699999997"/>
    <n v="7"/>
    <n v="11.592356687898087"/>
    <n v="105.54395214563296"/>
    <n v="34.835979873693304"/>
    <n v="5805.9966456155498"/>
    <n v="12.27807697269666"/>
    <x v="435"/>
  </r>
  <r>
    <x v="21"/>
    <x v="41"/>
    <n v="0.693333333"/>
    <n v="0.64166666699999997"/>
    <n v="8"/>
    <n v="24.012738853503187"/>
    <n v="452.86971303304773"/>
    <n v="164.43230224755089"/>
    <n v="27405.38370792515"/>
    <n v="25.130825562903162"/>
    <x v="436"/>
  </r>
  <r>
    <x v="21"/>
    <x v="41"/>
    <n v="0.693333333"/>
    <n v="0.64166666699999997"/>
    <n v="6"/>
    <n v="6.7515923566878975"/>
    <n v="35.801589370496679"/>
    <n v="10.433395341209913"/>
    <n v="1738.8992235349854"/>
    <n v="9.9429639863686141"/>
    <x v="437"/>
  </r>
  <r>
    <x v="21"/>
    <x v="41"/>
    <n v="0.693333333"/>
    <n v="0.64166666699999997"/>
    <n v="8"/>
    <n v="24.7452229299363"/>
    <n v="480.91976123755313"/>
    <n v="174.36531513314338"/>
    <n v="29060.885855523898"/>
    <n v="26.130829619862865"/>
    <x v="438"/>
  </r>
  <r>
    <x v="21"/>
    <x v="41"/>
    <n v="0.693333333"/>
    <n v="0.64166666699999997"/>
    <n v="7"/>
    <n v="25.03184713375796"/>
    <n v="492.12528272373112"/>
    <n v="156.53913870426913"/>
    <n v="26089.856450711522"/>
    <n v="24.337237587731749"/>
    <x v="439"/>
  </r>
  <r>
    <x v="21"/>
    <x v="41"/>
    <n v="0.693333333"/>
    <n v="0.64166666699999997"/>
    <n v="8"/>
    <n v="28.885350318471332"/>
    <n v="655.30753146248037"/>
    <n v="235.83469372672954"/>
    <n v="39305.782287788257"/>
    <n v="32.347876964582731"/>
    <x v="440"/>
  </r>
  <r>
    <x v="21"/>
    <x v="41"/>
    <n v="0.693333333"/>
    <n v="0.64166666699999997"/>
    <n v="7"/>
    <n v="14.61783439490446"/>
    <n v="167.82472966726624"/>
    <n v="54.779301760064257"/>
    <n v="9129.883626677376"/>
    <n v="14.220886518722869"/>
    <x v="441"/>
  </r>
  <r>
    <x v="22"/>
    <x v="49"/>
    <n v="0.86"/>
    <n v="0.65666666699999998"/>
    <n v="5"/>
    <n v="4.6178343949044587"/>
    <n v="16.748140274890819"/>
    <n v="4.255221269559466"/>
    <n v="607.88875279420949"/>
    <n v="9.3588769037283459"/>
    <x v="442"/>
  </r>
  <r>
    <x v="22"/>
    <x v="31"/>
    <n v="0.40257753800000001"/>
    <n v="0.40843333300000001"/>
    <n v="4"/>
    <n v="10.477707006369426"/>
    <n v="86.222851438499731"/>
    <n v="10.657113857411916"/>
    <n v="1522.4448367731309"/>
    <n v="10.522652817558521"/>
    <x v="443"/>
  </r>
  <r>
    <x v="22"/>
    <x v="57"/>
    <n v="0.80803492399999999"/>
    <n v="0.87275320499999998"/>
    <n v="7"/>
    <n v="14.076433121019109"/>
    <n v="155.62348045963233"/>
    <n v="68.706591745873354"/>
    <n v="9815.2273922676231"/>
    <n v="13.840276250557832"/>
    <x v="444"/>
  </r>
  <r>
    <x v="22"/>
    <x v="57"/>
    <n v="0.80803492399999999"/>
    <n v="0.87275320499999998"/>
    <n v="7"/>
    <n v="28.726114649681524"/>
    <n v="648.10244567002451"/>
    <n v="276.50137606960055"/>
    <n v="39500.196581371514"/>
    <n v="29.202846740232864"/>
    <x v="445"/>
  </r>
  <r>
    <x v="22"/>
    <x v="39"/>
    <n v="0.41"/>
    <n v="0.33983503399999998"/>
    <n v="9"/>
    <n v="20.127388535031844"/>
    <n v="318.17403953189"/>
    <n v="70.285628132429068"/>
    <n v="10040.804018918438"/>
    <n v="21.746720731064137"/>
    <x v="446"/>
  </r>
  <r>
    <x v="22"/>
    <x v="39"/>
    <n v="0.41"/>
    <n v="0.33983503399999998"/>
    <n v="9"/>
    <n v="8.4076433121019107"/>
    <n v="55.518591419680874"/>
    <n v="12.789031552981468"/>
    <n v="1827.0045075687813"/>
    <n v="11.212386681001258"/>
    <x v="447"/>
  </r>
  <r>
    <x v="22"/>
    <x v="39"/>
    <n v="0.41"/>
    <n v="0.33983503399999998"/>
    <n v="7"/>
    <n v="7.1019108280254777"/>
    <n v="39.613235088230461"/>
    <n v="7.1983487553967018"/>
    <n v="1028.335536485243"/>
    <n v="10.221409866526026"/>
    <x v="448"/>
  </r>
  <r>
    <x v="22"/>
    <x v="56"/>
    <n v="0.37226847299999999"/>
    <n v="0.42234285700000002"/>
    <n v="6"/>
    <n v="6.2101910828025479"/>
    <n v="30.290037286693146"/>
    <n v="5.8922445408497444"/>
    <n v="841.749220121392"/>
    <n v="9.7955959389833254"/>
    <x v="323"/>
  </r>
  <r>
    <x v="22"/>
    <x v="56"/>
    <n v="0.37226847299999999"/>
    <n v="0.42234285700000002"/>
    <n v="3.5"/>
    <n v="11.815286624203821"/>
    <n v="109.64236744714611"/>
    <n v="12.220412444814965"/>
    <n v="1745.7732064021379"/>
    <n v="10.695812225648099"/>
    <x v="449"/>
  </r>
  <r>
    <x v="22"/>
    <x v="35"/>
    <n v="0.52500000000000002"/>
    <n v="0.52500000000000002"/>
    <n v="7"/>
    <n v="15.668789808917198"/>
    <n v="192.82386813323049"/>
    <n v="51.572173964266021"/>
    <n v="7367.4534234665743"/>
    <n v="15.000718864862673"/>
    <x v="450"/>
  </r>
  <r>
    <x v="22"/>
    <x v="35"/>
    <n v="0.52500000000000002"/>
    <n v="0.52500000000000002"/>
    <n v="7"/>
    <n v="12.643312101910828"/>
    <n v="125.54852036077369"/>
    <n v="33.926466350297083"/>
    <n v="4846.6380500424402"/>
    <n v="12.902106852204957"/>
    <x v="451"/>
  </r>
  <r>
    <x v="22"/>
    <x v="58"/>
    <n v="0.85449533600000005"/>
    <n v="0.81482857099999995"/>
    <n v="5"/>
    <n v="9.4904458598726116"/>
    <n v="70.739683660946696"/>
    <n v="21.432553749575355"/>
    <n v="3061.7933927964796"/>
    <n v="10.56189984583553"/>
    <x v="452"/>
  </r>
  <r>
    <x v="22"/>
    <x v="50"/>
    <n v="0.43538739399999998"/>
    <n v="0.568333333"/>
    <n v="8"/>
    <n v="20.318471337579616"/>
    <n v="324.24399572188617"/>
    <n v="105.42092841766319"/>
    <n v="15060.132631094742"/>
    <n v="20.545227769889244"/>
    <x v="453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x v="454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x v="454"/>
  </r>
  <r>
    <x v="22"/>
    <x v="29"/>
    <n v="0.40238543599999999"/>
    <n v="0.40883333300000002"/>
    <n v="8"/>
    <n v="17.35668789808917"/>
    <n v="236.60482117238735"/>
    <n v="56.200396200713875"/>
    <n v="8028.6280286734109"/>
    <n v="17.420829214166901"/>
    <x v="455"/>
  </r>
  <r>
    <x v="22"/>
    <x v="29"/>
    <n v="0.40238543599999999"/>
    <n v="0.40883333300000002"/>
    <n v="7"/>
    <n v="17.00636942675159"/>
    <n v="227.1501873116178"/>
    <n v="47.408236241501427"/>
    <n v="6772.6051773573472"/>
    <n v="16.071506726439203"/>
    <x v="348"/>
  </r>
  <r>
    <x v="22"/>
    <x v="59"/>
    <n v="0.28577490700000002"/>
    <n v="0.3422"/>
    <n v="5"/>
    <n v="29.968152866242036"/>
    <n v="705.35838281810197"/>
    <n v="86.717619092726352"/>
    <n v="12388.231298960907"/>
    <n v="24.702278258752891"/>
    <x v="456"/>
  </r>
  <r>
    <x v="22"/>
    <x v="59"/>
    <n v="0.28577490700000002"/>
    <n v="0.3422"/>
    <n v="6.5"/>
    <n v="20.859872611464969"/>
    <n v="341.75366855814667"/>
    <n v="55.229629512847218"/>
    <n v="7889.9470732638883"/>
    <n v="18.88500499208893"/>
    <x v="457"/>
  </r>
  <r>
    <x v="23"/>
    <x v="31"/>
    <n v="0.40257753800000001"/>
    <n v="0.40843333300000001"/>
    <n v="3.5"/>
    <n v="12.579617834394904"/>
    <n v="124.28673419214456"/>
    <n v="13.366897053088312"/>
    <n v="1909.556721869759"/>
    <n v="10.924223114527972"/>
    <x v="458"/>
  </r>
  <r>
    <x v="23"/>
    <x v="31"/>
    <n v="0.40257753800000001"/>
    <n v="0.40843333300000001"/>
    <n v="7"/>
    <n v="11.942675159235668"/>
    <n v="112.01936866380598"/>
    <n v="23.756769447158185"/>
    <n v="3393.8242067368838"/>
    <n v="12.480073503996104"/>
    <x v="316"/>
  </r>
  <r>
    <x v="23"/>
    <x v="57"/>
    <n v="0.80803492399999999"/>
    <n v="0.87275320499999998"/>
    <n v="7"/>
    <n v="6.5286624203821653"/>
    <n v="33.476365995352509"/>
    <n v="15.334784333807633"/>
    <n v="2190.6834762582334"/>
    <n v="10.029974108483103"/>
    <x v="459"/>
  </r>
  <r>
    <x v="23"/>
    <x v="57"/>
    <n v="0.80803492399999999"/>
    <n v="0.87275320499999998"/>
    <n v="8"/>
    <n v="23.789808917197448"/>
    <n v="444.50002409757656"/>
    <n v="217.99979776651935"/>
    <n v="31142.828252359908"/>
    <n v="24.83244023286948"/>
    <x v="460"/>
  </r>
  <r>
    <x v="23"/>
    <x v="57"/>
    <n v="0.80803492399999999"/>
    <n v="0.87275320499999998"/>
    <n v="8.5"/>
    <n v="15.764331210191083"/>
    <n v="195.18254795981557"/>
    <n v="103.58590590263773"/>
    <n v="14797.986557519676"/>
    <n v="16.378995620511986"/>
    <x v="461"/>
  </r>
  <r>
    <x v="23"/>
    <x v="57"/>
    <n v="0.80803492399999999"/>
    <n v="0.87275320499999998"/>
    <n v="8"/>
    <n v="11.210191082802549"/>
    <n v="98.699718079432685"/>
    <n v="50.186343532392542"/>
    <n v="7169.4776474846494"/>
    <n v="12.504414755162482"/>
    <x v="462"/>
  </r>
  <r>
    <x v="23"/>
    <x v="39"/>
    <n v="0.41"/>
    <n v="0.33983503399999998"/>
    <n v="7"/>
    <n v="6.4968152866242033"/>
    <n v="33.150563884892087"/>
    <n v="6.0497841292181711"/>
    <n v="864.25487560259592"/>
    <n v="10.019810917278591"/>
    <x v="463"/>
  </r>
  <r>
    <x v="23"/>
    <x v="39"/>
    <n v="0.41"/>
    <n v="0.33983503399999998"/>
    <n v="5"/>
    <n v="6.4649681528662422"/>
    <n v="32.826354938786004"/>
    <n v="4.3147247372954656"/>
    <n v="616.38924818506644"/>
    <n v="9.7171267313075571"/>
    <x v="464"/>
  </r>
  <r>
    <x v="23"/>
    <x v="45"/>
    <n v="0.31264018999999998"/>
    <n v="0.356821212"/>
    <n v="3.5"/>
    <n v="5.8917197452229297"/>
    <n v="27.263025013466741"/>
    <n v="2.6652003670840854"/>
    <n v="380.74290958344079"/>
    <n v="9.4109264290640589"/>
    <x v="465"/>
  </r>
  <r>
    <x v="23"/>
    <x v="53"/>
    <n v="0.6"/>
    <n v="0.66674999999999995"/>
    <n v="4.5"/>
    <n v="5.2229299363057322"/>
    <n v="21.424874237025605"/>
    <n v="4.9557216796564791"/>
    <n v="707.9602399509256"/>
    <n v="9.4153442046330476"/>
    <x v="466"/>
  </r>
  <r>
    <x v="23"/>
    <x v="60"/>
    <n v="0.60413333300000005"/>
    <n v="0.60831666699999998"/>
    <n v="8"/>
    <n v="13.757961783439491"/>
    <n v="148.66135223121162"/>
    <n v="52.625846515587817"/>
    <n v="7517.9780736554021"/>
    <n v="14.285582348168283"/>
    <x v="467"/>
  </r>
  <r>
    <x v="23"/>
    <x v="35"/>
    <n v="0.52500000000000002"/>
    <n v="0.52500000000000002"/>
    <n v="3.5"/>
    <n v="2.9617834394904459"/>
    <n v="6.8896392502987247"/>
    <n v="1.0147825677595714"/>
    <n v="144.96893825136735"/>
    <n v="9.0931589739948873"/>
    <x v="468"/>
  </r>
  <r>
    <x v="23"/>
    <x v="36"/>
    <n v="0.39984676499999999"/>
    <n v="0.450333333"/>
    <n v="8"/>
    <n v="28.025477707006367"/>
    <n v="616.87323799645401"/>
    <n v="157.36337820685355"/>
    <n v="22480.482600979078"/>
    <n v="30.9776672197655"/>
    <x v="318"/>
  </r>
  <r>
    <x v="23"/>
    <x v="29"/>
    <n v="0.40238543599999999"/>
    <n v="0.40883333300000002"/>
    <n v="6"/>
    <n v="19.872611464968152"/>
    <n v="310.16998181573774"/>
    <n v="55.278152153802338"/>
    <n v="7896.8788791146198"/>
    <n v="17.279034415189258"/>
    <x v="469"/>
  </r>
  <r>
    <x v="23"/>
    <x v="30"/>
    <n v="0.57917600000000002"/>
    <n v="0.60285714300000004"/>
    <n v="9"/>
    <n v="42.611464968152866"/>
    <n v="1426.0764631762966"/>
    <n v="531.71716313894319"/>
    <n v="75959.594734134735"/>
    <n v="66.181413822061742"/>
    <x v="470"/>
  </r>
  <r>
    <x v="23"/>
    <x v="30"/>
    <n v="0.57917600000000002"/>
    <n v="0.60285714300000004"/>
    <n v="8"/>
    <n v="48.312101910828027"/>
    <n v="1833.1658019055037"/>
    <n v="605.61599572582588"/>
    <n v="86516.570817975124"/>
    <n v="74.339357349182521"/>
    <x v="471"/>
  </r>
  <r>
    <x v="23"/>
    <x v="59"/>
    <n v="0.28577490700000002"/>
    <n v="0.3422"/>
    <n v="7"/>
    <n v="9.6178343949044578"/>
    <n v="72.651480886142309"/>
    <n v="13.09950593473658"/>
    <n v="1871.3579906766543"/>
    <n v="11.252017091971275"/>
    <x v="472"/>
  </r>
  <r>
    <x v="24"/>
    <x v="2"/>
    <n v="0.47982689899999997"/>
    <n v="0.51"/>
    <n v="2"/>
    <n v="2.9617834394904459"/>
    <n v="6.8896392502987247"/>
    <n v="0.57132190339228528"/>
    <n v="81.617414770326477"/>
    <n v="9.047105127997078"/>
    <x v="473"/>
  </r>
  <r>
    <x v="24"/>
    <x v="2"/>
    <n v="0.47982689899999997"/>
    <n v="0.51"/>
    <n v="6"/>
    <n v="5.1910828025477711"/>
    <n v="21.164391865092711"/>
    <n v="4.991863568451822"/>
    <n v="713.1233669216889"/>
    <n v="9.5515941539210516"/>
    <x v="474"/>
  </r>
  <r>
    <x v="24"/>
    <x v="2"/>
    <n v="0.47982689899999997"/>
    <n v="0.51"/>
    <n v="3"/>
    <n v="5.4140127388535033"/>
    <n v="23.021224920063954"/>
    <n v="2.7548853033951417"/>
    <n v="393.55504334216312"/>
    <n v="9.2934711063329143"/>
    <x v="475"/>
  </r>
  <r>
    <x v="24"/>
    <x v="2"/>
    <n v="0.47982689899999997"/>
    <n v="0.51"/>
    <n v="5"/>
    <n v="3.6942675159235665"/>
    <n v="10.71880977593012"/>
    <n v="2.1508672271791673"/>
    <n v="307.26674673988106"/>
    <n v="9.2245332183861404"/>
    <x v="476"/>
  </r>
  <r>
    <x v="24"/>
    <x v="2"/>
    <n v="0.47982689899999997"/>
    <n v="0.51"/>
    <n v="3"/>
    <n v="6.3057324840764331"/>
    <n v="31.229207673570492"/>
    <n v="3.709861351547179"/>
    <n v="529.98019307816844"/>
    <n v="9.4032037526877357"/>
    <x v="477"/>
  </r>
  <r>
    <x v="24"/>
    <x v="35"/>
    <n v="0.52500000000000002"/>
    <n v="0.52500000000000002"/>
    <n v="7.5"/>
    <n v="10.636942675159235"/>
    <n v="88.863521355801183"/>
    <n v="25.899821299348609"/>
    <n v="3699.9744713355153"/>
    <n v="11.955744423708872"/>
    <x v="478"/>
  </r>
  <r>
    <x v="24"/>
    <x v="30"/>
    <n v="0.57917600000000002"/>
    <n v="0.60285714300000004"/>
    <n v="7"/>
    <n v="13.439490445859873"/>
    <n v="141.85854043822386"/>
    <n v="43.744478927804856"/>
    <n v="6249.2112754006939"/>
    <n v="13.410887634386789"/>
    <x v="479"/>
  </r>
  <r>
    <x v="24"/>
    <x v="30"/>
    <n v="0.57917600000000002"/>
    <n v="0.60285714300000004"/>
    <n v="5.5"/>
    <n v="9.0127388535031852"/>
    <n v="63.797469986955093"/>
    <n v="15.848156947580271"/>
    <n v="2264.022421082896"/>
    <n v="10.549367136597834"/>
    <x v="480"/>
  </r>
  <r>
    <x v="24"/>
    <x v="30"/>
    <n v="0.57917600000000002"/>
    <n v="0.60285714300000004"/>
    <n v="7"/>
    <n v="13.789808917197451"/>
    <n v="149.35039581445918"/>
    <n v="45.997869535317172"/>
    <n v="6571.1242193310245"/>
    <n v="13.644591334334049"/>
    <x v="481"/>
  </r>
  <r>
    <x v="24"/>
    <x v="30"/>
    <n v="0.57917600000000002"/>
    <n v="0.60285714300000004"/>
    <n v="6.5"/>
    <n v="10.286624203821654"/>
    <n v="83.106621961430847"/>
    <n v="24.14706860739776"/>
    <n v="3449.5812296282515"/>
    <n v="11.392983003367275"/>
    <x v="482"/>
  </r>
  <r>
    <x v="24"/>
    <x v="55"/>
    <n v="0.77"/>
    <n v="0.77"/>
    <n v="6"/>
    <n v="8.7579617834394909"/>
    <n v="60.241527148091237"/>
    <n v="20.714591711108412"/>
    <n v="2959.2273873012018"/>
    <n v="10.596439786603918"/>
    <x v="483"/>
  </r>
  <r>
    <x v="24"/>
    <x v="55"/>
    <n v="0.77"/>
    <n v="0.77"/>
    <n v="5.5"/>
    <n v="9.6178343949044578"/>
    <n v="72.651480886142309"/>
    <n v="22.844984964112285"/>
    <n v="3263.5692805874692"/>
    <n v="10.766377715120289"/>
    <x v="484"/>
  </r>
  <r>
    <x v="24"/>
    <x v="55"/>
    <n v="0.77"/>
    <n v="0.77"/>
    <n v="7"/>
    <n v="10.828025477707007"/>
    <n v="92.084899680255816"/>
    <n v="36.43223981940433"/>
    <n v="5204.6056884863328"/>
    <n v="11.858230325773865"/>
    <x v="485"/>
  </r>
  <r>
    <x v="25"/>
    <x v="57"/>
    <n v="0.80803492399999999"/>
    <n v="0.87275320499999998"/>
    <n v="8"/>
    <n v="11.656050955414013"/>
    <n v="106.70696212429367"/>
    <n v="54.15634605250213"/>
    <n v="7736.6208646431614"/>
    <n v="12.789878668505821"/>
    <x v="486"/>
  </r>
  <r>
    <x v="25"/>
    <x v="61"/>
    <n v="0.60064078700000001"/>
    <n v="0.66733333299999997"/>
    <n v="6.8"/>
    <n v="3.5987261146496814"/>
    <n v="10.171557820217876"/>
    <n v="3.5867805185081227"/>
    <n v="512.39721692973183"/>
    <n v="9.2939297456286258"/>
    <x v="487"/>
  </r>
  <r>
    <x v="25"/>
    <x v="35"/>
    <n v="0.52500000000000002"/>
    <n v="0.52500000000000002"/>
    <n v="7"/>
    <n v="7.4203821656050959"/>
    <n v="43.245649816102144"/>
    <n v="11.988871800097517"/>
    <n v="1712.6959714425025"/>
    <n v="10.334720751348939"/>
    <x v="488"/>
  </r>
  <r>
    <x v="25"/>
    <x v="35"/>
    <n v="0.52500000000000002"/>
    <n v="0.52500000000000002"/>
    <n v="3.2"/>
    <n v="6.2738853503184719"/>
    <n v="30.914557713590387"/>
    <n v="4.0244665646658033"/>
    <n v="574.92379495225759"/>
    <n v="9.4265503387561367"/>
    <x v="489"/>
  </r>
  <r>
    <x v="25"/>
    <x v="35"/>
    <n v="0.52500000000000002"/>
    <n v="0.52500000000000002"/>
    <n v="6"/>
    <n v="8.4713375796178347"/>
    <n v="56.362968527475616"/>
    <n v="13.357600376132917"/>
    <n v="1908.228625161845"/>
    <n v="10.492734768144752"/>
    <x v="490"/>
  </r>
  <r>
    <x v="25"/>
    <x v="24"/>
    <n v="0.56193137999999998"/>
    <n v="0.57808694400000005"/>
    <n v="3.5"/>
    <n v="8.9171974522292992"/>
    <n v="62.452042689723655"/>
    <n v="9.5846576428635615"/>
    <n v="1369.236806123366"/>
    <n v="9.9597760274250469"/>
    <x v="491"/>
  </r>
  <r>
    <x v="25"/>
    <x v="24"/>
    <n v="0.56193137999999998"/>
    <n v="0.57808694400000005"/>
    <n v="6"/>
    <n v="28.757961783439487"/>
    <n v="649.54027649980708"/>
    <n v="159.47471156090029"/>
    <n v="22782.101651557186"/>
    <n v="26.353127684693092"/>
    <x v="492"/>
  </r>
  <r>
    <x v="25"/>
    <x v="24"/>
    <n v="0.56193137999999998"/>
    <n v="0.57808694400000005"/>
    <n v="5"/>
    <n v="18.121019108280255"/>
    <n v="257.90224226106665"/>
    <n v="54.186061374582977"/>
    <n v="7740.8659106547111"/>
    <n v="14.732198336646517"/>
    <x v="493"/>
  </r>
  <r>
    <x v="25"/>
    <x v="24"/>
    <n v="0.56193137999999998"/>
    <n v="0.57808694400000005"/>
    <n v="6"/>
    <n v="19.554140127388536"/>
    <n v="300.308294462437"/>
    <n v="75.109348890953768"/>
    <n v="10729.906984421967"/>
    <n v="17.015352318552477"/>
    <x v="494"/>
  </r>
  <r>
    <x v="25"/>
    <x v="36"/>
    <n v="0.39984676499999999"/>
    <n v="0.450333333"/>
    <n v="8"/>
    <n v="14.426751592356686"/>
    <n v="163.46583199382016"/>
    <n v="43.050399357276426"/>
    <n v="6150.0570510394891"/>
    <n v="14.813372522211854"/>
    <x v="495"/>
  </r>
  <r>
    <x v="25"/>
    <x v="36"/>
    <n v="0.39984676499999999"/>
    <n v="0.450333333"/>
    <n v="7"/>
    <n v="27.452229299363054"/>
    <n v="591.89560724927321"/>
    <n v="132.67330162488199"/>
    <n v="18953.328803554567"/>
    <n v="27.44950989086778"/>
    <x v="496"/>
  </r>
  <r>
    <x v="25"/>
    <x v="36"/>
    <n v="0.39984676499999999"/>
    <n v="0.450333333"/>
    <n v="7.5"/>
    <n v="20.859872611464969"/>
    <n v="341.75366855814667"/>
    <n v="83.027216344309196"/>
    <n v="11861.030906329886"/>
    <n v="20.407974990871843"/>
    <x v="497"/>
  </r>
  <r>
    <x v="25"/>
    <x v="30"/>
    <n v="0.57917600000000002"/>
    <n v="0.60285714300000004"/>
    <n v="5"/>
    <n v="10.095541401273884"/>
    <n v="80.047746401117848"/>
    <n v="18.020218825252794"/>
    <n v="2574.316975036113"/>
    <n v="10.769299233234612"/>
    <x v="498"/>
  </r>
  <r>
    <x v="25"/>
    <x v="30"/>
    <n v="0.57917600000000002"/>
    <n v="0.60285714300000004"/>
    <n v="7"/>
    <n v="16.878980891719745"/>
    <n v="223.75993356560429"/>
    <n v="68.249557647187842"/>
    <n v="9749.9368067411215"/>
    <n v="15.965749900604486"/>
    <x v="499"/>
  </r>
  <r>
    <x v="25"/>
    <x v="30"/>
    <n v="0.57917600000000002"/>
    <n v="0.60285714300000004"/>
    <n v="7"/>
    <n v="11.242038216560509"/>
    <n v="99.261308514333876"/>
    <n v="30.87234140930153"/>
    <n v="4410.3344870430756"/>
    <n v="12.082093869933871"/>
    <x v="500"/>
  </r>
  <r>
    <x v="26"/>
    <x v="53"/>
    <n v="0.6"/>
    <n v="0.66674999999999995"/>
    <n v="7"/>
    <n v="15.891719745222929"/>
    <n v="198.34975869622295"/>
    <n v="66.942858811652002"/>
    <n v="9563.2655445217133"/>
    <n v="15.173095533287354"/>
    <x v="501"/>
  </r>
  <r>
    <x v="26"/>
    <x v="35"/>
    <n v="0.52500000000000002"/>
    <n v="0.52500000000000002"/>
    <n v="7"/>
    <n v="22.579617834394906"/>
    <n v="400.42672539940037"/>
    <n v="105.23519483020033"/>
    <n v="15033.59926145719"/>
    <n v="21.476758967909451"/>
    <x v="502"/>
  </r>
  <r>
    <x v="26"/>
    <x v="35"/>
    <n v="0.52500000000000002"/>
    <n v="0.52500000000000002"/>
    <n v="8"/>
    <n v="13.789808917197451"/>
    <n v="149.35039581445918"/>
    <n v="45.785090008067051"/>
    <n v="6540.7271440095792"/>
    <n v="14.310147239238914"/>
    <x v="503"/>
  </r>
  <r>
    <x v="26"/>
    <x v="24"/>
    <n v="0.56193137999999998"/>
    <n v="0.57808694400000005"/>
    <n v="8"/>
    <n v="13.917197452229299"/>
    <n v="152.12250179099283"/>
    <n v="51.209355333781005"/>
    <n v="7315.6221905401444"/>
    <n v="14.408974777881454"/>
    <x v="504"/>
  </r>
  <r>
    <x v="26"/>
    <x v="24"/>
    <n v="0.56193137999999998"/>
    <n v="0.57808694400000005"/>
    <n v="3.5"/>
    <n v="6.401273885350319"/>
    <n v="32.182716539636814"/>
    <n v="5.0183717725486581"/>
    <n v="716.91025322123676"/>
    <n v="9.4876597651020322"/>
    <x v="505"/>
  </r>
  <r>
    <x v="26"/>
    <x v="36"/>
    <n v="0.39984676499999999"/>
    <n v="0.450333333"/>
    <n v="15"/>
    <n v="37.420382165605091"/>
    <n v="1099.7812683482107"/>
    <n v="511.01853356662838"/>
    <n v="73002.647652375483"/>
    <n v="82.50066257454661"/>
    <x v="506"/>
  </r>
  <r>
    <x v="26"/>
    <x v="36"/>
    <n v="0.39984676499999999"/>
    <n v="0.450333333"/>
    <n v="12"/>
    <n v="36.337579617834393"/>
    <n v="1037.0552013895424"/>
    <n v="388.11474363594721"/>
    <n v="55444.963376563894"/>
    <n v="64.443327084263046"/>
    <x v="507"/>
  </r>
  <r>
    <x v="26"/>
    <x v="36"/>
    <n v="0.39984676499999999"/>
    <n v="0.450333333"/>
    <n v="10"/>
    <n v="16.433121019108281"/>
    <n v="212.09478416320235"/>
    <n v="69.016015805219212"/>
    <n v="9859.4308293170307"/>
    <n v="18.437361325003042"/>
    <x v="508"/>
  </r>
  <r>
    <x v="26"/>
    <x v="36"/>
    <n v="0.39984676499999999"/>
    <n v="0.450333333"/>
    <n v="11"/>
    <n v="21.464968152866241"/>
    <n v="361.86816511373604"/>
    <n v="127.58541942495653"/>
    <n v="18226.488489279505"/>
    <n v="26.724377025437136"/>
    <x v="509"/>
  </r>
  <r>
    <x v="26"/>
    <x v="50"/>
    <n v="0.43538739399999998"/>
    <n v="0.568333333"/>
    <n v="7.5"/>
    <n v="10.382165605095542"/>
    <n v="84.657567460370842"/>
    <n v="26.690800112160559"/>
    <n v="3812.9714445943655"/>
    <n v="11.815170769605258"/>
    <x v="510"/>
  </r>
  <r>
    <x v="26"/>
    <x v="30"/>
    <n v="0.57917600000000002"/>
    <n v="0.60285714300000004"/>
    <n v="10"/>
    <n v="46.146496815286625"/>
    <n v="1672.5047357574811"/>
    <n v="688.49873208127281"/>
    <n v="98356.961725896108"/>
    <n v="83.518170891314057"/>
    <x v="511"/>
  </r>
  <r>
    <x v="26"/>
    <x v="30"/>
    <n v="0.57917600000000002"/>
    <n v="0.60285714300000004"/>
    <n v="6"/>
    <n v="11.305732484076433"/>
    <n v="100.3892688771993"/>
    <n v="26.854620651453484"/>
    <n v="3836.374378779069"/>
    <n v="11.669911327031523"/>
    <x v="512"/>
  </r>
  <r>
    <x v="26"/>
    <x v="30"/>
    <n v="0.57917600000000002"/>
    <n v="0.60285714300000004"/>
    <n v="6"/>
    <n v="24.363057324840764"/>
    <n v="466.17980463129504"/>
    <n v="120.19333845093855"/>
    <n v="17170.476921562651"/>
    <n v="21.450429806483022"/>
    <x v="513"/>
  </r>
  <r>
    <x v="26"/>
    <x v="30"/>
    <n v="0.57917600000000002"/>
    <n v="0.60285714300000004"/>
    <n v="8.4"/>
    <n v="11.942675159235668"/>
    <n v="112.01936866380598"/>
    <n v="41.505272942932528"/>
    <n v="5929.3247061332177"/>
    <n v="13.178948204795326"/>
    <x v="514"/>
  </r>
  <r>
    <x v="27"/>
    <x v="31"/>
    <n v="0.40257753800000001"/>
    <n v="0.40843333300000001"/>
    <n v="5"/>
    <n v="5.5095541401273884"/>
    <n v="23.840907980366573"/>
    <n v="3.7785343866451409"/>
    <n v="755.7068773290282"/>
    <n v="9.5169157694024094"/>
    <x v="515"/>
  </r>
  <r>
    <x v="27"/>
    <x v="57"/>
    <n v="0.80803492399999999"/>
    <n v="0.87275320499999998"/>
    <n v="7"/>
    <n v="23.343949044585987"/>
    <n v="427.99484138672113"/>
    <n v="184.42385432663761"/>
    <n v="36884.770865327519"/>
    <n v="22.336728946407561"/>
    <x v="516"/>
  </r>
  <r>
    <x v="27"/>
    <x v="53"/>
    <n v="0.6"/>
    <n v="0.66674999999999995"/>
    <n v="5"/>
    <n v="4.2993630573248405"/>
    <n v="14.517710178829255"/>
    <n v="3.7566656457024745"/>
    <n v="751.33312914049498"/>
    <n v="9.3091791472270682"/>
    <x v="517"/>
  </r>
  <r>
    <x v="27"/>
    <x v="34"/>
    <n v="0.53"/>
    <n v="0.54764999999999997"/>
    <n v="5"/>
    <n v="5.4777070063694264"/>
    <n v="23.566087129244703"/>
    <n v="4.974319328888809"/>
    <n v="994.8638657777617"/>
    <n v="9.5107922958335021"/>
    <x v="518"/>
  </r>
  <r>
    <x v="27"/>
    <x v="35"/>
    <n v="0.52500000000000002"/>
    <n v="0.52500000000000002"/>
    <n v="7"/>
    <n v="12.898089171974522"/>
    <n v="130.65939160946331"/>
    <n v="35.273760649954497"/>
    <n v="7054.7521299909004"/>
    <n v="13.061537255061058"/>
    <x v="519"/>
  </r>
  <r>
    <x v="27"/>
    <x v="24"/>
    <n v="0.56193137999999998"/>
    <n v="0.57808694400000005"/>
    <n v="7"/>
    <n v="38.757961783439491"/>
    <n v="1179.8091001948997"/>
    <n v="331.90715301144991"/>
    <n v="66381.430602289984"/>
    <n v="45.789100239360629"/>
    <x v="520"/>
  </r>
  <r>
    <x v="27"/>
    <x v="36"/>
    <n v="0.39984676499999999"/>
    <n v="0.450333333"/>
    <n v="9"/>
    <n v="42.29299363057325"/>
    <n v="1404.839582333082"/>
    <n v="394.16766856600788"/>
    <n v="78833.53371320157"/>
    <n v="65.329665272424847"/>
    <x v="521"/>
  </r>
  <r>
    <x v="27"/>
    <x v="51"/>
    <n v="0.54"/>
    <n v="0.61247410899999999"/>
    <n v="8"/>
    <n v="22.356687898089174"/>
    <n v="392.55888323554319"/>
    <n v="136.66958960623845"/>
    <n v="27333.917921247688"/>
    <n v="22.980701825631876"/>
    <x v="522"/>
  </r>
  <r>
    <x v="27"/>
    <x v="51"/>
    <n v="0.54"/>
    <n v="0.61247410899999999"/>
    <n v="7"/>
    <n v="16.464968152866241"/>
    <n v="212.91765355221364"/>
    <n v="66.032120992827004"/>
    <n v="13206.424198565399"/>
    <n v="15.62753181873504"/>
    <x v="523"/>
  </r>
  <r>
    <x v="27"/>
    <x v="51"/>
    <n v="0.54"/>
    <n v="0.61247410899999999"/>
    <n v="7"/>
    <n v="11.656050955414013"/>
    <n v="106.70696212429367"/>
    <n v="33.646259169637048"/>
    <n v="6729.2518339274102"/>
    <n v="12.314356334942595"/>
    <x v="524"/>
  </r>
  <r>
    <x v="27"/>
    <x v="9"/>
    <n v="0.43836446099999998"/>
    <n v="0.58666666700000003"/>
    <n v="6"/>
    <n v="7.5796178343949041"/>
    <n v="45.121600843325346"/>
    <n v="11.981529218003569"/>
    <n v="2396.3058436007136"/>
    <n v="10.192162736825022"/>
    <x v="525"/>
  </r>
  <r>
    <x v="27"/>
    <x v="52"/>
    <n v="0.46679999999999999"/>
    <n v="0.81159999999999999"/>
    <n v="7.5"/>
    <n v="19.713375796178344"/>
    <n v="305.21922358465827"/>
    <n v="132.11926853038074"/>
    <n v="26423.853706076148"/>
    <n v="19.186901113635443"/>
    <x v="526"/>
  </r>
  <r>
    <x v="27"/>
    <x v="55"/>
    <n v="0.77"/>
    <n v="0.77"/>
    <n v="3.5"/>
    <n v="4.8726114649681529"/>
    <n v="18.647192185251804"/>
    <n v="3.897188597375723"/>
    <n v="779.4377194751446"/>
    <n v="9.2765436954846034"/>
    <x v="527"/>
  </r>
  <r>
    <x v="28"/>
    <x v="57"/>
    <n v="0.80803492399999999"/>
    <n v="0.87275320499999998"/>
    <n v="9"/>
    <n v="25.159235668789808"/>
    <n v="497.14693676857826"/>
    <n v="272.7892300970268"/>
    <n v="54557.846019405362"/>
    <n v="28.924794892287714"/>
    <x v="528"/>
  </r>
  <r>
    <x v="28"/>
    <x v="57"/>
    <n v="0.80803492399999999"/>
    <n v="0.87275320499999998"/>
    <n v="8"/>
    <n v="27.133757961783438"/>
    <n v="578.24218873266784"/>
    <n v="281.80738174598628"/>
    <n v="56361.476349197255"/>
    <n v="29.600442991602087"/>
    <x v="529"/>
  </r>
  <r>
    <x v="28"/>
    <x v="39"/>
    <n v="0.41"/>
    <n v="0.33983503399999998"/>
    <n v="8"/>
    <n v="8.1210191082802545"/>
    <n v="51.79775607014389"/>
    <n v="10.653893813786668"/>
    <n v="2130.7787627573334"/>
    <n v="10.832326637997484"/>
    <x v="530"/>
  </r>
  <r>
    <x v="28"/>
    <x v="35"/>
    <n v="0.52500000000000002"/>
    <n v="0.52500000000000002"/>
    <n v="8"/>
    <n v="21.369426751592353"/>
    <n v="358.65395602887583"/>
    <n v="107.66190448115111"/>
    <n v="21532.380896230221"/>
    <n v="21.771967191366784"/>
    <x v="531"/>
  </r>
  <r>
    <x v="28"/>
    <x v="24"/>
    <n v="0.56193137999999998"/>
    <n v="0.57808694400000005"/>
    <n v="6"/>
    <n v="42.834394904458598"/>
    <n v="1441.0370730456295"/>
    <n v="347.1004971738102"/>
    <n v="69420.099434762044"/>
    <n v="47.516193123453284"/>
    <x v="532"/>
  </r>
  <r>
    <x v="28"/>
    <x v="24"/>
    <n v="0.56193137999999998"/>
    <n v="0.57808694400000005"/>
    <n v="6.5"/>
    <n v="50.541401273885342"/>
    <n v="2006.2471773598797"/>
    <n v="518.37412278982595"/>
    <n v="103674.82455796518"/>
    <n v="67.099056272059684"/>
    <x v="533"/>
  </r>
  <r>
    <x v="28"/>
    <x v="24"/>
    <n v="0.56193137999999998"/>
    <n v="0.57808694400000005"/>
    <n v="6.5"/>
    <n v="62.229299363057322"/>
    <n v="3041.4431559479203"/>
    <n v="778.03994115585135"/>
    <n v="155607.98823117028"/>
    <n v="97.084749657186904"/>
    <x v="534"/>
  </r>
  <r>
    <x v="28"/>
    <x v="24"/>
    <n v="0.56193137999999998"/>
    <n v="0.57808694400000005"/>
    <n v="7"/>
    <n v="42.834394904458598"/>
    <n v="1441.0370730456295"/>
    <n v="403.45518616052715"/>
    <n v="80691.037232105431"/>
    <n v="53.937941977362165"/>
    <x v="535"/>
  </r>
  <r>
    <x v="28"/>
    <x v="24"/>
    <n v="0.56193137999999998"/>
    <n v="0.57808694400000005"/>
    <n v="6"/>
    <n v="28.152866242038218"/>
    <n v="622.49392183852933"/>
    <n v="152.99039221587407"/>
    <n v="30598.078443174814"/>
    <n v="25.629961430483995"/>
    <x v="536"/>
  </r>
  <r>
    <x v="28"/>
    <x v="36"/>
    <n v="0.39984676499999999"/>
    <n v="0.450333333"/>
    <n v="9"/>
    <n v="20.445859872611464"/>
    <n v="328.3224964689702"/>
    <n v="95.390852687955942"/>
    <n v="19078.170537591188"/>
    <n v="22.153745356809605"/>
    <x v="537"/>
  </r>
  <r>
    <x v="28"/>
    <x v="36"/>
    <n v="0.39984676499999999"/>
    <n v="0.450333333"/>
    <n v="9"/>
    <n v="30.668789808917197"/>
    <n v="738.72561705518297"/>
    <n v="210.49261747088269"/>
    <n v="42098.523494176537"/>
    <n v="38.613802052821619"/>
    <x v="538"/>
  </r>
  <r>
    <x v="28"/>
    <x v="9"/>
    <n v="0.43836446099999998"/>
    <n v="0.58666666700000003"/>
    <n v="5"/>
    <n v="7.2292993630573257"/>
    <n v="41.047083007127192"/>
    <n v="9.143566084648894"/>
    <n v="1828.7132169297788"/>
    <n v="9.9002984624122679"/>
    <x v="539"/>
  </r>
  <r>
    <x v="28"/>
    <x v="9"/>
    <n v="0.43836446099999998"/>
    <n v="0.58666666700000003"/>
    <n v="3"/>
    <n v="6.401273885350319"/>
    <n v="32.182716539636814"/>
    <n v="4.3799329209467111"/>
    <n v="875.98658418934224"/>
    <n v="9.4159512272303125"/>
    <x v="540"/>
  </r>
  <r>
    <x v="28"/>
    <x v="9"/>
    <n v="0.43836446099999998"/>
    <n v="0.58666666700000003"/>
    <n v="6.5"/>
    <n v="2.9617834394904459"/>
    <n v="6.8896392502987247"/>
    <n v="2.0693815001634972"/>
    <n v="413.87630003269942"/>
    <n v="9.1852666659905058"/>
    <x v="541"/>
  </r>
  <r>
    <x v="28"/>
    <x v="30"/>
    <n v="0.57917600000000002"/>
    <n v="0.60285714300000004"/>
    <n v="8"/>
    <n v="43.121019108280258"/>
    <n v="1460.3868507111408"/>
    <n v="485.10205733005182"/>
    <n v="97020.411466010366"/>
    <n v="61.049524090226789"/>
    <x v="542"/>
  </r>
  <r>
    <x v="28"/>
    <x v="55"/>
    <n v="0.77"/>
    <n v="0.77"/>
    <n v="6"/>
    <n v="5.2547770700636942"/>
    <n v="21.68694977331284"/>
    <n v="7.6423622309832684"/>
    <n v="1528.4724461966537"/>
    <n v="9.5655663231774106"/>
    <x v="543"/>
  </r>
  <r>
    <x v="28"/>
    <x v="55"/>
    <n v="0.77"/>
    <n v="0.77"/>
    <n v="3.8"/>
    <n v="4.6178343949044587"/>
    <n v="16.748140274890819"/>
    <n v="3.8026159859632505"/>
    <n v="760.52319719265006"/>
    <n v="9.2693144468335422"/>
    <x v="544"/>
  </r>
  <r>
    <x v="28"/>
    <x v="55"/>
    <n v="0.77"/>
    <n v="0.77"/>
    <n v="5.5"/>
    <n v="10.859872611464969"/>
    <n v="92.627372142905088"/>
    <n v="28.9570203740249"/>
    <n v="5791.4040748049802"/>
    <n v="11.255984037892004"/>
    <x v="545"/>
  </r>
  <r>
    <x v="29"/>
    <x v="49"/>
    <n v="0.86"/>
    <n v="0.65666666699999998"/>
    <n v="5"/>
    <n v="12.547770700636942"/>
    <n v="123.65823085436149"/>
    <n v="29.94611118817684"/>
    <n v="5989.2222376353684"/>
    <n v="11.741014617225851"/>
    <x v="546"/>
  </r>
  <r>
    <x v="29"/>
    <x v="12"/>
    <n v="0.80908761900000004"/>
    <n v="0.87473809499999999"/>
    <n v="7"/>
    <n v="42.547770700636939"/>
    <n v="1421.8163416928189"/>
    <n v="596.58351977458847"/>
    <n v="119316.7039549177"/>
    <n v="53.338363394052493"/>
    <x v="547"/>
  </r>
  <r>
    <x v="29"/>
    <x v="12"/>
    <n v="0.80908761900000004"/>
    <n v="0.87473809499999999"/>
    <n v="8"/>
    <n v="30.031847133757964"/>
    <n v="708.35990446165931"/>
    <n v="344.30553965396814"/>
    <n v="68861.107930793631"/>
    <n v="34.239231583431383"/>
    <x v="548"/>
  </r>
  <r>
    <x v="29"/>
    <x v="12"/>
    <n v="0.80908761900000004"/>
    <n v="0.87473809499999999"/>
    <n v="4.5"/>
    <n v="12.006369426751593"/>
    <n v="113.21742825826193"/>
    <n v="32.797073098309212"/>
    <n v="6559.4146196618431"/>
    <n v="11.256108282283257"/>
    <x v="549"/>
  </r>
  <r>
    <x v="29"/>
    <x v="44"/>
    <n v="0.77800000000000002"/>
    <n v="0.77386111099999999"/>
    <n v="6"/>
    <n v="8.8216560509554132"/>
    <n v="61.120953871681195"/>
    <n v="21.112498452774012"/>
    <n v="4222.4996905548023"/>
    <n v="10.619953925108522"/>
    <x v="550"/>
  </r>
  <r>
    <x v="29"/>
    <x v="57"/>
    <n v="0.80803492399999999"/>
    <n v="0.87275320499999998"/>
    <n v="5"/>
    <n v="8.4713375796178347"/>
    <n v="56.362968527475616"/>
    <n v="18.360399538851457"/>
    <n v="3672.0799077702914"/>
    <n v="10.241562306787294"/>
    <x v="551"/>
  </r>
  <r>
    <x v="29"/>
    <x v="39"/>
    <n v="0.41"/>
    <n v="0.33983503399999998"/>
    <n v="8"/>
    <n v="7.7388535031847132"/>
    <n v="47.037380979406791"/>
    <n v="9.6971782284364458"/>
    <n v="1939.435645687289"/>
    <n v="10.66261589922512"/>
    <x v="552"/>
  </r>
  <r>
    <x v="29"/>
    <x v="34"/>
    <n v="0.53"/>
    <n v="0.54764999999999997"/>
    <n v="5"/>
    <n v="8.0573248407643305"/>
    <n v="50.988428578144408"/>
    <n v="10.565094611314061"/>
    <n v="2113.0189222628123"/>
    <n v="10.121808462817963"/>
    <x v="553"/>
  </r>
  <r>
    <x v="29"/>
    <x v="35"/>
    <n v="0.52500000000000002"/>
    <n v="0.52500000000000002"/>
    <n v="6.5"/>
    <n v="24.458598726114648"/>
    <n v="469.84328606407604"/>
    <n v="114.42275728321081"/>
    <n v="22884.551456642163"/>
    <n v="22.595274424925957"/>
    <x v="554"/>
  </r>
  <r>
    <x v="29"/>
    <x v="36"/>
    <n v="0.39984676499999999"/>
    <n v="0.450333333"/>
    <n v="11"/>
    <n v="21.656050955414013"/>
    <n v="368.33959872102326"/>
    <n v="129.81184580417002"/>
    <n v="25962.369160834005"/>
    <n v="27.0416049048643"/>
    <x v="555"/>
  </r>
  <r>
    <x v="29"/>
    <x v="36"/>
    <n v="0.39984676499999999"/>
    <n v="0.450333333"/>
    <n v="11"/>
    <n v="28.949044585987263"/>
    <n v="658.20071792994338"/>
    <n v="228.75659718339375"/>
    <n v="45751.31943667875"/>
    <n v="41.250516523996922"/>
    <x v="556"/>
  </r>
  <r>
    <x v="29"/>
    <x v="36"/>
    <n v="0.39984676499999999"/>
    <n v="0.450333333"/>
    <n v="7"/>
    <n v="40.955414012738856"/>
    <n v="1317.3844182665084"/>
    <n v="289.67547291214697"/>
    <n v="57935.094582429403"/>
    <n v="50.080675455393738"/>
    <x v="557"/>
  </r>
  <r>
    <x v="29"/>
    <x v="23"/>
    <n v="0.590536375"/>
    <n v="0.61247410899999999"/>
    <n v="6"/>
    <n v="26.146496815286621"/>
    <n v="536.92904727836765"/>
    <n v="140.11333914984692"/>
    <n v="28022.667829969385"/>
    <n v="23.342125209947664"/>
    <x v="558"/>
  </r>
  <r>
    <x v="29"/>
    <x v="30"/>
    <n v="0.57917600000000002"/>
    <n v="0.60285714300000004"/>
    <n v="4"/>
    <n v="5.5732484076433115"/>
    <n v="24.395329175673304"/>
    <n v="4.5448387478529257"/>
    <n v="908.96774957058517"/>
    <n v="9.4205553693861823"/>
    <x v="559"/>
  </r>
  <r>
    <x v="29"/>
    <x v="55"/>
    <n v="0.77"/>
    <n v="0.77"/>
    <n v="3.5"/>
    <n v="5.4777070063694264"/>
    <n v="23.566087129244703"/>
    <n v="4.8976221748508264"/>
    <n v="979.5244349701652"/>
    <n v="9.3532646070834513"/>
    <x v="560"/>
  </r>
  <r>
    <x v="30"/>
    <x v="49"/>
    <n v="0.86"/>
    <n v="0.65666666699999998"/>
    <n v="6.5"/>
    <n v="24.394904458598724"/>
    <n v="467.39937194453432"/>
    <n v="141.62994220683498"/>
    <n v="28325.988441367001"/>
    <n v="22.524483520629637"/>
    <x v="561"/>
  </r>
  <r>
    <x v="30"/>
    <x v="49"/>
    <n v="0.86"/>
    <n v="0.65666666699999998"/>
    <n v="7"/>
    <n v="11.687898089171975"/>
    <n v="107.29085686015551"/>
    <n v="36.206031756514591"/>
    <n v="7241.2063513029179"/>
    <n v="12.332570562700312"/>
    <x v="562"/>
  </r>
  <r>
    <x v="30"/>
    <x v="12"/>
    <n v="0.80908761900000004"/>
    <n v="0.87473809499999999"/>
    <n v="4.5"/>
    <n v="18.02547770700637"/>
    <n v="255.18987994782037"/>
    <n v="72.496066945019692"/>
    <n v="14499.213389003937"/>
    <n v="14.103156083411092"/>
    <x v="563"/>
  </r>
  <r>
    <x v="30"/>
    <x v="12"/>
    <n v="0.80908761900000004"/>
    <n v="0.87473809499999999"/>
    <n v="8"/>
    <n v="14.840764331210192"/>
    <n v="172.98259926440858"/>
    <n v="86.973409494316442"/>
    <n v="17394.681898863288"/>
    <n v="15.15265200616658"/>
    <x v="564"/>
  </r>
  <r>
    <x v="30"/>
    <x v="12"/>
    <n v="0.80908761900000004"/>
    <n v="0.87473809499999999"/>
    <n v="7"/>
    <n v="17.929936305732483"/>
    <n v="252.49185611376296"/>
    <n v="110.43060018826704"/>
    <n v="22086.120037653407"/>
    <n v="16.862024090226782"/>
    <x v="565"/>
  </r>
  <r>
    <x v="30"/>
    <x v="12"/>
    <n v="0.80908761900000004"/>
    <n v="0.87473809499999999"/>
    <n v="8"/>
    <n v="17.101910828025478"/>
    <n v="229.70960584684852"/>
    <n v="114.71150871212161"/>
    <n v="22942.301742424323"/>
    <n v="17.175009911152582"/>
    <x v="566"/>
  </r>
  <r>
    <x v="30"/>
    <x v="57"/>
    <n v="0.80803492399999999"/>
    <n v="0.87275320499999998"/>
    <n v="9"/>
    <n v="15.477707006369426"/>
    <n v="188.14952391762716"/>
    <n v="105.67521387948651"/>
    <n v="21135.042775897302"/>
    <n v="16.531821546513044"/>
    <x v="567"/>
  </r>
  <r>
    <x v="30"/>
    <x v="53"/>
    <n v="0.6"/>
    <n v="0.66674999999999995"/>
    <n v="5.5"/>
    <n v="5.5414012738853495"/>
    <n v="24.117321995842772"/>
    <n v="6.7661624488402738"/>
    <n v="1353.2324897680548"/>
    <n v="9.5768122155056989"/>
    <x v="568"/>
  </r>
  <r>
    <x v="30"/>
    <x v="2"/>
    <n v="0.47982689899999997"/>
    <n v="0.51"/>
    <n v="3"/>
    <n v="7.9617834394904454"/>
    <n v="49.786386072802657"/>
    <n v="5.8485219553870094"/>
    <n v="1169.7043910774019"/>
    <n v="9.6512949531421146"/>
    <x v="569"/>
  </r>
  <r>
    <x v="30"/>
    <x v="2"/>
    <n v="0.47982689899999997"/>
    <n v="0.51"/>
    <n v="5"/>
    <n v="6.4649681528662422"/>
    <n v="32.826354938786004"/>
    <n v="6.4124482503266629"/>
    <n v="1282.4896500653326"/>
    <n v="9.7171267313075571"/>
    <x v="570"/>
  </r>
  <r>
    <x v="30"/>
    <x v="34"/>
    <n v="0.53"/>
    <n v="0.54764999999999997"/>
    <n v="5.5"/>
    <n v="6.1464968152866239"/>
    <n v="29.67188951721322"/>
    <n v="6.8357986361061354"/>
    <n v="1367.1597272212271"/>
    <n v="9.7129538946813252"/>
    <x v="571"/>
  </r>
  <r>
    <x v="30"/>
    <x v="34"/>
    <n v="0.53"/>
    <n v="0.54764999999999997"/>
    <n v="4.5"/>
    <n v="8.2165605095541405"/>
    <n v="53.023696040800587"/>
    <n v="9.9038599063271544"/>
    <n v="1980.7719812654309"/>
    <n v="10.049011899062842"/>
    <x v="572"/>
  </r>
  <r>
    <x v="30"/>
    <x v="36"/>
    <n v="0.39984676499999999"/>
    <n v="0.450333333"/>
    <n v="8"/>
    <n v="14.745222929936304"/>
    <n v="170.76252473665011"/>
    <n v="44.924948578259993"/>
    <n v="8984.9897156519983"/>
    <n v="15.073504779098542"/>
    <x v="573"/>
  </r>
  <r>
    <x v="30"/>
    <x v="9"/>
    <n v="0.43836446099999998"/>
    <n v="0.58666666700000003"/>
    <n v="5"/>
    <n v="10.445859872611464"/>
    <n v="85.699496948102421"/>
    <n v="18.755941856893966"/>
    <n v="3751.1883713787929"/>
    <n v="10.895229798369101"/>
    <x v="574"/>
  </r>
  <r>
    <x v="30"/>
    <x v="30"/>
    <n v="0.57917600000000002"/>
    <n v="0.60285714300000004"/>
    <n v="6"/>
    <n v="10.286624203821654"/>
    <n v="83.106621961430847"/>
    <n v="22.332461827792187"/>
    <n v="4466.4923655584371"/>
    <n v="11.207807387723639"/>
    <x v="575"/>
  </r>
  <r>
    <x v="30"/>
    <x v="30"/>
    <n v="0.57917600000000002"/>
    <n v="0.60285714300000004"/>
    <n v="5"/>
    <n v="9.3949044585987256"/>
    <n v="69.322563967770421"/>
    <n v="15.659754734631555"/>
    <n v="3131.9509469263112"/>
    <n v="10.530324021258469"/>
    <x v="576"/>
  </r>
  <r>
    <x v="30"/>
    <x v="30"/>
    <n v="0.57917600000000002"/>
    <n v="0.60285714300000004"/>
    <n v="6.5"/>
    <n v="4.8726114649681529"/>
    <n v="18.647192185251804"/>
    <n v="5.6158922351525495"/>
    <n v="1123.1784470305099"/>
    <n v="9.5258382916142637"/>
    <x v="577"/>
  </r>
  <r>
    <x v="30"/>
    <x v="30"/>
    <n v="0.57917600000000002"/>
    <n v="0.60285714300000004"/>
    <n v="5"/>
    <n v="7.4203821656050959"/>
    <n v="43.245649816102144"/>
    <n v="9.8803229090113032"/>
    <n v="1976.0645818022608"/>
    <n v="9.949286250963528"/>
    <x v="578"/>
  </r>
  <r>
    <x v="30"/>
    <x v="30"/>
    <n v="0.57917600000000002"/>
    <n v="0.60285714300000004"/>
    <n v="7"/>
    <n v="14.745222929936304"/>
    <n v="170.76252473665011"/>
    <n v="52.423672023124055"/>
    <n v="10484.734404624811"/>
    <n v="14.312529181711223"/>
    <x v="579"/>
  </r>
  <r>
    <x v="31"/>
    <x v="49"/>
    <n v="0.86"/>
    <n v="0.65666666699999998"/>
    <n v="6"/>
    <n v="8.3757961783439487"/>
    <n v="55.098792612315002"/>
    <n v="16.254227161409638"/>
    <n v="3250.8454322819275"/>
    <n v="10.458933194044382"/>
    <x v="580"/>
  </r>
  <r>
    <x v="31"/>
    <x v="49"/>
    <n v="0.86"/>
    <n v="0.65666666699999998"/>
    <n v="6.5"/>
    <n v="7.1656050955414008"/>
    <n v="40.326972718970154"/>
    <n v="12.959874470230938"/>
    <n v="2591.9748940461877"/>
    <n v="10.153819142764412"/>
    <x v="581"/>
  </r>
  <r>
    <x v="31"/>
    <x v="39"/>
    <n v="0.41"/>
    <n v="0.33983503399999998"/>
    <n v="6"/>
    <n v="5.2547770700636942"/>
    <n v="21.68694977331284"/>
    <n v="3.4397777572366404"/>
    <n v="687.95555144732805"/>
    <n v="9.5655663231774106"/>
    <x v="543"/>
  </r>
  <r>
    <x v="31"/>
    <x v="60"/>
    <n v="0.60413333300000005"/>
    <n v="0.60831666699999998"/>
    <n v="10"/>
    <n v="21.146496815286625"/>
    <n v="351.20989558327051"/>
    <n v="151.42273445988104"/>
    <n v="30284.546891976206"/>
    <n v="24.63680146456246"/>
    <x v="582"/>
  </r>
  <r>
    <x v="31"/>
    <x v="46"/>
    <n v="0.55560299999999996"/>
    <n v="0.55961111100000005"/>
    <n v="3"/>
    <n v="6.1783439490445851"/>
    <n v="29.980166819776009"/>
    <n v="3.9030558833443703"/>
    <n v="780.61117666887401"/>
    <n v="9.3865053065033059"/>
    <x v="583"/>
  </r>
  <r>
    <x v="31"/>
    <x v="46"/>
    <n v="0.55560299999999996"/>
    <n v="0.55961111100000005"/>
    <n v="4"/>
    <n v="8.1210191082802545"/>
    <n v="51.79775607014389"/>
    <n v="8.8129728418816438"/>
    <n v="1762.5945683763287"/>
    <n v="9.9090133189987419"/>
    <x v="584"/>
  </r>
  <r>
    <x v="31"/>
    <x v="36"/>
    <n v="0.39984676499999999"/>
    <n v="0.450333333"/>
    <n v="11"/>
    <n v="27.898089171974519"/>
    <n v="611.27804478404812"/>
    <n v="212.82612750493516"/>
    <n v="42565.225500987035"/>
    <n v="38.950380108726513"/>
    <x v="585"/>
  </r>
  <r>
    <x v="31"/>
    <x v="36"/>
    <n v="0.39984676499999999"/>
    <n v="0.450333333"/>
    <n v="7"/>
    <n v="11.656050955414013"/>
    <n v="106.70696212429367"/>
    <n v="24.922317970782839"/>
    <n v="4984.4635941565675"/>
    <n v="12.314356334942595"/>
    <x v="524"/>
  </r>
  <r>
    <x v="31"/>
    <x v="36"/>
    <n v="0.39984676499999999"/>
    <n v="0.450333333"/>
    <n v="8"/>
    <n v="23.216560509554142"/>
    <n v="423.33642881466125"/>
    <n v="108.9726794278079"/>
    <n v="21794.535885561581"/>
    <n v="24.077943093026089"/>
    <x v="586"/>
  </r>
  <r>
    <x v="31"/>
    <x v="36"/>
    <n v="0.39984676499999999"/>
    <n v="0.450333333"/>
    <n v="7.5"/>
    <n v="45.06369426751592"/>
    <n v="1594.9367496738769"/>
    <n v="373.41695274956243"/>
    <n v="74683.390549912496"/>
    <n v="62.292534202198866"/>
    <x v="587"/>
  </r>
  <r>
    <x v="31"/>
    <x v="36"/>
    <n v="0.39984676499999999"/>
    <n v="0.450333333"/>
    <n v="7.5"/>
    <n v="27.229299363057322"/>
    <n v="582.32148606192902"/>
    <n v="139.67391806329971"/>
    <n v="27934.78361265994"/>
    <n v="28.44836202482859"/>
    <x v="588"/>
  </r>
  <r>
    <x v="31"/>
    <x v="36"/>
    <n v="0.39984676499999999"/>
    <n v="0.450333333"/>
    <n v="8"/>
    <n v="20"/>
    <n v="314.15926535897933"/>
    <n v="81.44993063537575"/>
    <n v="16289.986127075152"/>
    <n v="20.185700000000001"/>
    <x v="589"/>
  </r>
  <r>
    <x v="31"/>
    <x v="36"/>
    <n v="0.39984676499999999"/>
    <n v="0.450333333"/>
    <n v="7.5"/>
    <n v="14.108280254777069"/>
    <n v="156.32845568642318"/>
    <n v="38.698803141352187"/>
    <n v="7739.7606282704382"/>
    <n v="14.210593758367478"/>
    <x v="590"/>
  </r>
  <r>
    <x v="31"/>
    <x v="9"/>
    <n v="0.43836446099999998"/>
    <n v="0.58666666700000003"/>
    <n v="4"/>
    <n v="3.9171974522292996"/>
    <n v="12.051491758326906"/>
    <n v="2.2236362209381908"/>
    <n v="444.72724418763818"/>
    <n v="9.2005221023165245"/>
    <x v="591"/>
  </r>
  <r>
    <x v="31"/>
    <x v="41"/>
    <n v="0.693333333"/>
    <n v="0.64166666699999997"/>
    <n v="6"/>
    <n v="6.8789808917197455"/>
    <n v="37.165338057802906"/>
    <n v="10.82110934846183"/>
    <n v="2164.221869692366"/>
    <n v="9.9794279402815533"/>
    <x v="592"/>
  </r>
  <r>
    <x v="31"/>
    <x v="55"/>
    <n v="0.77"/>
    <n v="0.77"/>
    <n v="6"/>
    <n v="8.0573248407643305"/>
    <n v="50.988428578144408"/>
    <n v="17.603142986294174"/>
    <n v="3520.6285972588348"/>
    <n v="10.349030155381557"/>
    <x v="593"/>
  </r>
  <r>
    <x v="32"/>
    <x v="12"/>
    <n v="0.80908761900000004"/>
    <n v="0.87473809499999999"/>
    <n v="12"/>
    <n v="82.22993630573248"/>
    <n v="5310.6757898029991"/>
    <n v="3653.4855825849695"/>
    <n v="608914.26376416162"/>
    <n v="292.97972184348248"/>
    <x v="594"/>
  </r>
  <r>
    <x v="32"/>
    <x v="23"/>
    <n v="0.590536375"/>
    <n v="0.61247410899999999"/>
    <n v="7"/>
    <n v="10.605095541401273"/>
    <n v="88.33220104363221"/>
    <n v="27.979042694914032"/>
    <n v="4663.1737824856718"/>
    <n v="11.741167260335104"/>
    <x v="595"/>
  </r>
  <r>
    <x v="32"/>
    <x v="23"/>
    <n v="0.590536375"/>
    <n v="0.61247410899999999"/>
    <n v="8"/>
    <n v="11.656050955414013"/>
    <n v="106.70696212429367"/>
    <n v="38.329832916554771"/>
    <n v="6388.3054860924613"/>
    <n v="12.789878668505821"/>
    <x v="596"/>
  </r>
  <r>
    <x v="32"/>
    <x v="23"/>
    <n v="0.590536375"/>
    <n v="0.61247410899999999"/>
    <n v="11"/>
    <n v="16.65605095541401"/>
    <n v="217.88832633772219"/>
    <n v="104.98338640583005"/>
    <n v="17497.231067638342"/>
    <n v="19.666525287029899"/>
    <x v="597"/>
  </r>
  <r>
    <x v="32"/>
    <x v="23"/>
    <n v="0.590536375"/>
    <n v="0.61247410899999999"/>
    <n v="11"/>
    <n v="17.32484076433121"/>
    <n v="235.73734318145486"/>
    <n v="113.36900449229465"/>
    <n v="18894.83408204911"/>
    <n v="20.54147913911315"/>
    <x v="598"/>
  </r>
  <r>
    <x v="32"/>
    <x v="23"/>
    <n v="0.590536375"/>
    <n v="0.61247410899999999"/>
    <n v="10"/>
    <n v="19.904458598726112"/>
    <n v="311.16491295501663"/>
    <n v="135.44526086930338"/>
    <n v="22574.210144883895"/>
    <n v="22.85226152379407"/>
    <x v="599"/>
  </r>
  <r>
    <x v="32"/>
    <x v="23"/>
    <n v="0.590536375"/>
    <n v="0.61247410899999999"/>
    <n v="7"/>
    <n v="36.136942675159233"/>
    <n v="1025.634674407926"/>
    <n v="306.30178399601749"/>
    <n v="51050.297332669579"/>
    <n v="40.979726334739745"/>
    <x v="600"/>
  </r>
  <r>
    <x v="32"/>
    <x v="23"/>
    <n v="0.590536375"/>
    <n v="0.61247410899999999"/>
    <n v="8"/>
    <n v="43.436305732484072"/>
    <n v="1481.820654634372"/>
    <n v="499.70919954598992"/>
    <n v="83284.866590998325"/>
    <n v="61.813654359203206"/>
    <x v="601"/>
  </r>
  <r>
    <x v="32"/>
    <x v="23"/>
    <n v="0.590536375"/>
    <n v="0.61247410899999999"/>
    <n v="8"/>
    <n v="49.803184713375792"/>
    <n v="1948.0679954144443"/>
    <n v="652.64108356207942"/>
    <n v="108773.51392701325"/>
    <n v="78.435701812649583"/>
    <x v="602"/>
  </r>
  <r>
    <x v="32"/>
    <x v="62"/>
    <n v="0.53168696000000004"/>
    <n v="0.61247410899999999"/>
    <n v="9"/>
    <n v="17.101910828025478"/>
    <n v="229.70960584684852"/>
    <n v="90.877530080108329"/>
    <n v="15146.255013351389"/>
    <n v="18.198673650046654"/>
    <x v="603"/>
  </r>
  <r>
    <x v="32"/>
    <x v="62"/>
    <n v="0.53168696000000004"/>
    <n v="0.61247410899999999"/>
    <n v="13"/>
    <n v="32.00636942675159"/>
    <n v="804.56791349092009"/>
    <n v="442.22458651182421"/>
    <n v="73704.097751970708"/>
    <n v="55.5962496166173"/>
    <x v="604"/>
  </r>
  <r>
    <x v="33"/>
    <x v="12"/>
    <n v="0.80908761900000004"/>
    <n v="0.87473809499999999"/>
    <n v="11"/>
    <n v="21.178343949044585"/>
    <n v="352.26855329672253"/>
    <n v="237.59017153989205"/>
    <n v="39598.361923315344"/>
    <n v="26.253806718325286"/>
    <x v="605"/>
  </r>
  <r>
    <x v="33"/>
    <x v="43"/>
    <n v="0.62643652800000005"/>
    <n v="0.57808694400000005"/>
    <n v="4"/>
    <n v="4.2038216560509554"/>
    <n v="13.879647854920218"/>
    <n v="2.5158490589046738"/>
    <n v="419.30817648411227"/>
    <n v="9.2331096312223622"/>
    <x v="606"/>
  </r>
  <r>
    <x v="33"/>
    <x v="43"/>
    <n v="0.62643652800000005"/>
    <n v="0.57808694400000005"/>
    <n v="4.5"/>
    <n v="16.898089171974522"/>
    <n v="224.26684659986489"/>
    <n v="42.657440460861892"/>
    <n v="7109.5734101436492"/>
    <n v="13.483040328208041"/>
    <x v="607"/>
  </r>
  <r>
    <x v="33"/>
    <x v="43"/>
    <n v="0.62643652800000005"/>
    <n v="0.57808694400000005"/>
    <n v="5.5"/>
    <n v="28.283439490445858"/>
    <n v="628.28157727075984"/>
    <n v="141.80948232728588"/>
    <n v="23634.91372121431"/>
    <n v="24.384794276136958"/>
    <x v="608"/>
  </r>
  <r>
    <x v="33"/>
    <x v="23"/>
    <n v="0.590536375"/>
    <n v="0.61247410899999999"/>
    <n v="7"/>
    <n v="19.108280254777068"/>
    <n v="286.76958377934329"/>
    <n v="88.302489536715541"/>
    <n v="14717.081589452589"/>
    <n v="17.931296170230027"/>
    <x v="609"/>
  </r>
  <r>
    <x v="33"/>
    <x v="23"/>
    <n v="0.590536375"/>
    <n v="0.61247410899999999"/>
    <n v="11"/>
    <n v="26.656050955414013"/>
    <n v="558.06077927419665"/>
    <n v="262.88473881855384"/>
    <n v="43814.123136425645"/>
    <n v="36.341684522698692"/>
    <x v="610"/>
  </r>
  <r>
    <x v="33"/>
    <x v="23"/>
    <n v="0.590536375"/>
    <n v="0.61247410899999999"/>
    <n v="8"/>
    <n v="37.680254777070061"/>
    <n v="1115.1095690797395"/>
    <n v="378.61927355031207"/>
    <n v="63103.212258385349"/>
    <n v="48.740144801817515"/>
    <x v="611"/>
  </r>
  <r>
    <x v="33"/>
    <x v="23"/>
    <n v="0.590536375"/>
    <n v="0.61247410899999999"/>
    <n v="9"/>
    <n v="51.072611464968155"/>
    <n v="2048.6417128947664"/>
    <n v="769.0179644533215"/>
    <n v="128169.66074222025"/>
    <n v="91.150666718325283"/>
    <x v="612"/>
  </r>
  <r>
    <x v="33"/>
    <x v="48"/>
    <n v="0.39"/>
    <n v="0.28861111099999998"/>
    <n v="5"/>
    <n v="8.1210191082802545"/>
    <n v="51.79775607014389"/>
    <n v="5.7416283964780446"/>
    <n v="956.93806607967406"/>
    <n v="10.139841648748428"/>
    <x v="613"/>
  </r>
  <r>
    <x v="33"/>
    <x v="48"/>
    <n v="0.39"/>
    <n v="0.28861111099999998"/>
    <n v="6"/>
    <n v="8.4713375796178347"/>
    <n v="56.362968527475616"/>
    <n v="7.4493520606772137"/>
    <n v="1241.5586767795355"/>
    <n v="10.492734768144752"/>
    <x v="614"/>
  </r>
  <r>
    <x v="33"/>
    <x v="48"/>
    <n v="0.39"/>
    <n v="0.28861111099999998"/>
    <n v="4"/>
    <n v="8.6942675159235669"/>
    <n v="59.368473081918566"/>
    <n v="5.2756255543509862"/>
    <n v="879.27092572516437"/>
    <n v="10.043964026938212"/>
    <x v="432"/>
  </r>
  <r>
    <x v="33"/>
    <x v="48"/>
    <n v="0.39"/>
    <n v="0.28861111099999998"/>
    <n v="6"/>
    <n v="8.7579617834394909"/>
    <n v="60.241527148091237"/>
    <n v="7.9492647871924085"/>
    <n v="1324.877464532068"/>
    <n v="10.596439786603918"/>
    <x v="615"/>
  </r>
  <r>
    <x v="33"/>
    <x v="48"/>
    <n v="0.39"/>
    <n v="0.28861111099999998"/>
    <n v="5"/>
    <n v="9.2356687898089174"/>
    <n v="66.992561099563275"/>
    <n v="7.3802239551130695"/>
    <n v="1230.0373258521784"/>
    <n v="10.478407614913383"/>
    <x v="616"/>
  </r>
  <r>
    <x v="33"/>
    <x v="48"/>
    <n v="0.39"/>
    <n v="0.28861111099999998"/>
    <n v="3"/>
    <n v="10.414012738853504"/>
    <n v="85.177735622059473"/>
    <n v="5.6668469382309388"/>
    <n v="944.47448970515643"/>
    <n v="10.124442443912532"/>
    <x v="617"/>
  </r>
  <r>
    <x v="33"/>
    <x v="48"/>
    <n v="0.39"/>
    <n v="0.28861111099999998"/>
    <n v="4.5"/>
    <n v="10.923566878980891"/>
    <n v="93.717096561266558"/>
    <n v="9.240669985712147"/>
    <n v="1540.1116642853578"/>
    <n v="10.865057935413201"/>
    <x v="618"/>
  </r>
  <r>
    <x v="33"/>
    <x v="48"/>
    <n v="0.39"/>
    <n v="0.28861111099999998"/>
    <n v="5"/>
    <n v="28.938853503184713"/>
    <n v="657.73737985257094"/>
    <n v="68.594115615264116"/>
    <n v="11432.352602544021"/>
    <n v="23.641201736378758"/>
    <x v="619"/>
  </r>
  <r>
    <x v="33"/>
    <x v="48"/>
    <n v="0.39"/>
    <n v="0.28861111099999998"/>
    <n v="4.8"/>
    <n v="30.788535031847132"/>
    <n v="744.50553576267612"/>
    <n v="74.388777591164057"/>
    <n v="12398.129598527345"/>
    <n v="24.910989342042271"/>
    <x v="620"/>
  </r>
  <r>
    <x v="33"/>
    <x v="63"/>
    <n v="0.470857311"/>
    <n v="0.375"/>
    <n v="7"/>
    <n v="6.7515923566878975"/>
    <n v="35.801589370496679"/>
    <n v="7.1793676876723653"/>
    <n v="1196.5612812787276"/>
    <n v="10.102507984096718"/>
    <x v="621"/>
  </r>
  <r>
    <x v="34"/>
    <x v="12"/>
    <n v="0.80908761900000004"/>
    <n v="0.87473809499999999"/>
    <n v="8"/>
    <n v="6.7515923566878975"/>
    <n v="35.801589370496679"/>
    <n v="18.694109687881372"/>
    <n v="3115.684947980229"/>
    <n v="10.26205198182482"/>
    <x v="622"/>
  </r>
  <r>
    <x v="34"/>
    <x v="12"/>
    <n v="0.80908761900000004"/>
    <n v="0.87473809499999999"/>
    <n v="9"/>
    <n v="12.802547770700638"/>
    <n v="128.73086615854726"/>
    <n v="73.125913363358706"/>
    <n v="12187.65222722645"/>
    <n v="14.148714726763764"/>
    <x v="623"/>
  </r>
  <r>
    <x v="34"/>
    <x v="12"/>
    <n v="0.80908761900000004"/>
    <n v="0.87473809499999999"/>
    <n v="10"/>
    <n v="15.987261146496815"/>
    <n v="200.74189497424902"/>
    <n v="125.04174178630221"/>
    <n v="20840.290297717034"/>
    <n v="17.931438163820033"/>
    <x v="624"/>
  </r>
  <r>
    <x v="34"/>
    <x v="12"/>
    <n v="0.80908761900000004"/>
    <n v="0.87473809499999999"/>
    <n v="11"/>
    <n v="24.076433121019104"/>
    <n v="455.27539120808535"/>
    <n v="305.17936447512142"/>
    <n v="50863.227412520238"/>
    <n v="31.303173325489873"/>
    <x v="625"/>
  </r>
  <r>
    <x v="34"/>
    <x v="12"/>
    <n v="0.80908761900000004"/>
    <n v="0.87473809499999999"/>
    <n v="12"/>
    <n v="77.064331210191085"/>
    <n v="4664.4099057647009"/>
    <n v="3218.8948622323383"/>
    <n v="536482.47703872307"/>
    <n v="258.41996808470935"/>
    <x v="626"/>
  </r>
  <r>
    <x v="34"/>
    <x v="12"/>
    <n v="0.80908761900000004"/>
    <n v="0.87473809499999999"/>
    <n v="12"/>
    <n v="77.108917197452229"/>
    <n v="4669.8087064208203"/>
    <n v="3222.5310907008184"/>
    <n v="537088.515116803"/>
    <n v="258.70867467726885"/>
    <x v="627"/>
  </r>
  <r>
    <x v="34"/>
    <x v="53"/>
    <n v="0.6"/>
    <n v="0.66674999999999995"/>
    <n v="8"/>
    <n v="8.4394904458598727"/>
    <n v="55.939983391401071"/>
    <n v="22.171142647711353"/>
    <n v="3695.1904412852255"/>
    <n v="10.979999971601281"/>
    <x v="628"/>
  </r>
  <r>
    <x v="34"/>
    <x v="36"/>
    <n v="0.39984676499999999"/>
    <n v="0.450333333"/>
    <n v="6"/>
    <n v="7.7707006369426743"/>
    <n v="47.425316499686062"/>
    <n v="9.7166873380284784"/>
    <n v="1619.4478896714129"/>
    <n v="10.253759556168607"/>
    <x v="629"/>
  </r>
  <r>
    <x v="34"/>
    <x v="36"/>
    <n v="0.39984676499999999"/>
    <n v="0.450333333"/>
    <n v="7"/>
    <n v="9.7133757961783438"/>
    <n v="74.102057030759482"/>
    <n v="17.459292479338561"/>
    <n v="2909.88207988976"/>
    <n v="11.29726689926569"/>
    <x v="630"/>
  </r>
  <r>
    <x v="34"/>
    <x v="36"/>
    <n v="0.39984676499999999"/>
    <n v="0.450333333"/>
    <n v="7"/>
    <n v="13.439490445859873"/>
    <n v="141.85854043822386"/>
    <n v="32.906618648879373"/>
    <n v="5484.4364414798956"/>
    <n v="13.410887634386789"/>
    <x v="631"/>
  </r>
  <r>
    <x v="34"/>
    <x v="36"/>
    <n v="0.39984676499999999"/>
    <n v="0.450333333"/>
    <n v="7"/>
    <n v="35.994904458598725"/>
    <n v="1017.5878940778152"/>
    <n v="225.14510444380736"/>
    <n v="37524.184073967896"/>
    <n v="40.72871210109944"/>
    <x v="632"/>
  </r>
  <r>
    <x v="34"/>
    <x v="36"/>
    <n v="0.39984676499999999"/>
    <n v="0.450333333"/>
    <n v="8"/>
    <n v="54.08407643312102"/>
    <n v="2297.3582117511933"/>
    <n v="567.84743834262008"/>
    <n v="94641.239723770006"/>
    <n v="90.888145061462936"/>
    <x v="633"/>
  </r>
  <r>
    <x v="34"/>
    <x v="36"/>
    <n v="0.39984676499999999"/>
    <n v="0.450333333"/>
    <n v="10"/>
    <n v="66.27006369426752"/>
    <n v="3449.2498761933789"/>
    <n v="1049.7258241204129"/>
    <n v="174954.30402006881"/>
    <n v="162.6959469714796"/>
    <x v="634"/>
  </r>
  <r>
    <x v="34"/>
    <x v="23"/>
    <n v="0.590536375"/>
    <n v="0.61247410899999999"/>
    <n v="8"/>
    <n v="16.114649681528661"/>
    <n v="203.95371431257763"/>
    <n v="72.131282875153943"/>
    <n v="12021.880479192325"/>
    <n v="16.256794162034971"/>
    <x v="635"/>
  </r>
  <r>
    <x v="34"/>
    <x v="23"/>
    <n v="0.590536375"/>
    <n v="0.61247410899999999"/>
    <n v="11"/>
    <n v="75.277070063694268"/>
    <n v="4450.5665102893199"/>
    <n v="1994.6080074118768"/>
    <n v="332434.66790197947"/>
    <n v="227.15123517891195"/>
    <x v="636"/>
  </r>
  <r>
    <x v="34"/>
    <x v="62"/>
    <n v="0.53168696000000004"/>
    <n v="0.61247410899999999"/>
    <n v="8"/>
    <n v="10.923566878980891"/>
    <n v="93.717096561266558"/>
    <n v="33.768826579627209"/>
    <n v="5628.1377632712019"/>
    <n v="12.326780774067913"/>
    <x v="637"/>
  </r>
  <r>
    <x v="34"/>
    <x v="48"/>
    <n v="0.39"/>
    <n v="0.28861111099999998"/>
    <n v="2.8"/>
    <n v="4.6496815286624198"/>
    <n v="16.979945688445781"/>
    <n v="1.0977841037398965"/>
    <n v="182.96401728998276"/>
    <n v="9.1975714755162485"/>
    <x v="638"/>
  </r>
  <r>
    <x v="34"/>
    <x v="48"/>
    <n v="0.39"/>
    <n v="0.28861111099999998"/>
    <n v="4.8"/>
    <n v="7.8343949044585992"/>
    <n v="48.205967033307623"/>
    <n v="5.1436416159522453"/>
    <n v="857.27360265870755"/>
    <n v="10.016846091119316"/>
    <x v="639"/>
  </r>
  <r>
    <x v="34"/>
    <x v="48"/>
    <n v="0.39"/>
    <n v="0.28861111099999998"/>
    <n v="4.5"/>
    <n v="7.8343949044585992"/>
    <n v="48.205967033307623"/>
    <n v="4.8296389705527076"/>
    <n v="804.9398284254512"/>
    <n v="9.952399460424358"/>
    <x v="640"/>
  </r>
  <r>
    <x v="34"/>
    <x v="48"/>
    <n v="0.39"/>
    <n v="0.28861111099999998"/>
    <n v="2"/>
    <n v="8.3439490445859867"/>
    <n v="54.680586969303455"/>
    <n v="2.4751602459119386"/>
    <n v="412.52670765198974"/>
    <n v="9.473050399610532"/>
    <x v="641"/>
  </r>
  <r>
    <x v="34"/>
    <x v="48"/>
    <n v="0.39"/>
    <n v="0.28861111099999998"/>
    <n v="6"/>
    <n v="8.4713375796178347"/>
    <n v="56.362968527475616"/>
    <n v="7.4493520606772137"/>
    <n v="1241.5586767795355"/>
    <n v="10.492734768144752"/>
    <x v="614"/>
  </r>
  <r>
    <x v="35"/>
    <x v="56"/>
    <n v="0.37226847299999999"/>
    <n v="0.42234285700000002"/>
    <n v="6"/>
    <n v="7.7388535031847132"/>
    <n v="47.037380979406791"/>
    <n v="9.0539198877354874"/>
    <n v="1508.9866479559143"/>
    <n v="10.243386924418839"/>
    <x v="642"/>
  </r>
  <r>
    <x v="35"/>
    <x v="43"/>
    <n v="0.62643652800000005"/>
    <n v="0.57808694400000005"/>
    <n v="5"/>
    <n v="4.8726114649681529"/>
    <n v="18.647192185251804"/>
    <n v="4.1727860086013493"/>
    <n v="695.46433476689162"/>
    <n v="9.4011909935494344"/>
    <x v="643"/>
  </r>
  <r>
    <x v="35"/>
    <x v="43"/>
    <n v="0.62643652800000005"/>
    <n v="0.57808694400000005"/>
    <n v="4"/>
    <n v="13.933121019108281"/>
    <n v="152.47080734795819"/>
    <n v="26.092364441171203"/>
    <n v="4348.7274068618672"/>
    <n v="11.703546058663637"/>
    <x v="644"/>
  </r>
  <r>
    <x v="35"/>
    <x v="43"/>
    <n v="0.62643652800000005"/>
    <n v="0.57808694400000005"/>
    <n v="5"/>
    <n v="17.86687898089172"/>
    <n v="250.71901500218488"/>
    <n v="52.712567210137777"/>
    <n v="8785.427868356297"/>
    <n v="14.572143879062031"/>
    <x v="645"/>
  </r>
  <r>
    <x v="35"/>
    <x v="36"/>
    <n v="0.39984676499999999"/>
    <n v="0.450333333"/>
    <n v="9"/>
    <n v="14.840764331210192"/>
    <n v="172.98259926440858"/>
    <n v="51.037296996084002"/>
    <n v="8506.2161660140009"/>
    <n v="15.923521006937403"/>
    <x v="646"/>
  </r>
  <r>
    <x v="35"/>
    <x v="36"/>
    <n v="0.39984676499999999"/>
    <n v="0.450333333"/>
    <n v="10"/>
    <n v="19.267515923566879"/>
    <n v="291.56899139676153"/>
    <n v="94.155167050032347"/>
    <n v="15692.527841672059"/>
    <n v="21.979000945271615"/>
    <x v="647"/>
  </r>
  <r>
    <x v="35"/>
    <x v="36"/>
    <n v="0.39984676499999999"/>
    <n v="0.450333333"/>
    <n v="8"/>
    <n v="45.317834394904459"/>
    <n v="1612.9770102853365"/>
    <n v="402.08469671041792"/>
    <n v="67014.116118402992"/>
    <n v="66.489471198831595"/>
    <x v="648"/>
  </r>
  <r>
    <x v="35"/>
    <x v="23"/>
    <n v="0.590536375"/>
    <n v="0.61247410899999999"/>
    <n v="6"/>
    <n v="7.1019108280254777"/>
    <n v="39.613235088230461"/>
    <n v="11.004561280164936"/>
    <n v="1834.0935466941557"/>
    <n v="10.044879885593735"/>
    <x v="649"/>
  </r>
  <r>
    <x v="35"/>
    <x v="23"/>
    <n v="0.590536375"/>
    <n v="0.61247410899999999"/>
    <n v="8"/>
    <n v="13.280254777070065"/>
    <n v="138.51687820501735"/>
    <n v="49.445574442252841"/>
    <n v="8240.9290737088068"/>
    <n v="13.923924674428983"/>
    <x v="650"/>
  </r>
  <r>
    <x v="35"/>
    <x v="23"/>
    <n v="0.590536375"/>
    <n v="0.61247410899999999"/>
    <n v="9"/>
    <n v="17.611464968152866"/>
    <n v="243.6019990166034"/>
    <n v="96.237906187964882"/>
    <n v="16039.651031327479"/>
    <n v="18.755856497220982"/>
    <x v="651"/>
  </r>
  <r>
    <x v="35"/>
    <x v="23"/>
    <n v="0.590536375"/>
    <n v="0.61247410899999999"/>
    <n v="6"/>
    <n v="29.822292993630573"/>
    <n v="698.50890437348005"/>
    <n v="181.13084340692612"/>
    <n v="30188.473901154353"/>
    <n v="27.66245234735689"/>
    <x v="652"/>
  </r>
  <r>
    <x v="35"/>
    <x v="23"/>
    <n v="0.590536375"/>
    <n v="0.61247410899999999"/>
    <n v="8"/>
    <n v="37.867515923566884"/>
    <n v="1126.2207242548823"/>
    <n v="382.30092312885773"/>
    <n v="63716.820521476293"/>
    <n v="49.136265342204567"/>
    <x v="653"/>
  </r>
  <r>
    <x v="35"/>
    <x v="23"/>
    <n v="0.590536375"/>
    <n v="0.61247410899999999"/>
    <n v="8"/>
    <n v="52.650318471337577"/>
    <n v="2177.1677188284834"/>
    <n v="727.45021628388838"/>
    <n v="121241.70271398139"/>
    <n v="86.603268983731581"/>
    <x v="654"/>
  </r>
  <r>
    <x v="35"/>
    <x v="23"/>
    <n v="0.590536375"/>
    <n v="0.61247410899999999"/>
    <n v="9"/>
    <n v="60.147133757961782"/>
    <n v="2841.31742079267"/>
    <n v="1058.2321172023203"/>
    <n v="176372.01953372007"/>
    <n v="122.94254752789159"/>
    <x v="655"/>
  </r>
  <r>
    <x v="35"/>
    <x v="23"/>
    <n v="0.590536375"/>
    <n v="0.61247410899999999"/>
    <n v="12"/>
    <n v="63.994267515923568"/>
    <n v="3216.414610929648"/>
    <n v="1581.542848737683"/>
    <n v="263590.4747896138"/>
    <n v="180.9868835457828"/>
    <x v="656"/>
  </r>
  <r>
    <x v="35"/>
    <x v="29"/>
    <n v="0.40238543599999999"/>
    <n v="0.40883333300000002"/>
    <n v="7"/>
    <n v="10.636942675159235"/>
    <n v="88.863521355801183"/>
    <n v="18.969084352889404"/>
    <n v="3161.5140588149006"/>
    <n v="11.75774146212828"/>
    <x v="657"/>
  </r>
  <r>
    <x v="36"/>
    <x v="45"/>
    <n v="0.31264018999999998"/>
    <n v="0.356821212"/>
    <n v="5"/>
    <n v="14.171974522292993"/>
    <n v="157.74318563306795"/>
    <n v="20.940821021478847"/>
    <n v="3490.136836913141"/>
    <n v="12.50048508255913"/>
    <x v="658"/>
  </r>
  <r>
    <x v="36"/>
    <x v="45"/>
    <n v="0.31264018999999998"/>
    <n v="0.356821212"/>
    <n v="9"/>
    <n v="27.515923566878982"/>
    <n v="594.64540892484649"/>
    <n v="135.71121972984997"/>
    <n v="22618.536621641662"/>
    <n v="32.835170566757277"/>
    <x v="659"/>
  </r>
  <r>
    <x v="36"/>
    <x v="53"/>
    <n v="0.6"/>
    <n v="0.66674999999999995"/>
    <n v="7"/>
    <n v="10.891719745222931"/>
    <n v="93.171437769908678"/>
    <n v="32.020709385908688"/>
    <n v="5336.7848976514479"/>
    <n v="11.892124195707737"/>
    <x v="660"/>
  </r>
  <r>
    <x v="36"/>
    <x v="53"/>
    <n v="0.6"/>
    <n v="0.66674999999999995"/>
    <n v="6.5"/>
    <n v="12.32484076433121"/>
    <n v="119.30331609180131"/>
    <n v="37.915042118252494"/>
    <n v="6319.1736863754159"/>
    <n v="12.441463671954237"/>
    <x v="661"/>
  </r>
  <r>
    <x v="36"/>
    <x v="64"/>
    <n v="0.6"/>
    <n v="0.51040266700000003"/>
    <n v="8"/>
    <n v="72.045222929936301"/>
    <n v="4076.6202781612951"/>
    <n v="1123.0503980013036"/>
    <n v="187175.06633355061"/>
    <n v="154.32009611667817"/>
    <x v="662"/>
  </r>
  <r>
    <x v="36"/>
    <x v="64"/>
    <n v="0.6"/>
    <n v="0.51040266700000003"/>
    <n v="9"/>
    <n v="10.350318471337578"/>
    <n v="84.138992463036487"/>
    <n v="28.540950058387384"/>
    <n v="4756.8250097312311"/>
    <n v="12.360266412430523"/>
    <x v="663"/>
  </r>
  <r>
    <x v="36"/>
    <x v="64"/>
    <n v="0.6"/>
    <n v="0.51040266700000003"/>
    <n v="11"/>
    <n v="29.005732484076432"/>
    <n v="660.78101360950598"/>
    <n v="259.48114148745344"/>
    <n v="43246.856914575576"/>
    <n v="41.377001902105562"/>
    <x v="664"/>
  </r>
  <r>
    <x v="36"/>
    <x v="43"/>
    <n v="0.62643652800000005"/>
    <n v="0.57808694400000005"/>
    <n v="5"/>
    <n v="6.5286624203821653"/>
    <n v="33.476365995352509"/>
    <n v="7.3867257884065873"/>
    <n v="1231.1209647344313"/>
    <n v="9.7316100774879306"/>
    <x v="665"/>
  </r>
  <r>
    <x v="36"/>
    <x v="43"/>
    <n v="0.62643652800000005"/>
    <n v="0.57808694400000005"/>
    <n v="5"/>
    <n v="6.6242038216560513"/>
    <n v="34.463331312859758"/>
    <n v="7.5992034251848786"/>
    <n v="1266.5339041974796"/>
    <n v="9.753601334739745"/>
    <x v="666"/>
  </r>
  <r>
    <x v="36"/>
    <x v="43"/>
    <n v="0.62643652800000005"/>
    <n v="0.57808694400000005"/>
    <n v="4"/>
    <n v="16.376433121019108"/>
    <n v="210.63401845800774"/>
    <n v="35.767373154564218"/>
    <n v="5961.2288590940361"/>
    <n v="12.740325864740964"/>
    <x v="667"/>
  </r>
  <r>
    <x v="36"/>
    <x v="43"/>
    <n v="0.62643652800000005"/>
    <n v="0.57808694400000005"/>
    <n v="5.5"/>
    <n v="16.448407643312102"/>
    <n v="212.48956264301634"/>
    <n v="49.22527491464092"/>
    <n v="8204.2124857734871"/>
    <n v="14.193789694510933"/>
    <x v="668"/>
  </r>
  <r>
    <x v="36"/>
    <x v="43"/>
    <n v="0.62643652800000005"/>
    <n v="0.57808694400000005"/>
    <n v="6"/>
    <n v="21.91783439490446"/>
    <n v="377.29857397916408"/>
    <n v="93.849725213354347"/>
    <n v="15641.620868892393"/>
    <n v="19.073920755811596"/>
    <x v="669"/>
  </r>
  <r>
    <x v="36"/>
    <x v="36"/>
    <n v="0.39984676499999999"/>
    <n v="0.450333333"/>
    <n v="13"/>
    <n v="17.261146496815286"/>
    <n v="234.00716669265282"/>
    <n v="98.13704709337874"/>
    <n v="16356.174515563123"/>
    <n v="22.542296616495598"/>
    <x v="670"/>
  </r>
  <r>
    <x v="36"/>
    <x v="23"/>
    <n v="0.590536375"/>
    <n v="0.61247410899999999"/>
    <n v="9"/>
    <n v="41.731210191082802"/>
    <n v="1367.7661137791385"/>
    <n v="518.43368748768023"/>
    <n v="86405.614581280039"/>
    <n v="63.842757976388491"/>
    <x v="671"/>
  </r>
  <r>
    <x v="36"/>
    <x v="23"/>
    <n v="0.590536375"/>
    <n v="0.61247410899999999"/>
    <n v="10"/>
    <n v="66.91783439490446"/>
    <n v="3517.0102740056614"/>
    <n v="1444.3433249354709"/>
    <n v="240723.88748924516"/>
    <n v="165.71557960363506"/>
    <x v="672"/>
  </r>
  <r>
    <x v="36"/>
    <x v="23"/>
    <n v="0.590536375"/>
    <n v="0.61247410899999999"/>
    <n v="11"/>
    <n v="101.86369426751592"/>
    <n v="8149.4580126194851"/>
    <n v="3599.6963424044147"/>
    <n v="599949.39040073578"/>
    <n v="408.46987007829938"/>
    <x v="673"/>
  </r>
  <r>
    <x v="36"/>
    <x v="48"/>
    <n v="0.39"/>
    <n v="0.28861111099999998"/>
    <n v="4.5"/>
    <n v="29.359235668789808"/>
    <n v="676.98550725961843"/>
    <n v="63.658111937855431"/>
    <n v="10609.685322975905"/>
    <n v="22.56164432512475"/>
    <x v="674"/>
  </r>
  <r>
    <x v="37"/>
    <x v="47"/>
    <n v="0.43916666700000001"/>
    <n v="0.51877777800000002"/>
    <n v="4"/>
    <n v="5.1910828025477711"/>
    <n v="21.164391865092711"/>
    <n v="3.4168896905565767"/>
    <n v="683.3779381113153"/>
    <n v="9.3629627692807009"/>
    <x v="675"/>
  </r>
  <r>
    <x v="37"/>
    <x v="65"/>
    <n v="0.56572270000000002"/>
    <n v="0.61247410899999999"/>
    <n v="6"/>
    <n v="28.115286624203822"/>
    <n v="620.83316939826443"/>
    <n v="161.44481566696393"/>
    <n v="32288.963133392786"/>
    <n v="25.585556181183819"/>
    <x v="676"/>
  </r>
  <r>
    <x v="37"/>
    <x v="66"/>
    <n v="0.46921933300000002"/>
    <n v="0.46713991199999999"/>
    <n v="5"/>
    <n v="21.777707006369425"/>
    <n v="372.48962649359208"/>
    <n v="63.007138098209104"/>
    <n v="12601.427619641821"/>
    <n v="17.285399142967258"/>
    <x v="677"/>
  </r>
  <r>
    <x v="37"/>
    <x v="5"/>
    <n v="0.45255480399999998"/>
    <n v="0.57808694400000005"/>
    <n v="8"/>
    <n v="44.621019108280251"/>
    <n v="1563.7555042131935"/>
    <n v="497.77982581185967"/>
    <n v="99555.96516237194"/>
    <n v="64.734689695322317"/>
    <x v="678"/>
  </r>
  <r>
    <x v="37"/>
    <x v="36"/>
    <n v="0.39984676499999999"/>
    <n v="0.450333333"/>
    <n v="7"/>
    <n v="61.585350318471342"/>
    <n v="2978.8231048366797"/>
    <n v="642.30298952295982"/>
    <n v="128460.59790459197"/>
    <n v="101.90820665929654"/>
    <x v="679"/>
  </r>
  <r>
    <x v="37"/>
    <x v="67"/>
    <n v="0.56572270000000002"/>
    <n v="0.61247410899999999"/>
    <n v="6"/>
    <n v="27.028025477707004"/>
    <n v="573.74448056082633"/>
    <n v="149.48233235549213"/>
    <n v="29896.466471098429"/>
    <n v="24.326497385695156"/>
    <x v="680"/>
  </r>
  <r>
    <x v="37"/>
    <x v="68"/>
    <n v="0.56023871300000005"/>
    <n v="0.74103703700000001"/>
    <n v="6"/>
    <n v="12.611464968152866"/>
    <n v="124.91683069428197"/>
    <n v="40.65825834569543"/>
    <n v="8131.6516691390862"/>
    <n v="12.325730021501887"/>
    <x v="681"/>
  </r>
  <r>
    <x v="37"/>
    <x v="62"/>
    <n v="0.53168696000000004"/>
    <n v="0.61247410899999999"/>
    <n v="9"/>
    <n v="10.318471337579616"/>
    <n v="83.622010630056508"/>
    <n v="33.894604388349364"/>
    <n v="6778.9208776698724"/>
    <n v="12.33953179845024"/>
    <x v="682"/>
  </r>
  <r>
    <x v="37"/>
    <x v="62"/>
    <n v="0.53168696000000004"/>
    <n v="0.61247410899999999"/>
    <n v="6"/>
    <n v="35.389808917197456"/>
    <n v="983.66295672685794"/>
    <n v="252.98722687630479"/>
    <n v="50597.445375260955"/>
    <n v="35.286910079110719"/>
    <x v="683"/>
  </r>
  <r>
    <x v="37"/>
    <x v="69"/>
    <n v="0.432770245"/>
    <n v="0.61247410899999999"/>
    <n v="5"/>
    <n v="60.509554140127392"/>
    <n v="2875.6616595650826"/>
    <n v="603.29228764125605"/>
    <n v="120658.45752825119"/>
    <n v="73.060307489147633"/>
    <x v="684"/>
  </r>
  <r>
    <x v="37"/>
    <x v="70"/>
    <n v="0.98708677300000003"/>
    <n v="0.60285714300000004"/>
    <n v="7"/>
    <n v="32.536305732484081"/>
    <n v="831.43128494164887"/>
    <n v="245.73262592294091"/>
    <n v="49146.525184588179"/>
    <n v="34.921674172583074"/>
    <x v="685"/>
  </r>
  <r>
    <x v="37"/>
    <x v="70"/>
    <n v="0.98708677300000003"/>
    <n v="0.60285714300000004"/>
    <n v="6"/>
    <n v="58.191719745222926"/>
    <n v="2659.5751450768225"/>
    <n v="657.64117530157864"/>
    <n v="131528.23506031572"/>
    <n v="80.097501185037927"/>
    <x v="686"/>
  </r>
  <r>
    <x v="37"/>
    <x v="70"/>
    <n v="0.98708677300000003"/>
    <n v="0.60285714300000004"/>
    <n v="9"/>
    <n v="71.001910828025487"/>
    <n v="3959.4052525909265"/>
    <n v="1440.536047442459"/>
    <n v="288107.20948849182"/>
    <n v="167.78574724877282"/>
    <x v="687"/>
  </r>
  <r>
    <x v="37"/>
    <x v="41"/>
    <n v="0.693333333"/>
    <n v="0.64166666699999997"/>
    <n v="6.8"/>
    <n v="20.563057324840763"/>
    <n v="332.09723048041138"/>
    <n v="103.66328768506681"/>
    <n v="20732.657537013361"/>
    <n v="19.049275971763556"/>
    <x v="688"/>
  </r>
  <r>
    <x v="37"/>
    <x v="41"/>
    <n v="0.693333333"/>
    <n v="0.64166666699999997"/>
    <n v="6"/>
    <n v="8.1847133757961785"/>
    <n v="52.613456219560696"/>
    <n v="15.191740039044717"/>
    <n v="3038.3480078089433"/>
    <n v="10.392480193922674"/>
    <x v="689"/>
  </r>
  <r>
    <x v="38"/>
    <x v="49"/>
    <n v="0.86"/>
    <n v="0.65666666699999998"/>
    <n v="7"/>
    <n v="8.4394904458598727"/>
    <n v="55.939983391401071"/>
    <n v="19.174706121006373"/>
    <n v="3834.9412242012745"/>
    <n v="10.730712475151121"/>
    <x v="690"/>
  </r>
  <r>
    <x v="38"/>
    <x v="31"/>
    <n v="0.40257753800000001"/>
    <n v="0.40843333300000001"/>
    <n v="6"/>
    <n v="23.346496815286624"/>
    <n v="428.08826964258498"/>
    <n v="75.633423386061367"/>
    <n v="15126.684677212272"/>
    <n v="20.431937184469959"/>
    <x v="691"/>
  </r>
  <r>
    <x v="38"/>
    <x v="12"/>
    <n v="0.80908761900000004"/>
    <n v="0.87473809499999999"/>
    <n v="8"/>
    <n v="22.738853503184714"/>
    <n v="406.0944075899281"/>
    <n v="200.03965434404421"/>
    <n v="40007.930868808842"/>
    <n v="23.463252841900278"/>
    <x v="692"/>
  </r>
  <r>
    <x v="38"/>
    <x v="53"/>
    <n v="0.6"/>
    <n v="0.66674999999999995"/>
    <n v="5"/>
    <n v="6.114649681528662"/>
    <n v="29.365205379004752"/>
    <n v="7.4712802223108312"/>
    <n v="1494.2560444621663"/>
    <n v="9.6400064627368245"/>
    <x v="693"/>
  </r>
  <r>
    <x v="38"/>
    <x v="5"/>
    <n v="0.45255480399999998"/>
    <n v="0.57808694400000005"/>
    <n v="6"/>
    <n v="35.421656050955413"/>
    <n v="985.43414126614016"/>
    <n v="239.53491605584139"/>
    <n v="47906.983211168277"/>
    <n v="35.334268065235918"/>
    <x v="694"/>
  </r>
  <r>
    <x v="38"/>
    <x v="5"/>
    <n v="0.45255480399999998"/>
    <n v="0.57808694400000005"/>
    <n v="5"/>
    <n v="11.369426751592357"/>
    <n v="101.52360189748202"/>
    <n v="21.813070269476693"/>
    <n v="4362.6140538953387"/>
    <n v="11.247817631546919"/>
    <x v="695"/>
  </r>
  <r>
    <x v="38"/>
    <x v="5"/>
    <n v="0.45255480399999998"/>
    <n v="0.57808694400000005"/>
    <n v="5.5"/>
    <n v="21.56751592356688"/>
    <n v="365.33403713129644"/>
    <n v="83.539567578381295"/>
    <n v="16707.913515676257"/>
    <n v="17.939986554931235"/>
    <x v="696"/>
  </r>
  <r>
    <x v="38"/>
    <x v="5"/>
    <n v="0.45255480399999998"/>
    <n v="0.57808694400000005"/>
    <n v="5"/>
    <n v="21.140764331210192"/>
    <n v="351.01950638890355"/>
    <n v="73.206676451504151"/>
    <n v="14641.335290300831"/>
    <n v="16.80700853888596"/>
    <x v="697"/>
  </r>
  <r>
    <x v="38"/>
    <x v="5"/>
    <n v="0.45255480399999998"/>
    <n v="0.57808694400000005"/>
    <n v="6"/>
    <n v="25.640127388535031"/>
    <n v="516.33342305359247"/>
    <n v="127.47006237308528"/>
    <n v="25494.012474617055"/>
    <n v="22.79143878250639"/>
    <x v="698"/>
  </r>
  <r>
    <x v="38"/>
    <x v="36"/>
    <n v="0.39984676499999999"/>
    <n v="0.450333333"/>
    <n v="8"/>
    <n v="44.068789808917195"/>
    <n v="1525.28897115466"/>
    <n v="380.73615696613865"/>
    <n v="76147.231393227732"/>
    <n v="63.363330586230674"/>
    <x v="699"/>
  </r>
  <r>
    <x v="38"/>
    <x v="36"/>
    <n v="0.39984676499999999"/>
    <n v="0.450333333"/>
    <n v="9"/>
    <n v="54.057961783439488"/>
    <n v="2295.140175517909"/>
    <n v="636.42480617984609"/>
    <n v="127284.96123596921"/>
    <n v="101.03699181366383"/>
    <x v="700"/>
  </r>
  <r>
    <x v="38"/>
    <x v="71"/>
    <n v="0.85750000000000004"/>
    <n v="0.61247410899999999"/>
    <n v="7"/>
    <n v="78.634394904458588"/>
    <n v="4856.4059194976544"/>
    <n v="1397.2176924168739"/>
    <n v="279443.53848337481"/>
    <n v="160.47821751876339"/>
    <x v="701"/>
  </r>
  <r>
    <x v="38"/>
    <x v="69"/>
    <n v="0.432770245"/>
    <n v="0.61247410899999999"/>
    <n v="5"/>
    <n v="9.7133757961783438"/>
    <n v="74.102057030759482"/>
    <n v="16.972820988755007"/>
    <n v="3394.5641977510013"/>
    <n v="10.636819213761207"/>
    <x v="702"/>
  </r>
  <r>
    <x v="38"/>
    <x v="48"/>
    <n v="0.39"/>
    <n v="0.28861111099999998"/>
    <n v="6"/>
    <n v="18.754140127388535"/>
    <n v="276.23849209842371"/>
    <n v="35.143245622510541"/>
    <n v="7028.649124502108"/>
    <n v="16.371773210272224"/>
    <x v="703"/>
  </r>
  <r>
    <x v="38"/>
    <x v="14"/>
    <n v="0.48464433800000001"/>
    <n v="0.62688577999999995"/>
    <n v="5"/>
    <n v="67.557961783439495"/>
    <n v="3584.6186361436112"/>
    <n v="765.23405333008623"/>
    <n v="153046.81066601723"/>
    <n v="88.857068505821744"/>
    <x v="704"/>
  </r>
  <r>
    <x v="38"/>
    <x v="70"/>
    <n v="0.98708677300000003"/>
    <n v="0.60285714300000004"/>
    <n v="7"/>
    <n v="5.5414012738853495"/>
    <n v="24.117321995842772"/>
    <n v="7.7600670915249443"/>
    <n v="1552.013418304989"/>
    <n v="9.7380246379163449"/>
    <x v="705"/>
  </r>
  <r>
    <x v="38"/>
    <x v="63"/>
    <n v="0.470857311"/>
    <n v="0.375"/>
    <n v="5"/>
    <n v="61.340764331210188"/>
    <n v="2955.2093196411975"/>
    <n v="383.84042483622329"/>
    <n v="76768.084967244664"/>
    <n v="74.832763952898688"/>
    <x v="706"/>
  </r>
  <r>
    <x v="38"/>
    <x v="59"/>
    <n v="0.28577490700000002"/>
    <n v="0.3422"/>
    <n v="6"/>
    <n v="6.8471337579617835"/>
    <n v="36.822011139444854"/>
    <n v="5.8057879598449702"/>
    <n v="1161.157591968994"/>
    <n v="9.9702480546878167"/>
    <x v="707"/>
  </r>
  <r>
    <x v="39"/>
    <x v="49"/>
    <n v="0.86"/>
    <n v="0.65666666699999998"/>
    <n v="8"/>
    <n v="13.535031847133757"/>
    <n v="143.88265575039969"/>
    <n v="54.924751702683182"/>
    <n v="10984.950340536638"/>
    <n v="14.1152184388819"/>
    <x v="708"/>
  </r>
  <r>
    <x v="39"/>
    <x v="39"/>
    <n v="0.41"/>
    <n v="0.33983503399999998"/>
    <n v="7"/>
    <n v="5.1910828025477711"/>
    <n v="21.164391865092711"/>
    <n v="3.90419944376568"/>
    <n v="780.83988875313594"/>
    <n v="9.645909846241226"/>
    <x v="709"/>
  </r>
  <r>
    <x v="39"/>
    <x v="72"/>
    <n v="0.64800000000000002"/>
    <n v="0.66733333299999997"/>
    <n v="7"/>
    <n v="8.6942675159235669"/>
    <n v="59.368473081918566"/>
    <n v="20.642968783980272"/>
    <n v="4128.5937567960545"/>
    <n v="10.837662047141873"/>
    <x v="710"/>
  </r>
  <r>
    <x v="39"/>
    <x v="53"/>
    <n v="0.6"/>
    <n v="0.66674999999999995"/>
    <n v="6"/>
    <n v="8.1847133757961785"/>
    <n v="52.613456219560696"/>
    <n v="15.771078015209122"/>
    <n v="3154.2156030418246"/>
    <n v="10.392480193922674"/>
    <x v="689"/>
  </r>
  <r>
    <x v="39"/>
    <x v="64"/>
    <n v="0.6"/>
    <n v="0.51040266700000003"/>
    <n v="8"/>
    <n v="37.028662420382162"/>
    <n v="1076.8765754348442"/>
    <n v="306.29516386915117"/>
    <n v="61259.032773830229"/>
    <n v="47.377111537993422"/>
    <x v="711"/>
  </r>
  <r>
    <x v="39"/>
    <x v="73"/>
    <n v="0.51642601200000005"/>
    <n v="0.60835714299999999"/>
    <n v="4"/>
    <n v="3.9808917197452227"/>
    <n v="12.446596518200664"/>
    <n v="2.3775304788550691"/>
    <n v="475.50609577101375"/>
    <n v="9.2075649843807046"/>
    <x v="712"/>
  </r>
  <r>
    <x v="39"/>
    <x v="74"/>
    <n v="0.490852183"/>
    <n v="0.607288889"/>
    <n v="4"/>
    <n v="3.9490445859872612"/>
    <n v="12.248247556086621"/>
    <n v="2.3365330014311816"/>
    <n v="467.30660028623635"/>
    <n v="9.2040293439896139"/>
    <x v="713"/>
  </r>
  <r>
    <x v="39"/>
    <x v="74"/>
    <n v="0.490852183"/>
    <n v="0.607288889"/>
    <n v="5"/>
    <n v="4.6178343949044587"/>
    <n v="16.748140274890819"/>
    <n v="3.9426416279145227"/>
    <n v="788.52832558290459"/>
    <n v="9.3588769037283459"/>
    <x v="714"/>
  </r>
  <r>
    <x v="39"/>
    <x v="5"/>
    <n v="0.45255480399999998"/>
    <n v="0.57808694400000005"/>
    <n v="9"/>
    <n v="103.62165605095541"/>
    <n v="8433.1716267702959"/>
    <n v="2892.1479826513792"/>
    <n v="578429.59653027577"/>
    <n v="347.21529948638891"/>
    <x v="715"/>
  </r>
  <r>
    <x v="39"/>
    <x v="5"/>
    <n v="0.45255480399999998"/>
    <n v="0.57808694400000005"/>
    <n v="10"/>
    <n v="114.11210191082803"/>
    <n v="10227.118578237156"/>
    <n v="3869.2953155607574"/>
    <n v="773859.06311215158"/>
    <n v="464.74071308775211"/>
    <x v="716"/>
  </r>
  <r>
    <x v="39"/>
    <x v="36"/>
    <n v="0.39984676499999999"/>
    <n v="0.450333333"/>
    <n v="9"/>
    <n v="20.445859872611464"/>
    <n v="328.3224964689702"/>
    <n v="95.390852687955942"/>
    <n v="19078.170537591188"/>
    <n v="22.153745356809605"/>
    <x v="537"/>
  </r>
  <r>
    <x v="39"/>
    <x v="23"/>
    <n v="0.590536375"/>
    <n v="0.61247410899999999"/>
    <n v="7"/>
    <n v="52.821019108280254"/>
    <n v="2191.3080466077167"/>
    <n v="642.60959684930765"/>
    <n v="128521.91936986153"/>
    <n v="77.342171461114035"/>
    <x v="717"/>
  </r>
  <r>
    <x v="39"/>
    <x v="14"/>
    <n v="0.48464433800000001"/>
    <n v="0.62688577999999995"/>
    <n v="7"/>
    <n v="10"/>
    <n v="78.539816339744831"/>
    <n v="25.520351269072634"/>
    <n v="5104.070253814527"/>
    <n v="11.435700000000001"/>
    <x v="718"/>
  </r>
  <r>
    <x v="39"/>
    <x v="29"/>
    <n v="0.40238543599999999"/>
    <n v="0.40883333300000002"/>
    <n v="6"/>
    <n v="10.318471337579616"/>
    <n v="83.622010630056508"/>
    <n v="15.379317320992111"/>
    <n v="3075.8634641984222"/>
    <n v="11.221587865633493"/>
    <x v="719"/>
  </r>
  <r>
    <x v="39"/>
    <x v="29"/>
    <n v="0.40238543599999999"/>
    <n v="0.40883333300000002"/>
    <n v="8"/>
    <n v="11.687898089171975"/>
    <n v="107.29085686015551"/>
    <n v="25.97296691096912"/>
    <n v="5194.5933821938243"/>
    <n v="12.810694928800357"/>
    <x v="720"/>
  </r>
  <r>
    <x v="39"/>
    <x v="29"/>
    <n v="0.40238543599999999"/>
    <n v="0.40883333300000002"/>
    <n v="7"/>
    <n v="12.579617834394904"/>
    <n v="124.28673419214456"/>
    <n v="26.317873507690436"/>
    <n v="5263.5747015380875"/>
    <n v="12.862746229055944"/>
    <x v="721"/>
  </r>
  <r>
    <x v="40"/>
    <x v="31"/>
    <n v="0.40257753800000001"/>
    <n v="0.40843333300000001"/>
    <n v="8"/>
    <n v="11.942675159235668"/>
    <n v="112.01936866380598"/>
    <n v="27.063721971458278"/>
    <n v="5412.7443942916561"/>
    <n v="12.979269718852692"/>
    <x v="722"/>
  </r>
  <r>
    <x v="40"/>
    <x v="45"/>
    <n v="0.31264018999999998"/>
    <n v="0.356821212"/>
    <n v="4.5"/>
    <n v="12.834394904458597"/>
    <n v="129.37211481116489"/>
    <n v="15.570089278041378"/>
    <n v="3114.0178556082756"/>
    <n v="11.580066657876586"/>
    <x v="723"/>
  </r>
  <r>
    <x v="40"/>
    <x v="72"/>
    <n v="0.64800000000000002"/>
    <n v="0.66733333299999997"/>
    <n v="7"/>
    <n v="9.1082802547770694"/>
    <n v="65.157235763375468"/>
    <n v="22.605242247233235"/>
    <n v="4521.0484494466473"/>
    <n v="11.018238845389265"/>
    <x v="724"/>
  </r>
  <r>
    <x v="40"/>
    <x v="65"/>
    <n v="0.56572270000000002"/>
    <n v="0.61247410899999999"/>
    <n v="8"/>
    <n v="31.370063694267515"/>
    <n v="772.89532849617251"/>
    <n v="264.7442779426911"/>
    <n v="52948.855588538223"/>
    <n v="36.53996509310722"/>
    <x v="725"/>
  </r>
  <r>
    <x v="40"/>
    <x v="64"/>
    <n v="0.6"/>
    <n v="0.51040266700000003"/>
    <n v="6"/>
    <n v="80.32101910828024"/>
    <n v="5066.9696344804015"/>
    <n v="1048.6735817764752"/>
    <n v="209734.71635529507"/>
    <n v="144.46648832244713"/>
    <x v="726"/>
  </r>
  <r>
    <x v="40"/>
    <x v="74"/>
    <n v="0.490852183"/>
    <n v="0.607288889"/>
    <n v="6"/>
    <n v="6.7515923566878975"/>
    <n v="35.801589370496679"/>
    <n v="9.8874763874812128"/>
    <n v="1977.4952774962426"/>
    <n v="9.9429639863686141"/>
    <x v="727"/>
  </r>
  <r>
    <x v="40"/>
    <x v="5"/>
    <n v="0.45255480399999998"/>
    <n v="0.57808694400000005"/>
    <n v="6"/>
    <n v="19.962420382165604"/>
    <n v="312.97977600687028"/>
    <n v="78.200975450462707"/>
    <n v="15640.19509009254"/>
    <n v="17.354162777800312"/>
    <x v="728"/>
  </r>
  <r>
    <x v="40"/>
    <x v="5"/>
    <n v="0.45255480399999998"/>
    <n v="0.57808694400000005"/>
    <n v="7"/>
    <n v="29.359872611464969"/>
    <n v="677.01488170535072"/>
    <n v="193.01551068577083"/>
    <n v="38603.102137154165"/>
    <n v="30.104751934155544"/>
    <x v="729"/>
  </r>
  <r>
    <x v="40"/>
    <x v="36"/>
    <n v="0.39984676499999999"/>
    <n v="0.450333333"/>
    <n v="8"/>
    <n v="19.840764331210188"/>
    <n v="309.17664384081314"/>
    <n v="80.188882506712957"/>
    <n v="16037.776501342591"/>
    <n v="20.008066018905431"/>
    <x v="730"/>
  </r>
  <r>
    <x v="40"/>
    <x v="68"/>
    <n v="0.56023871300000005"/>
    <n v="0.74103703700000001"/>
    <n v="6"/>
    <n v="7.484076433121019"/>
    <n v="43.991250733928432"/>
    <n v="14.681561047765641"/>
    <n v="2936.312209553128"/>
    <n v="10.161939401192745"/>
    <x v="731"/>
  </r>
  <r>
    <x v="40"/>
    <x v="13"/>
    <n v="0.50857142899999996"/>
    <n v="0.49666666700000001"/>
    <n v="6"/>
    <n v="8.503184713375795"/>
    <n v="56.78754682790445"/>
    <n v="12.746573289289815"/>
    <n v="2549.3146578579626"/>
    <n v="10.504087155665543"/>
    <x v="732"/>
  </r>
  <r>
    <x v="40"/>
    <x v="13"/>
    <n v="0.50857142899999996"/>
    <n v="0.49666666700000001"/>
    <n v="8"/>
    <n v="60.440127388535032"/>
    <n v="2869.0665584865874"/>
    <n v="776.13535906269624"/>
    <n v="155227.07181253925"/>
    <n v="111.26995196478559"/>
    <x v="733"/>
  </r>
  <r>
    <x v="40"/>
    <x v="48"/>
    <n v="0.39"/>
    <n v="0.28861111099999998"/>
    <n v="6"/>
    <n v="12.802547770700638"/>
    <n v="128.73086615854726"/>
    <n v="16.680105788229486"/>
    <n v="3336.0211576458978"/>
    <n v="12.427709817842508"/>
    <x v="734"/>
  </r>
  <r>
    <x v="40"/>
    <x v="17"/>
    <n v="0.65716857299999998"/>
    <n v="0.85527777800000004"/>
    <n v="5"/>
    <n v="7.484076433121019"/>
    <n v="43.991250733928432"/>
    <n v="14.133971078286709"/>
    <n v="2826.7942156573417"/>
    <n v="9.9658995009939542"/>
    <x v="735"/>
  </r>
  <r>
    <x v="40"/>
    <x v="75"/>
    <n v="0.84850681500000003"/>
    <n v="0.85527777800000004"/>
    <n v="10"/>
    <n v="14.840764331210192"/>
    <n v="172.98259926440858"/>
    <n v="105.78749084404964"/>
    <n v="21157.498168809929"/>
    <n v="16.694390007708222"/>
    <x v="736"/>
  </r>
  <r>
    <x v="40"/>
    <x v="29"/>
    <n v="0.40238543599999999"/>
    <n v="0.40883333300000002"/>
    <n v="8"/>
    <n v="11.847133757961783"/>
    <n v="110.2342280047796"/>
    <n v="26.668170524065015"/>
    <n v="5333.6341048130034"/>
    <n v="12.915628191813056"/>
    <x v="737"/>
  </r>
  <r>
    <x v="40"/>
    <x v="29"/>
    <n v="0.40238543599999999"/>
    <n v="0.40883333300000002"/>
    <n v="8"/>
    <n v="14.203821656050955"/>
    <n v="158.45294035292184"/>
    <n v="38.001002078672563"/>
    <n v="7600.2004157345127"/>
    <n v="14.63465938983326"/>
    <x v="738"/>
  </r>
  <r>
    <x v="40"/>
    <x v="29"/>
    <n v="0.40238543599999999"/>
    <n v="0.40883333300000002"/>
    <n v="8"/>
    <n v="14.808917197452228"/>
    <n v="172.24098125746809"/>
    <n v="41.225085863015096"/>
    <n v="8245.0171726030203"/>
    <n v="15.126212799707897"/>
    <x v="739"/>
  </r>
  <r>
    <x v="40"/>
    <x v="70"/>
    <n v="0.98708677300000003"/>
    <n v="0.60285714300000004"/>
    <n v="7"/>
    <n v="44.022292993630572"/>
    <n v="1522.0720157730859"/>
    <n v="443.37280219305563"/>
    <n v="88674.560438611123"/>
    <n v="56.465775870217854"/>
    <x v="740"/>
  </r>
  <r>
    <x v="41"/>
    <x v="12"/>
    <n v="0.80908761900000004"/>
    <n v="0.87473809499999999"/>
    <n v="6"/>
    <n v="7.1019108280254777"/>
    <n v="39.613235088230461"/>
    <n v="15.582892397292609"/>
    <n v="3116.578479458522"/>
    <n v="10.044879885593735"/>
    <x v="741"/>
  </r>
  <r>
    <x v="41"/>
    <x v="12"/>
    <n v="0.80908761900000004"/>
    <n v="0.87473809499999999"/>
    <n v="8"/>
    <n v="6.5605095541401273"/>
    <n v="33.803761270167257"/>
    <n v="17.675267704444853"/>
    <n v="3535.0535408889709"/>
    <n v="10.190827997078989"/>
    <x v="742"/>
  </r>
  <r>
    <x v="41"/>
    <x v="12"/>
    <n v="0.80908761900000004"/>
    <n v="0.87473809499999999"/>
    <n v="7"/>
    <n v="8.4713375796178347"/>
    <n v="56.362968527475616"/>
    <n v="25.554418360719247"/>
    <n v="5110.8836721438493"/>
    <n v="10.743907229502211"/>
    <x v="743"/>
  </r>
  <r>
    <x v="41"/>
    <x v="12"/>
    <n v="0.80908761900000004"/>
    <n v="0.87473809499999999"/>
    <n v="8"/>
    <n v="11.273885350318471"/>
    <n v="99.824492113589415"/>
    <n v="50.857095497394546"/>
    <n v="10171.41909947891"/>
    <n v="12.544513744979511"/>
    <x v="744"/>
  </r>
  <r>
    <x v="41"/>
    <x v="12"/>
    <n v="0.80908761900000004"/>
    <n v="0.87473809499999999"/>
    <n v="8"/>
    <n v="13.471337579617833"/>
    <n v="142.53165237792811"/>
    <n v="71.996864512225599"/>
    <n v="14399.37290244512"/>
    <n v="14.067054213152662"/>
    <x v="745"/>
  </r>
  <r>
    <x v="41"/>
    <x v="12"/>
    <n v="0.80908761900000004"/>
    <n v="0.87473809499999999"/>
    <n v="8"/>
    <n v="14.458598726114648"/>
    <n v="164.18833202850868"/>
    <n v="82.655205662417345"/>
    <n v="16531.041132483468"/>
    <n v="14.839130159438515"/>
    <x v="746"/>
  </r>
  <r>
    <x v="41"/>
    <x v="53"/>
    <n v="0.6"/>
    <n v="0.66674999999999995"/>
    <n v="6.5"/>
    <n v="4.8726114649681529"/>
    <n v="18.647192185251804"/>
    <n v="6.196085643075949"/>
    <n v="1239.2171286151897"/>
    <n v="9.5258382916142637"/>
    <x v="577"/>
  </r>
  <r>
    <x v="41"/>
    <x v="5"/>
    <n v="0.45255480399999998"/>
    <n v="0.57808694400000005"/>
    <n v="3"/>
    <n v="4.2675159235668794"/>
    <n v="14.303429573171918"/>
    <n v="1.9565575528330952"/>
    <n v="391.31151056661901"/>
    <n v="9.176922767657917"/>
    <x v="747"/>
  </r>
  <r>
    <x v="41"/>
    <x v="50"/>
    <n v="0.43538739399999998"/>
    <n v="0.568333333"/>
    <n v="2"/>
    <n v="4.2038216560509554"/>
    <n v="13.879647854920218"/>
    <n v="1.2579594267604506"/>
    <n v="251.59188535209015"/>
    <n v="9.10940481561118"/>
    <x v="748"/>
  </r>
  <r>
    <x v="41"/>
    <x v="67"/>
    <n v="0.56572270000000002"/>
    <n v="0.61247410899999999"/>
    <n v="4.5"/>
    <n v="5.8280254777070066"/>
    <n v="26.676740531073417"/>
    <n v="5.6499676440574245"/>
    <n v="1129.993528811485"/>
    <n v="9.5206626252586304"/>
    <x v="749"/>
  </r>
  <r>
    <x v="41"/>
    <x v="71"/>
    <n v="0.85750000000000004"/>
    <n v="0.61247410899999999"/>
    <n v="5"/>
    <n v="5.5732484076433115"/>
    <n v="24.395329175673304"/>
    <n v="5.7386668798551037"/>
    <n v="1147.7333759710207"/>
    <n v="9.5292692117327267"/>
    <x v="750"/>
  </r>
  <r>
    <x v="41"/>
    <x v="29"/>
    <n v="0.40238543599999999"/>
    <n v="0.40883333300000002"/>
    <n v="7"/>
    <n v="12.32484076433121"/>
    <n v="119.30331609180131"/>
    <n v="25.287451817891892"/>
    <n v="5057.4903635783785"/>
    <n v="12.707291646719948"/>
    <x v="751"/>
  </r>
  <r>
    <x v="41"/>
    <x v="70"/>
    <n v="0.98708677300000003"/>
    <n v="0.60285714300000004"/>
    <n v="9"/>
    <n v="17.67515923566879"/>
    <n v="245.36722512120065"/>
    <n v="95.43292798161724"/>
    <n v="19086.585596323446"/>
    <n v="18.826654501196803"/>
    <x v="752"/>
  </r>
  <r>
    <x v="41"/>
    <x v="70"/>
    <n v="0.98708677300000003"/>
    <n v="0.60285714300000004"/>
    <n v="8"/>
    <n v="46.465605095541399"/>
    <n v="1695.7158343239264"/>
    <n v="561.25604842048381"/>
    <n v="112251.20968409677"/>
    <n v="69.439168793054478"/>
    <x v="753"/>
  </r>
  <r>
    <x v="41"/>
    <x v="70"/>
    <n v="0.98708677300000003"/>
    <n v="0.60285714300000004"/>
    <n v="10"/>
    <n v="88.566242038216558"/>
    <n v="6160.646880005228"/>
    <n v="2457.9434675416778"/>
    <n v="491588.69350833556"/>
    <n v="283.52497300701856"/>
    <x v="754"/>
  </r>
  <r>
    <x v="42"/>
    <x v="53"/>
    <n v="0.6"/>
    <n v="0.66674999999999995"/>
    <n v="3"/>
    <n v="4.4585987261146496"/>
    <n v="15.613010672430914"/>
    <n v="2.4496755818941538"/>
    <n v="408.27926364902561"/>
    <n v="9.1944305773053667"/>
    <x v="755"/>
  </r>
  <r>
    <x v="42"/>
    <x v="21"/>
    <n v="0.39790071399999999"/>
    <n v="0.50565277799999997"/>
    <n v="4.5"/>
    <n v="7.0063694267515917"/>
    <n v="38.554577374778376"/>
    <n v="6.712940805430085"/>
    <n v="1118.8234675716808"/>
    <n v="9.7588550975698798"/>
    <x v="756"/>
  </r>
  <r>
    <x v="42"/>
    <x v="43"/>
    <n v="0.62643652800000005"/>
    <n v="0.57808694400000005"/>
    <n v="5"/>
    <n v="4.2356687898089174"/>
    <n v="14.090742131868904"/>
    <n v="3.1744379594700267"/>
    <n v="529.07299324500445"/>
    <n v="9.2996655766968228"/>
    <x v="757"/>
  </r>
  <r>
    <x v="42"/>
    <x v="24"/>
    <n v="0.56193137999999998"/>
    <n v="0.57808694400000005"/>
    <n v="4.5"/>
    <n v="20.859872611464969"/>
    <n v="341.75366855814667"/>
    <n v="64.350532844804832"/>
    <n v="10725.088807467471"/>
    <n v="15.839064994523104"/>
    <x v="758"/>
  </r>
  <r>
    <x v="42"/>
    <x v="24"/>
    <n v="0.56193137999999998"/>
    <n v="0.57808694400000005"/>
    <n v="7"/>
    <n v="24.522292993630572"/>
    <n v="472.2935728410352"/>
    <n v="135.81861545605577"/>
    <n v="22636.435909342628"/>
    <n v="23.718599914803846"/>
    <x v="759"/>
  </r>
  <r>
    <x v="42"/>
    <x v="24"/>
    <n v="0.56193137999999998"/>
    <n v="0.57808694400000005"/>
    <n v="8"/>
    <n v="21.656050955414013"/>
    <n v="368.33959872102326"/>
    <n v="121.39112638409081"/>
    <n v="20231.854397348467"/>
    <n v="22.117267203537672"/>
    <x v="760"/>
  </r>
  <r>
    <x v="42"/>
    <x v="24"/>
    <n v="0.56193137999999998"/>
    <n v="0.57808694400000005"/>
    <n v="8"/>
    <n v="17.515923566878982"/>
    <n v="240.96610859236495"/>
    <n v="80.226438606997235"/>
    <n v="13371.073101166206"/>
    <n v="17.5763121952209"/>
    <x v="761"/>
  </r>
  <r>
    <x v="42"/>
    <x v="24"/>
    <n v="0.56193137999999998"/>
    <n v="0.57808694400000005"/>
    <n v="6"/>
    <n v="8.9171974522292992"/>
    <n v="62.452042689723655"/>
    <n v="16.219662528186532"/>
    <n v="2703.2770880310886"/>
    <n v="10.655544618442939"/>
    <x v="762"/>
  </r>
  <r>
    <x v="42"/>
    <x v="24"/>
    <n v="0.56193137999999998"/>
    <n v="0.57808694400000005"/>
    <n v="7.5"/>
    <n v="31.050955414012737"/>
    <n v="757.25093216732841"/>
    <n v="230.30879298066816"/>
    <n v="38384.798830111358"/>
    <n v="34.294948093228932"/>
    <x v="763"/>
  </r>
  <r>
    <x v="42"/>
    <x v="71"/>
    <n v="0.85750000000000004"/>
    <n v="0.61247410899999999"/>
    <n v="2.7"/>
    <n v="4.1401273885350314"/>
    <n v="13.462238794085838"/>
    <n v="1.7604937096755811"/>
    <n v="293.41561827926353"/>
    <n v="9.1476791877966654"/>
    <x v="764"/>
  </r>
  <r>
    <x v="42"/>
    <x v="71"/>
    <n v="0.85750000000000004"/>
    <n v="0.61247410899999999"/>
    <n v="2"/>
    <n v="5.0955414012738851"/>
    <n v="20.392503735419968"/>
    <n v="1.9699422830751157"/>
    <n v="328.32371384585264"/>
    <n v="9.1674517952046735"/>
    <x v="765"/>
  </r>
  <r>
    <x v="42"/>
    <x v="71"/>
    <n v="0.85750000000000004"/>
    <n v="0.61247410899999999"/>
    <n v="4.5"/>
    <n v="11.624203821656051"/>
    <n v="106.12466055278617"/>
    <n v="21.743883123361989"/>
    <n v="3623.9805205603316"/>
    <n v="11.1138733031766"/>
    <x v="766"/>
  </r>
  <r>
    <x v="42"/>
    <x v="71"/>
    <n v="0.85750000000000004"/>
    <n v="0.61247410899999999"/>
    <n v="6.5"/>
    <n v="11.942675159235668"/>
    <n v="112.01936866380598"/>
    <n v="32.81848212699002"/>
    <n v="5469.7470211650034"/>
    <n v="12.230475396567812"/>
    <x v="767"/>
  </r>
  <r>
    <x v="42"/>
    <x v="71"/>
    <n v="0.85750000000000004"/>
    <n v="0.61247410899999999"/>
    <n v="4.5"/>
    <n v="6.6878980891719744"/>
    <n v="35.12927401296956"/>
    <n v="7.391175200097674"/>
    <n v="1231.8625333496122"/>
    <n v="9.6901656984056146"/>
    <x v="768"/>
  </r>
  <r>
    <x v="42"/>
    <x v="71"/>
    <n v="0.85750000000000004"/>
    <n v="0.61247410899999999"/>
    <n v="3.5"/>
    <n v="6.6878980891719744"/>
    <n v="35.12927401296956"/>
    <n v="5.7834701010306562"/>
    <n v="963.91168350510941"/>
    <n v="9.5336177654265892"/>
    <x v="769"/>
  </r>
  <r>
    <x v="42"/>
    <x v="71"/>
    <n v="0.85750000000000004"/>
    <n v="0.61247410899999999"/>
    <n v="5.5"/>
    <n v="3.6624203821656049"/>
    <n v="10.534799293005044"/>
    <n v="2.7751226971666414"/>
    <n v="462.52044952777356"/>
    <n v="9.2439064688222636"/>
    <x v="770"/>
  </r>
  <r>
    <x v="42"/>
    <x v="71"/>
    <n v="0.85750000000000004"/>
    <n v="0.61247410899999999"/>
    <n v="6.5"/>
    <n v="19.331210191082803"/>
    <n v="293.49990659420916"/>
    <n v="84.022148241514429"/>
    <n v="14003.691373585738"/>
    <n v="17.487276889528985"/>
    <x v="771"/>
  </r>
  <r>
    <x v="42"/>
    <x v="71"/>
    <n v="0.85750000000000004"/>
    <n v="0.61247410899999999"/>
    <n v="7"/>
    <n v="8.7579617834394909"/>
    <n v="60.241527148091237"/>
    <n v="19.257465369355607"/>
    <n v="3209.5775615592679"/>
    <n v="10.864896417704571"/>
    <x v="772"/>
  </r>
  <r>
    <x v="42"/>
    <x v="71"/>
    <n v="0.85750000000000004"/>
    <n v="0.61247410899999999"/>
    <n v="8"/>
    <n v="51.910828025477706"/>
    <n v="2116.4391865092707"/>
    <n v="707.63947436848491"/>
    <n v="117939.91239474749"/>
    <n v="84.438253856140207"/>
    <x v="773"/>
  </r>
  <r>
    <x v="42"/>
    <x v="17"/>
    <n v="0.65716857299999998"/>
    <n v="0.85527777800000004"/>
    <n v="1.9"/>
    <n v="6.5286624203821653"/>
    <n v="33.476365995352509"/>
    <n v="4.2106782618799521"/>
    <n v="701.77971031332538"/>
    <n v="9.2691458294454137"/>
    <x v="774"/>
  </r>
  <r>
    <x v="42"/>
    <x v="17"/>
    <n v="0.65716857299999998"/>
    <n v="0.85527777800000004"/>
    <n v="1.5"/>
    <n v="1.2738853503184713"/>
    <n v="1.274531483463748"/>
    <n v="0.13766742170206037"/>
    <n v="22.944570283676729"/>
    <n v="8.994219615400219"/>
    <x v="775"/>
  </r>
  <r>
    <x v="42"/>
    <x v="76"/>
    <n v="0.52520999999999995"/>
    <n v="0.58666666700000003"/>
    <n v="7"/>
    <n v="4.6178343949044587"/>
    <n v="16.748140274890819"/>
    <n v="5.293762315458169"/>
    <n v="882.29371924302814"/>
    <n v="9.5081476652196848"/>
    <x v="776"/>
  </r>
  <r>
    <x v="42"/>
    <x v="10"/>
    <n v="0.76500000000000001"/>
    <n v="0.61247410899999999"/>
    <n v="7"/>
    <n v="23.726114649681527"/>
    <n v="442.12302288091672"/>
    <n v="134.73199843978188"/>
    <n v="22455.333073296977"/>
    <n v="22.777448651060894"/>
    <x v="777"/>
  </r>
  <r>
    <x v="42"/>
    <x v="77"/>
    <n v="0.68500000000000005"/>
    <n v="0.54"/>
    <n v="2.5"/>
    <n v="5.7324840764331206"/>
    <n v="25.809262540140899"/>
    <n v="2.7258758951187816"/>
    <n v="454.3126491864636"/>
    <n v="9.2732370197573939"/>
    <x v="778"/>
  </r>
  <r>
    <x v="42"/>
    <x v="77"/>
    <n v="0.68500000000000005"/>
    <n v="0.54"/>
    <n v="4.5"/>
    <n v="2.5477707006369426"/>
    <n v="5.098125933854992"/>
    <n v="0.99355466958642291"/>
    <n v="165.5924449310705"/>
    <n v="9.0879353848026287"/>
    <x v="779"/>
  </r>
  <r>
    <x v="42"/>
    <x v="78"/>
    <n v="0.50016547600000005"/>
    <n v="0.61774072899999999"/>
    <n v="2"/>
    <n v="1.592356687898089"/>
    <n v="1.9914554429121063"/>
    <n v="0.20513038825014149"/>
    <n v="34.188398041690249"/>
    <n v="9.0034491987504559"/>
    <x v="780"/>
  </r>
  <r>
    <x v="43"/>
    <x v="40"/>
    <n v="0.9"/>
    <n v="0.61247410899999999"/>
    <n v="4"/>
    <n v="2.5477707006369426"/>
    <n v="5.098125933854992"/>
    <n v="1.0014937106388553"/>
    <n v="166.91561843980921"/>
    <n v="9.0765758976023356"/>
    <x v="781"/>
  </r>
  <r>
    <x v="43"/>
    <x v="24"/>
    <n v="0.56193137999999998"/>
    <n v="0.57808694400000005"/>
    <n v="5"/>
    <n v="9.0764331210191074"/>
    <n v="64.702387340214344"/>
    <n v="14.052888721931872"/>
    <n v="2342.1481203219787"/>
    <n v="10.427378668505821"/>
    <x v="782"/>
  </r>
  <r>
    <x v="43"/>
    <x v="24"/>
    <n v="0.56193137999999998"/>
    <n v="0.57808694400000005"/>
    <n v="6"/>
    <n v="6.6878980891719744"/>
    <n v="35.12927401296956"/>
    <n v="9.2504189014098355"/>
    <n v="1541.7364835683059"/>
    <n v="9.9249875978741535"/>
    <x v="783"/>
  </r>
  <r>
    <x v="43"/>
    <x v="24"/>
    <n v="0.56193137999999998"/>
    <n v="0.57808694400000005"/>
    <n v="6"/>
    <n v="5.2547770700636942"/>
    <n v="21.68694977331284"/>
    <n v="5.777207891581936"/>
    <n v="962.86798193032257"/>
    <n v="9.5655663231774106"/>
    <x v="784"/>
  </r>
  <r>
    <x v="43"/>
    <x v="24"/>
    <n v="0.56193137999999998"/>
    <n v="0.57808694400000005"/>
    <n v="6"/>
    <n v="9.5541401273885338"/>
    <n v="71.692395944835823"/>
    <n v="18.557951095563411"/>
    <n v="3092.9918492605684"/>
    <n v="10.902613465049292"/>
    <x v="785"/>
  </r>
  <r>
    <x v="43"/>
    <x v="24"/>
    <n v="0.56193137999999998"/>
    <n v="0.57808694400000005"/>
    <n v="5.7"/>
    <n v="25.159235668789808"/>
    <n v="497.14693676857826"/>
    <n v="116.84648642125957"/>
    <n v="19474.414403543262"/>
    <n v="21.61379343178222"/>
    <x v="786"/>
  </r>
  <r>
    <x v="43"/>
    <x v="24"/>
    <n v="0.56193137999999998"/>
    <n v="0.57808694400000005"/>
    <n v="6.3"/>
    <n v="13.694267515923567"/>
    <n v="147.28804455777941"/>
    <n v="39.300721000078404"/>
    <n v="6550.1201666797342"/>
    <n v="13.12080182968883"/>
    <x v="787"/>
  </r>
  <r>
    <x v="43"/>
    <x v="79"/>
    <n v="0.84088890000000005"/>
    <n v="0.84088888900000003"/>
    <n v="9"/>
    <n v="25.477707006369425"/>
    <n v="509.81259338549921"/>
    <n v="269.60355981818287"/>
    <n v="44933.926636363816"/>
    <n v="29.432776960525779"/>
    <x v="788"/>
  </r>
  <r>
    <x v="43"/>
    <x v="71"/>
    <n v="0.85750000000000004"/>
    <n v="0.61247410899999999"/>
    <n v="2.5"/>
    <n v="1.910828025477707"/>
    <n v="2.8676958377934336"/>
    <n v="0.36103284139023539"/>
    <n v="60.172140231705896"/>
    <n v="9.017648557750821"/>
    <x v="789"/>
  </r>
  <r>
    <x v="43"/>
    <x v="71"/>
    <n v="0.85750000000000004"/>
    <n v="0.61247410899999999"/>
    <n v="4"/>
    <n v="3.6624203821656049"/>
    <n v="10.534799293005044"/>
    <n v="2.0337555730791772"/>
    <n v="338.95926217986283"/>
    <n v="9.1734865227798288"/>
    <x v="790"/>
  </r>
  <r>
    <x v="43"/>
    <x v="71"/>
    <n v="0.85750000000000004"/>
    <n v="0.61247410899999999"/>
    <n v="7.5"/>
    <n v="12.261146496815286"/>
    <n v="118.0733932102588"/>
    <n v="39.726943910293258"/>
    <n v="6621.1573183822102"/>
    <n v="12.932012477179601"/>
    <x v="791"/>
  </r>
  <r>
    <x v="43"/>
    <x v="71"/>
    <n v="0.85750000000000004"/>
    <n v="0.61247410899999999"/>
    <n v="3"/>
    <n v="4.1401273885350314"/>
    <n v="13.462238794085838"/>
    <n v="1.9511640630047671"/>
    <n v="325.19401050079449"/>
    <n v="9.1656768753296269"/>
    <x v="792"/>
  </r>
  <r>
    <x v="43"/>
    <x v="71"/>
    <n v="0.85750000000000004"/>
    <n v="0.61247410899999999"/>
    <n v="6.5"/>
    <n v="3.3439490445859872"/>
    <n v="8.7823185032423901"/>
    <n v="2.7350858834002549"/>
    <n v="455.84764723337577"/>
    <n v="9.2400903910909165"/>
    <x v="793"/>
  </r>
  <r>
    <x v="43"/>
    <x v="71"/>
    <n v="0.85750000000000004"/>
    <n v="0.61247410899999999"/>
    <n v="6"/>
    <n v="6.2101910828025479"/>
    <n v="30.290037286693146"/>
    <n v="8.4689428443508206"/>
    <n v="1411.49047405847"/>
    <n v="9.7955959389833254"/>
    <x v="427"/>
  </r>
  <r>
    <x v="43"/>
    <x v="7"/>
    <n v="0.74387999999999999"/>
    <n v="0.59130000000000005"/>
    <n v="3.7"/>
    <n v="5.0955414012738851"/>
    <n v="20.392503735419968"/>
    <n v="3.4697642649820359"/>
    <n v="578.29404416367265"/>
    <n v="9.3219408211286456"/>
    <x v="794"/>
  </r>
  <r>
    <x v="43"/>
    <x v="17"/>
    <n v="0.65716857299999998"/>
    <n v="0.85527777800000004"/>
    <n v="2"/>
    <n v="2.5477707006369426"/>
    <n v="5.098125933854992"/>
    <n v="0.70531307902694229"/>
    <n v="117.55217983782372"/>
    <n v="9.0311379488011685"/>
    <x v="795"/>
  </r>
  <r>
    <x v="43"/>
    <x v="17"/>
    <n v="0.65716857299999998"/>
    <n v="0.85527777800000004"/>
    <n v="2.5"/>
    <n v="2.7070063694267517"/>
    <n v="5.7553062300159885"/>
    <n v="0.98709783273246976"/>
    <n v="164.51630545541164"/>
    <n v="9.0498189804860232"/>
    <x v="796"/>
  </r>
  <r>
    <x v="43"/>
    <x v="76"/>
    <n v="0.52520999999999995"/>
    <n v="0.58666666700000003"/>
    <n v="5.5"/>
    <n v="7.1656050955414008"/>
    <n v="40.326972718970154"/>
    <n v="9.8630826158246201"/>
    <n v="1643.8471026374366"/>
    <n v="9.9741085054160408"/>
    <x v="797"/>
  </r>
  <r>
    <x v="43"/>
    <x v="76"/>
    <n v="0.52520999999999995"/>
    <n v="0.58666666700000003"/>
    <n v="5.2"/>
    <n v="9.5541401273885338"/>
    <n v="71.692395944835823"/>
    <n v="16.372626824159475"/>
    <n v="2728.7711373599127"/>
    <n v="10.647025003042719"/>
    <x v="798"/>
  </r>
  <r>
    <x v="43"/>
    <x v="10"/>
    <n v="0.76500000000000001"/>
    <n v="0.61247410899999999"/>
    <n v="9.5"/>
    <n v="26.273885350318469"/>
    <n v="542.173744332821"/>
    <n v="221.50440455055957"/>
    <n v="36917.400758426593"/>
    <n v="31.93874195910584"/>
    <x v="799"/>
  </r>
  <r>
    <x v="43"/>
    <x v="10"/>
    <n v="0.76500000000000001"/>
    <n v="0.61247410899999999"/>
    <n v="9.5"/>
    <n v="18.789808917197451"/>
    <n v="277.29025587108168"/>
    <n v="115.12440154947417"/>
    <n v="19187.400258245696"/>
    <n v="20.724842561564365"/>
    <x v="800"/>
  </r>
  <r>
    <x v="44"/>
    <x v="12"/>
    <n v="0.80908761900000004"/>
    <n v="0.87473809499999999"/>
    <n v="5.5"/>
    <n v="27.70700636942675"/>
    <n v="602.93304989606929"/>
    <n v="204.08774391719379"/>
    <n v="34014.623986198967"/>
    <n v="23.763505387642496"/>
    <x v="801"/>
  </r>
  <r>
    <x v="44"/>
    <x v="53"/>
    <n v="0.6"/>
    <n v="0.66674999999999995"/>
    <n v="6.5"/>
    <n v="3.5031847133757958"/>
    <n v="9.6386443436945939"/>
    <n v="3.2538554847649013"/>
    <n v="542.30924746081689"/>
    <n v="9.2648948963446784"/>
    <x v="802"/>
  </r>
  <r>
    <x v="44"/>
    <x v="54"/>
    <n v="0.59"/>
    <n v="0.59"/>
    <n v="2"/>
    <n v="12.579617834394904"/>
    <n v="124.28673419214456"/>
    <n v="11.084669812396147"/>
    <n v="1847.4449687326912"/>
    <n v="10.093427494015984"/>
    <x v="803"/>
  </r>
  <r>
    <x v="44"/>
    <x v="21"/>
    <n v="0.39790071399999999"/>
    <n v="0.50565277799999997"/>
    <n v="8.5"/>
    <n v="15.031847133757962"/>
    <n v="177.46576375749231"/>
    <n v="55.413551331797386"/>
    <n v="9235.5918886328982"/>
    <n v="15.707903740516857"/>
    <x v="804"/>
  </r>
  <r>
    <x v="44"/>
    <x v="46"/>
    <n v="0.55560299999999996"/>
    <n v="0.55961111100000005"/>
    <n v="10"/>
    <n v="21.496815286624201"/>
    <n v="362.94275447073136"/>
    <n v="144.12735367691752"/>
    <n v="24021.225612819588"/>
    <n v="25.159657361353396"/>
    <x v="805"/>
  </r>
  <r>
    <x v="44"/>
    <x v="71"/>
    <n v="0.85750000000000004"/>
    <n v="0.61247410899999999"/>
    <n v="8.5"/>
    <n v="45.70063694267516"/>
    <n v="1640.341933772273"/>
    <n v="585.4553816790899"/>
    <n v="97575.896946514971"/>
    <n v="71.120009454744604"/>
    <x v="806"/>
  </r>
  <r>
    <x v="44"/>
    <x v="7"/>
    <n v="0.74387999999999999"/>
    <n v="0.59130000000000005"/>
    <n v="5"/>
    <n v="17.292993630573246"/>
    <n v="234.87145835487661"/>
    <n v="50.561141778050505"/>
    <n v="8426.8569630084185"/>
    <n v="14.219033502373319"/>
    <x v="807"/>
  </r>
  <r>
    <x v="44"/>
    <x v="76"/>
    <n v="0.52520999999999995"/>
    <n v="0.58666666700000003"/>
    <n v="6"/>
    <n v="23.407643312101911"/>
    <n v="430.33360665887716"/>
    <n v="108.24975369849021"/>
    <n v="18041.625616415036"/>
    <n v="20.491973073958377"/>
    <x v="808"/>
  </r>
  <r>
    <x v="44"/>
    <x v="76"/>
    <n v="0.52520999999999995"/>
    <n v="0.58666666700000003"/>
    <n v="5"/>
    <n v="15.509554140127388"/>
    <n v="188.92459837600856"/>
    <n v="40.570435266581676"/>
    <n v="6761.7392110969458"/>
    <n v="13.195259718446994"/>
    <x v="809"/>
  </r>
  <r>
    <x v="45"/>
    <x v="21"/>
    <n v="0.39790071399999999"/>
    <n v="0.50565277799999997"/>
    <n v="4.5"/>
    <n v="10.828025477707007"/>
    <n v="92.084899680255816"/>
    <n v="15.701841557191905"/>
    <n v="2616.9735928653176"/>
    <n v="10.832326637997484"/>
    <x v="810"/>
  </r>
  <r>
    <x v="45"/>
    <x v="27"/>
    <n v="0.81991655299999999"/>
    <n v="0.72276027399999998"/>
    <n v="2"/>
    <n v="2.8662420382165603"/>
    <n v="6.4523156350352249"/>
    <n v="0.75313608538187993"/>
    <n v="125.52268089697999"/>
    <n v="9.0432074039514792"/>
    <x v="811"/>
  </r>
  <r>
    <x v="45"/>
    <x v="24"/>
    <n v="0.56193137999999998"/>
    <n v="0.57808694400000005"/>
    <n v="6"/>
    <n v="30.414012738853501"/>
    <n v="726.50286012876552"/>
    <n v="177.89179528535169"/>
    <n v="29648.632547558616"/>
    <n v="28.410955588462002"/>
    <x v="812"/>
  </r>
  <r>
    <x v="45"/>
    <x v="79"/>
    <n v="0.84088890000000005"/>
    <n v="0.84088888900000003"/>
    <n v="10"/>
    <n v="20.38216560509554"/>
    <n v="326.28005976671949"/>
    <n v="193.29320522367121"/>
    <n v="32215.534203945204"/>
    <n v="23.525843616373891"/>
    <x v="813"/>
  </r>
  <r>
    <x v="45"/>
    <x v="79"/>
    <n v="0.84088890000000005"/>
    <n v="0.84088888900000003"/>
    <n v="9"/>
    <n v="17.834394904458598"/>
    <n v="249.80817075889462"/>
    <n v="134.38691872755896"/>
    <n v="22397.819787926492"/>
    <n v="19.004767710657632"/>
    <x v="814"/>
  </r>
  <r>
    <x v="45"/>
    <x v="79"/>
    <n v="0.84088890000000005"/>
    <n v="0.84088888900000003"/>
    <n v="8.5"/>
    <n v="32.324840764331206"/>
    <n v="820.65887346964985"/>
    <n v="405.77740871943149"/>
    <n v="67629.568119905249"/>
    <n v="40.071336080571214"/>
    <x v="815"/>
  </r>
  <r>
    <x v="45"/>
    <x v="71"/>
    <n v="0.85750000000000004"/>
    <n v="0.61247410899999999"/>
    <n v="5"/>
    <n v="14.012738853503183"/>
    <n v="154.2183094991135"/>
    <n v="34.707263169601717"/>
    <n v="5784.5438616002866"/>
    <n v="12.421944878088359"/>
    <x v="816"/>
  </r>
  <r>
    <x v="45"/>
    <x v="69"/>
    <n v="0.432770245"/>
    <n v="0.61247410899999999"/>
    <n v="3"/>
    <n v="2.8662420382165603"/>
    <n v="6.4523156350352249"/>
    <n v="0.95182639315767614"/>
    <n v="158.63773219294603"/>
    <n v="9.0719611059272172"/>
    <x v="817"/>
  </r>
  <r>
    <x v="46"/>
    <x v="12"/>
    <n v="0.80908761900000004"/>
    <n v="0.87473809499999999"/>
    <n v="9.5"/>
    <n v="10.19108280254777"/>
    <n v="81.570014941679872"/>
    <n v="49.384692644416972"/>
    <n v="8230.7821074028288"/>
    <n v="12.438984108888798"/>
    <x v="818"/>
  </r>
  <r>
    <x v="46"/>
    <x v="12"/>
    <n v="0.80908761900000004"/>
    <n v="0.87473809499999999"/>
    <n v="9.5"/>
    <n v="7.9617834394904454"/>
    <n v="49.786386072802657"/>
    <n v="30.501310153878983"/>
    <n v="5083.5516923131636"/>
    <n v="11.093417351616697"/>
    <x v="819"/>
  </r>
  <r>
    <x v="46"/>
    <x v="53"/>
    <n v="0.6"/>
    <n v="0.66674999999999995"/>
    <n v="7"/>
    <n v="6.3694267515923562"/>
    <n v="31.863287086593701"/>
    <n v="11.23627970459831"/>
    <n v="1872.7132840997183"/>
    <n v="9.9796551300255576"/>
    <x v="820"/>
  </r>
  <r>
    <x v="46"/>
    <x v="53"/>
    <n v="0.6"/>
    <n v="0.66674999999999995"/>
    <n v="7.3"/>
    <n v="9.5541401273885338"/>
    <n v="71.692395944835823"/>
    <n v="25.830933636588764"/>
    <n v="4305.1556060981275"/>
    <n v="11.317944715809972"/>
    <x v="821"/>
  </r>
  <r>
    <x v="46"/>
    <x v="53"/>
    <n v="0.6"/>
    <n v="0.66674999999999995"/>
    <n v="7.5"/>
    <n v="5.7324840764331206"/>
    <n v="25.809262540140899"/>
    <n v="9.7847115199566392"/>
    <n v="1630.7852533261066"/>
    <n v="9.8483110592721808"/>
    <x v="822"/>
  </r>
  <r>
    <x v="46"/>
    <x v="21"/>
    <n v="0.39790071399999999"/>
    <n v="0.50565277799999997"/>
    <n v="6.5"/>
    <n v="7.3248407643312099"/>
    <n v="42.139197172020175"/>
    <n v="10.482491120219917"/>
    <n v="1747.081853369986"/>
    <n v="10.206312398068887"/>
    <x v="823"/>
  </r>
  <r>
    <x v="46"/>
    <x v="5"/>
    <n v="0.45255480399999998"/>
    <n v="0.57808694400000005"/>
    <n v="3.5"/>
    <n v="6.0509554140127388"/>
    <n v="28.756616595650822"/>
    <n v="4.4962573077241785"/>
    <n v="749.37621795402981"/>
    <n v="9.4342222524240338"/>
    <x v="824"/>
  </r>
  <r>
    <x v="46"/>
    <x v="5"/>
    <n v="0.45255480399999998"/>
    <n v="0.57808694400000005"/>
    <n v="6"/>
    <n v="24.840764331210192"/>
    <n v="484.64059658709033"/>
    <n v="119.82791458135016"/>
    <n v="19971.319096891693"/>
    <n v="21.944035023733214"/>
    <x v="825"/>
  </r>
  <r>
    <x v="46"/>
    <x v="43"/>
    <n v="0.62643652800000005"/>
    <n v="0.57808694400000005"/>
    <n v="4.5"/>
    <n v="15.286624203821656"/>
    <n v="183.53253361877975"/>
    <n v="35.077773956167825"/>
    <n v="5846.2956593613044"/>
    <n v="12.666173852894641"/>
    <x v="826"/>
  </r>
  <r>
    <x v="46"/>
    <x v="43"/>
    <n v="0.62643652800000005"/>
    <n v="0.57808694400000005"/>
    <n v="4"/>
    <n v="9.2356687898089174"/>
    <n v="66.992561099563275"/>
    <n v="11.692978732364748"/>
    <n v="1948.8297887274582"/>
    <n v="10.179866091930707"/>
    <x v="827"/>
  </r>
  <r>
    <x v="46"/>
    <x v="43"/>
    <n v="0.62643652800000005"/>
    <n v="0.57808694400000005"/>
    <n v="3.5"/>
    <n v="5.0955414012738851"/>
    <n v="20.392503735419968"/>
    <n v="3.2148915988082054"/>
    <n v="535.81526646803422"/>
    <n v="9.3037656416081784"/>
    <x v="828"/>
  </r>
  <r>
    <x v="46"/>
    <x v="43"/>
    <n v="0.62643652800000005"/>
    <n v="0.57808694400000005"/>
    <n v="5"/>
    <n v="6.0509554140127388"/>
    <n v="28.756616595650822"/>
    <n v="6.3684753129143576"/>
    <n v="1061.4125521523929"/>
    <n v="9.6264460748914757"/>
    <x v="829"/>
  </r>
  <r>
    <x v="46"/>
    <x v="24"/>
    <n v="0.56193137999999998"/>
    <n v="0.57808694400000005"/>
    <n v="6"/>
    <n v="31.210191082802545"/>
    <n v="765.03752294911476"/>
    <n v="187.09519604214972"/>
    <n v="31182.532673691621"/>
    <n v="29.441296575925996"/>
    <x v="830"/>
  </r>
  <r>
    <x v="46"/>
    <x v="71"/>
    <n v="0.85750000000000004"/>
    <n v="0.61247410899999999"/>
    <n v="3.5"/>
    <n v="9.5541401273885338"/>
    <n v="71.692395944835823"/>
    <n v="11.6026481007495"/>
    <n v="1933.7746834582501"/>
    <n v="10.103899521278754"/>
    <x v="831"/>
  </r>
  <r>
    <x v="46"/>
    <x v="71"/>
    <n v="0.85750000000000004"/>
    <n v="0.61247410899999999"/>
    <n v="6"/>
    <n v="6.6878980891719744"/>
    <n v="35.12927401296956"/>
    <n v="9.7870927450829885"/>
    <n v="1631.182124180498"/>
    <n v="9.9249875978741535"/>
    <x v="783"/>
  </r>
  <r>
    <x v="46"/>
    <x v="71"/>
    <n v="0.85750000000000004"/>
    <n v="0.61247410899999999"/>
    <n v="7"/>
    <n v="39.171974522292992"/>
    <n v="1205.1491758326904"/>
    <n v="358.52255662474226"/>
    <n v="59753.759437457047"/>
    <n v="46.579567905391698"/>
    <x v="832"/>
  </r>
  <r>
    <x v="46"/>
    <x v="71"/>
    <n v="0.85750000000000004"/>
    <n v="0.61247410899999999"/>
    <n v="2.5"/>
    <n v="13.375796178343949"/>
    <n v="140.51709605187824"/>
    <n v="16.113062195617001"/>
    <n v="2685.5103659361671"/>
    <n v="10.551179329790255"/>
    <x v="833"/>
  </r>
  <r>
    <x v="46"/>
    <x v="7"/>
    <n v="0.74387999999999999"/>
    <n v="0.59130000000000005"/>
    <n v="7"/>
    <n v="11.464968152866241"/>
    <n v="103.2370501605636"/>
    <n v="31.478284024494837"/>
    <n v="5246.3806707491394"/>
    <n v="12.20611462128281"/>
    <x v="834"/>
  </r>
  <r>
    <x v="46"/>
    <x v="10"/>
    <n v="0.76500000000000001"/>
    <n v="0.61247410899999999"/>
    <n v="10"/>
    <n v="42.993630573248403"/>
    <n v="1451.7710178829254"/>
    <n v="609.00034159723111"/>
    <n v="101500.05693287186"/>
    <n v="73.681529445413588"/>
    <x v="835"/>
  </r>
  <r>
    <x v="46"/>
    <x v="10"/>
    <n v="0.76500000000000001"/>
    <n v="0.61247410899999999"/>
    <n v="4.5"/>
    <n v="5.0955414012738851"/>
    <n v="20.392503735419968"/>
    <n v="4.3469399396971973"/>
    <n v="724.48998994953297"/>
    <n v="9.3946415392105145"/>
    <x v="836"/>
  </r>
  <r>
    <x v="46"/>
    <x v="10"/>
    <n v="0.76500000000000001"/>
    <n v="0.61247410899999999"/>
    <n v="8.5"/>
    <n v="29.936305732484076"/>
    <n v="703.86001174285491"/>
    <n v="256.36838164215243"/>
    <n v="42728.063607025404"/>
    <n v="35.64712642703558"/>
    <x v="837"/>
  </r>
  <r>
    <x v="46"/>
    <x v="10"/>
    <n v="0.76500000000000001"/>
    <n v="0.61247410899999999"/>
    <n v="8.5"/>
    <n v="25.159235668789808"/>
    <n v="497.14693676857826"/>
    <n v="182.594198119211"/>
    <n v="30432.366353201836"/>
    <n v="27.817067398271732"/>
    <x v="838"/>
  </r>
  <r>
    <x v="46"/>
    <x v="10"/>
    <n v="0.76500000000000001"/>
    <n v="0.61247410899999999"/>
    <n v="10"/>
    <n v="23.885350318471335"/>
    <n v="448.07747465522391"/>
    <n v="193.34173266271384"/>
    <n v="32223.622110452303"/>
    <n v="28.953548594263452"/>
    <x v="839"/>
  </r>
  <r>
    <x v="46"/>
    <x v="78"/>
    <n v="0.50016547600000005"/>
    <n v="0.61774072899999999"/>
    <n v="5"/>
    <n v="5.0955414012738851"/>
    <n v="20.392503735419968"/>
    <n v="4.8581644105354611"/>
    <n v="809.69406842257683"/>
    <n v="9.4400794880116834"/>
    <x v="840"/>
  </r>
  <r>
    <x v="46"/>
    <x v="78"/>
    <n v="0.50016547600000005"/>
    <n v="0.61774072899999999"/>
    <n v="8"/>
    <n v="9.872611464968152"/>
    <n v="76.55154722554137"/>
    <n v="27.950471049471098"/>
    <n v="4658.411841578516"/>
    <n v="11.714816799870176"/>
    <x v="841"/>
  </r>
  <r>
    <x v="47"/>
    <x v="12"/>
    <n v="0.80908761900000004"/>
    <n v="0.87473809499999999"/>
    <n v="10"/>
    <n v="14.012738853503183"/>
    <n v="154.2183094991135"/>
    <n v="96.672062250927738"/>
    <n v="16112.010375154621"/>
    <n v="15.858189756176719"/>
    <x v="842"/>
  </r>
  <r>
    <x v="47"/>
    <x v="12"/>
    <n v="0.80908761900000004"/>
    <n v="0.87473809499999999"/>
    <n v="10"/>
    <n v="14.968152866242038"/>
    <n v="175.96500293571373"/>
    <n v="109.95535307601384"/>
    <n v="18325.892179335639"/>
    <n v="16.827296007951642"/>
    <x v="843"/>
  </r>
  <r>
    <x v="47"/>
    <x v="53"/>
    <n v="0.6"/>
    <n v="0.66674999999999995"/>
    <n v="6"/>
    <n v="6.0509554140127388"/>
    <n v="28.756616595650822"/>
    <n v="8.7457881341726136"/>
    <n v="1457.6313556954356"/>
    <n v="9.754595289869771"/>
    <x v="844"/>
  </r>
  <r>
    <x v="47"/>
    <x v="53"/>
    <n v="0.6"/>
    <n v="0.66674999999999995"/>
    <n v="7"/>
    <n v="8.2802547770700627"/>
    <n v="53.848955176343352"/>
    <n v="18.751670593780787"/>
    <n v="3125.2784322967977"/>
    <n v="10.665484169743193"/>
    <x v="845"/>
  </r>
  <r>
    <x v="47"/>
    <x v="5"/>
    <n v="0.45255480399999998"/>
    <n v="0.57808694400000005"/>
    <n v="5"/>
    <n v="11.464968152866241"/>
    <n v="103.2370501605636"/>
    <n v="22.172308981823207"/>
    <n v="3695.3848303038681"/>
    <n v="11.285996158059149"/>
    <x v="846"/>
  </r>
  <r>
    <x v="47"/>
    <x v="5"/>
    <n v="0.45255480399999998"/>
    <n v="0.57808694400000005"/>
    <n v="5"/>
    <n v="3.1847133757961781"/>
    <n v="7.9658217716484252"/>
    <n v="1.8193172635552548"/>
    <n v="303.21954392587583"/>
    <n v="9.1631919875045629"/>
    <x v="847"/>
  </r>
  <r>
    <x v="47"/>
    <x v="5"/>
    <n v="0.45255480399999998"/>
    <n v="0.57808694400000005"/>
    <n v="4"/>
    <n v="6.3694267515923562"/>
    <n v="31.863287086593701"/>
    <n v="5.661543120376396"/>
    <n v="943.59052006273259"/>
    <n v="9.5536743600146039"/>
    <x v="848"/>
  </r>
  <r>
    <x v="47"/>
    <x v="71"/>
    <n v="0.85750000000000004"/>
    <n v="0.61247410899999999"/>
    <n v="9"/>
    <n v="17.834394904458598"/>
    <n v="249.80817075889462"/>
    <n v="98.6301600943724"/>
    <n v="16438.360015728733"/>
    <n v="19.004767710657632"/>
    <x v="814"/>
  </r>
  <r>
    <x v="47"/>
    <x v="71"/>
    <n v="0.85750000000000004"/>
    <n v="0.61247410899999999"/>
    <n v="8.5"/>
    <n v="15.923566878980891"/>
    <n v="199.14554429121063"/>
    <n v="74.766721968658075"/>
    <n v="12461.12032810968"/>
    <n v="16.529109468943972"/>
    <x v="849"/>
  </r>
  <r>
    <x v="47"/>
    <x v="71"/>
    <n v="0.85750000000000004"/>
    <n v="0.61247410899999999"/>
    <n v="8.5"/>
    <n v="36.942675159235669"/>
    <n v="1071.8809775930124"/>
    <n v="386.49233614245384"/>
    <n v="64415.389357075641"/>
    <n v="49.587347125644051"/>
    <x v="850"/>
  </r>
  <r>
    <x v="47"/>
    <x v="71"/>
    <n v="0.85750000000000004"/>
    <n v="0.61247410899999999"/>
    <n v="9.5"/>
    <n v="28.025477707006367"/>
    <n v="616.87323799645401"/>
    <n v="251.24326867023203"/>
    <n v="41873.878111705337"/>
    <n v="35.10116107347153"/>
    <x v="851"/>
  </r>
  <r>
    <x v="47"/>
    <x v="71"/>
    <n v="0.85750000000000004"/>
    <n v="0.61247410899999999"/>
    <n v="9"/>
    <n v="29.936305732484076"/>
    <n v="703.86001174285491"/>
    <n v="271.07675588415503"/>
    <n v="45179.459314025844"/>
    <n v="37.215445628625908"/>
    <x v="852"/>
  </r>
  <r>
    <x v="47"/>
    <x v="71"/>
    <n v="0.85750000000000004"/>
    <n v="0.61247410899999999"/>
    <n v="9"/>
    <n v="14.012738853503183"/>
    <n v="154.2183094991135"/>
    <n v="61.597960624070225"/>
    <n v="10266.326770678372"/>
    <n v="15.170940780559047"/>
    <x v="853"/>
  </r>
  <r>
    <x v="47"/>
    <x v="71"/>
    <n v="0.85750000000000004"/>
    <n v="0.61247410899999999"/>
    <n v="8"/>
    <n v="24.840764331210192"/>
    <n v="484.64059658709033"/>
    <n v="167.87673413838968"/>
    <n v="27979.455689731611"/>
    <n v="26.263480031644285"/>
    <x v="854"/>
  </r>
  <r>
    <x v="47"/>
    <x v="71"/>
    <n v="0.85750000000000004"/>
    <n v="0.61247410899999999"/>
    <n v="8"/>
    <n v="11.464968152866241"/>
    <n v="103.2370501605636"/>
    <n v="37.112851932332291"/>
    <n v="6185.4753220553821"/>
    <n v="12.666173852894641"/>
    <x v="826"/>
  </r>
  <r>
    <x v="47"/>
    <x v="7"/>
    <n v="0.74387999999999999"/>
    <n v="0.59130000000000005"/>
    <n v="2.5"/>
    <n v="4.1401273885350314"/>
    <n v="13.462238794085838"/>
    <n v="1.5779736734154577"/>
    <n v="262.99561223590962"/>
    <n v="9.135680729441356"/>
    <x v="855"/>
  </r>
  <r>
    <x v="48"/>
    <x v="32"/>
    <n v="0.78445916699999996"/>
    <n v="0.87841666699999998"/>
    <n v="3"/>
    <n v="4.1401273885350314"/>
    <n v="13.462238794085838"/>
    <n v="2.7742648112459998"/>
    <n v="554.85296224919989"/>
    <n v="9.1656768753296269"/>
    <x v="856"/>
  </r>
  <r>
    <x v="48"/>
    <x v="72"/>
    <n v="0.64800000000000002"/>
    <n v="0.66733333299999997"/>
    <n v="4.5"/>
    <n v="4.7770700636942669"/>
    <n v="17.923098986208956"/>
    <n v="4.1670866658056926"/>
    <n v="833.41733316113857"/>
    <n v="9.3451212746967425"/>
    <x v="857"/>
  </r>
  <r>
    <x v="48"/>
    <x v="53"/>
    <n v="0.6"/>
    <n v="0.66674999999999995"/>
    <n v="3"/>
    <n v="9.872611464968152"/>
    <n v="76.55154722554137"/>
    <n v="11.561246844879847"/>
    <n v="2312.2493689759694"/>
    <n v="10.009118799951317"/>
    <x v="858"/>
  </r>
  <r>
    <x v="48"/>
    <x v="53"/>
    <n v="0.6"/>
    <n v="0.66674999999999995"/>
    <n v="7"/>
    <n v="13.694267515923567"/>
    <n v="147.28804455777941"/>
    <n v="50.065944697338814"/>
    <n v="10013.188939467762"/>
    <n v="13.580257588543144"/>
    <x v="859"/>
  </r>
  <r>
    <x v="48"/>
    <x v="80"/>
    <n v="0.83069230800000005"/>
    <n v="0.78683697699999999"/>
    <n v="5.5"/>
    <n v="13.375796178343949"/>
    <n v="140.51709605187824"/>
    <n v="44.418973488799629"/>
    <n v="8883.7946977599258"/>
    <n v="12.429754525538561"/>
    <x v="860"/>
  </r>
  <r>
    <x v="48"/>
    <x v="80"/>
    <n v="0.83069230800000005"/>
    <n v="0.78683697699999999"/>
    <n v="5.5"/>
    <n v="11.146496815286623"/>
    <n v="97.581316702693215"/>
    <n v="31.117645264060414"/>
    <n v="6223.5290528120831"/>
    <n v="11.377404531624"/>
    <x v="861"/>
  </r>
  <r>
    <x v="48"/>
    <x v="21"/>
    <n v="0.39790071399999999"/>
    <n v="0.50565277799999997"/>
    <n v="8"/>
    <n v="21.97452229299363"/>
    <n v="379.25277454818155"/>
    <n v="109.60177399415258"/>
    <n v="21920.354798830514"/>
    <n v="22.506329640147673"/>
    <x v="862"/>
  </r>
  <r>
    <x v="48"/>
    <x v="40"/>
    <n v="0.9"/>
    <n v="0.61247410899999999"/>
    <n v="3"/>
    <n v="3.1847133757961781"/>
    <n v="7.9658217716484252"/>
    <n v="1.1691665044901833"/>
    <n v="233.83330089803667"/>
    <n v="9.0921951925027376"/>
    <x v="863"/>
  </r>
  <r>
    <x v="48"/>
    <x v="3"/>
    <n v="0.89361000000000002"/>
    <n v="0.61247410899999999"/>
    <n v="5.5"/>
    <n v="8.9171974522292992"/>
    <n v="62.452042689723655"/>
    <n v="15.763493871874481"/>
    <n v="3152.6987743748959"/>
    <n v="10.51639090023936"/>
    <x v="864"/>
  </r>
  <r>
    <x v="48"/>
    <x v="3"/>
    <n v="0.89361000000000002"/>
    <n v="0.61247410899999999"/>
    <n v="4.5"/>
    <n v="9.872611464968152"/>
    <n v="76.55154722554137"/>
    <n v="15.80809218863396"/>
    <n v="3161.6184377267919"/>
    <n v="10.520828199926974"/>
    <x v="865"/>
  </r>
  <r>
    <x v="48"/>
    <x v="3"/>
    <n v="0.89361000000000002"/>
    <n v="0.61247410899999999"/>
    <n v="5"/>
    <n v="6.6878980891719744"/>
    <n v="35.12927401296956"/>
    <n v="8.1916767748407242"/>
    <n v="1638.3353549681449"/>
    <n v="9.7684396648951264"/>
    <x v="866"/>
  </r>
  <r>
    <x v="48"/>
    <x v="3"/>
    <n v="0.89361000000000002"/>
    <n v="0.61247410899999999"/>
    <n v="4.5"/>
    <n v="7.3248407643312099"/>
    <n v="42.139197172020175"/>
    <n v="8.8274277055221724"/>
    <n v="1765.4855411044343"/>
    <n v="9.8307393525092284"/>
    <x v="867"/>
  </r>
  <r>
    <x v="48"/>
    <x v="5"/>
    <n v="0.45255480399999998"/>
    <n v="0.57808694400000005"/>
    <n v="5.5"/>
    <n v="14.331210191082802"/>
    <n v="161.30789087588062"/>
    <n v="37.616512446024387"/>
    <n v="7523.3024892048779"/>
    <n v="12.939334021664163"/>
    <x v="868"/>
  </r>
  <r>
    <x v="48"/>
    <x v="43"/>
    <n v="0.62643652800000005"/>
    <n v="0.57808694400000005"/>
    <n v="6.5"/>
    <n v="12.420382165605096"/>
    <n v="121.16014914677258"/>
    <n v="33.48692468183652"/>
    <n v="6697.3849363673044"/>
    <n v="12.495249068927745"/>
    <x v="869"/>
  </r>
  <r>
    <x v="48"/>
    <x v="23"/>
    <n v="0.590536375"/>
    <n v="0.61247410899999999"/>
    <n v="9"/>
    <n v="15.286624203821656"/>
    <n v="183.53253361877975"/>
    <n v="73.001133696955748"/>
    <n v="14600.22673939115"/>
    <n v="16.34664770578928"/>
    <x v="870"/>
  </r>
  <r>
    <x v="48"/>
    <x v="69"/>
    <n v="0.432770245"/>
    <n v="0.61247410899999999"/>
    <n v="6.5"/>
    <n v="21.019108280254777"/>
    <n v="346.99119637300544"/>
    <n v="98.937109573710401"/>
    <n v="19787.421914742081"/>
    <n v="19.036716268408455"/>
    <x v="871"/>
  </r>
  <r>
    <x v="48"/>
    <x v="9"/>
    <n v="0.43836446099999998"/>
    <n v="0.58666666700000003"/>
    <n v="5.5"/>
    <n v="18.471337579617835"/>
    <n v="267.9702443982531"/>
    <n v="62.62732166939395"/>
    <n v="12525.46433387879"/>
    <n v="15.553613505618891"/>
    <x v="872"/>
  </r>
  <r>
    <x v="48"/>
    <x v="9"/>
    <n v="0.43836446099999998"/>
    <n v="0.58666666700000003"/>
    <n v="5"/>
    <n v="21.97452229299363"/>
    <n v="379.25277454818155"/>
    <n v="80.091524435206765"/>
    <n v="16018.304887041353"/>
    <n v="17.436093525092296"/>
    <x v="873"/>
  </r>
  <r>
    <x v="49"/>
    <x v="12"/>
    <n v="0.80908761900000004"/>
    <n v="0.87473809499999999"/>
    <n v="15"/>
    <n v="34.394904458598724"/>
    <n v="929.1334514450723"/>
    <n v="828.68522999626509"/>
    <n v="165737.04599925302"/>
    <n v="71.093696267597039"/>
    <x v="874"/>
  </r>
  <r>
    <x v="49"/>
    <x v="39"/>
    <n v="0.41"/>
    <n v="0.33983503399999998"/>
    <n v="6"/>
    <n v="24.68152866242038"/>
    <n v="478.44717015963357"/>
    <n v="70.456107838941392"/>
    <n v="14091.221567788278"/>
    <n v="21.778434999391454"/>
    <x v="875"/>
  </r>
  <r>
    <x v="49"/>
    <x v="45"/>
    <n v="0.31264018999999998"/>
    <n v="0.356821212"/>
    <n v="15"/>
    <n v="6.6878980891719744"/>
    <n v="35.12927401296956"/>
    <n v="14.126591000181531"/>
    <n v="2825.3182000363058"/>
    <n v="11.333918994685382"/>
    <x v="876"/>
  </r>
  <r>
    <x v="49"/>
    <x v="1"/>
    <n v="0.766138345"/>
    <n v="0.90500000000000003"/>
    <n v="11"/>
    <n v="25.477707006369425"/>
    <n v="509.81259338549921"/>
    <n v="352.31271712384233"/>
    <n v="70462.543424768461"/>
    <n v="33.97657184064262"/>
    <x v="877"/>
  </r>
  <r>
    <x v="49"/>
    <x v="53"/>
    <n v="0.6"/>
    <n v="0.66674999999999995"/>
    <n v="5.5"/>
    <n v="8.4394904458598727"/>
    <n v="55.939983391401071"/>
    <n v="15.380350542407648"/>
    <n v="3076.0701084815296"/>
    <n v="10.356781230475882"/>
    <x v="878"/>
  </r>
  <r>
    <x v="49"/>
    <x v="53"/>
    <n v="0.6"/>
    <n v="0.66674999999999995"/>
    <n v="3.5"/>
    <n v="8.598726114649681"/>
    <n v="58.070840715317019"/>
    <n v="10.261923715229413"/>
    <n v="2052.3847430458827"/>
    <n v="9.8914416122357895"/>
    <x v="879"/>
  </r>
  <r>
    <x v="49"/>
    <x v="53"/>
    <n v="0.6"/>
    <n v="0.66674999999999995"/>
    <n v="2.5"/>
    <n v="4.936305732484076"/>
    <n v="19.137886806385342"/>
    <n v="2.5009973194349913"/>
    <n v="500.19946388699827"/>
    <n v="9.1989122499898563"/>
    <x v="880"/>
  </r>
  <r>
    <x v="49"/>
    <x v="33"/>
    <n v="0.63206279899999995"/>
    <n v="0.75690909100000003"/>
    <n v="2.5"/>
    <n v="2.8662420382165603"/>
    <n v="6.4523156350352249"/>
    <n v="0.97954837885609358"/>
    <n v="195.9096757712187"/>
    <n v="9.0575842549393482"/>
    <x v="881"/>
  </r>
  <r>
    <x v="49"/>
    <x v="33"/>
    <n v="0.63206279899999995"/>
    <n v="0.75690909100000003"/>
    <n v="4.5"/>
    <n v="6.8471337579617835"/>
    <n v="36.822011139444854"/>
    <n v="9.515034132069319"/>
    <n v="1903.0068264138638"/>
    <n v="9.7241110410158615"/>
    <x v="882"/>
  </r>
  <r>
    <x v="49"/>
    <x v="33"/>
    <n v="0.63206279899999995"/>
    <n v="0.75690909100000003"/>
    <n v="2.5"/>
    <n v="4.1401273885350314"/>
    <n v="13.462238794085838"/>
    <n v="2.0079918024315337"/>
    <n v="401.59836048630672"/>
    <n v="9.135680729441356"/>
    <x v="883"/>
  </r>
  <r>
    <x v="49"/>
    <x v="3"/>
    <n v="0.89361000000000002"/>
    <n v="0.61247410899999999"/>
    <n v="7"/>
    <n v="15.605095541401273"/>
    <n v="191.25938073727869"/>
    <n v="59.468153724357549"/>
    <n v="11893.630744871511"/>
    <n v="14.951915667978415"/>
    <x v="884"/>
  </r>
  <r>
    <x v="49"/>
    <x v="3"/>
    <n v="0.89361000000000002"/>
    <n v="0.61247410899999999"/>
    <n v="4.5"/>
    <n v="6.5286624203821653"/>
    <n v="33.476365995352509"/>
    <n v="7.0515561809911071"/>
    <n v="1410.3112361982214"/>
    <n v="9.6570190697391372"/>
    <x v="885"/>
  </r>
  <r>
    <x v="49"/>
    <x v="4"/>
    <n v="0.708787469"/>
    <n v="0.80167708299999996"/>
    <n v="4"/>
    <n v="8.2802547770700627"/>
    <n v="53.848955176343352"/>
    <n v="13.000210952588521"/>
    <n v="2600.0421905177041"/>
    <n v="9.9455766684246818"/>
    <x v="886"/>
  </r>
  <r>
    <x v="49"/>
    <x v="4"/>
    <n v="0.708787469"/>
    <n v="0.80167708299999996"/>
    <n v="4"/>
    <n v="4.7770700636942669"/>
    <n v="17.923098986208956"/>
    <n v="4.4427570226702269"/>
    <n v="888.55140453404533"/>
    <n v="9.3051855775082153"/>
    <x v="887"/>
  </r>
  <r>
    <x v="49"/>
    <x v="43"/>
    <n v="0.62643652800000005"/>
    <n v="0.57808694400000005"/>
    <n v="10"/>
    <n v="15.127388535031846"/>
    <n v="179.7288537228176"/>
    <n v="74.923773506207297"/>
    <n v="14984.754701241462"/>
    <n v="16.995025936143453"/>
    <x v="888"/>
  </r>
  <r>
    <x v="49"/>
    <x v="43"/>
    <n v="0.62643652800000005"/>
    <n v="0.57808694400000005"/>
    <n v="3"/>
    <n v="9.872611464968152"/>
    <n v="76.55154722554137"/>
    <n v="10.058242158120432"/>
    <n v="2011.6484316240865"/>
    <n v="10.009118799951317"/>
    <x v="858"/>
  </r>
  <r>
    <x v="49"/>
    <x v="16"/>
    <n v="0.63400000000000001"/>
    <n v="0.73247777800000002"/>
    <n v="9"/>
    <n v="11.146496815286623"/>
    <n v="97.581316702693215"/>
    <n v="46.925541148081159"/>
    <n v="9385.1082296162313"/>
    <n v="12.899398324475637"/>
    <x v="889"/>
  </r>
  <r>
    <x v="49"/>
    <x v="48"/>
    <n v="0.39"/>
    <n v="0.28861111099999998"/>
    <n v="12"/>
    <n v="15.923566878980891"/>
    <n v="199.14554429121063"/>
    <n v="50.227813070118309"/>
    <n v="10045.562614023662"/>
    <n v="19.635219250273842"/>
    <x v="890"/>
  </r>
  <r>
    <x v="49"/>
    <x v="81"/>
    <n v="0.56000000000000005"/>
    <n v="0.53945833300000001"/>
    <n v="6"/>
    <n v="10.031847133757962"/>
    <n v="79.040866529181514"/>
    <n v="19.0799454553587"/>
    <n v="3815.9890910717404"/>
    <n v="11.099097095216845"/>
    <x v="891"/>
  </r>
  <r>
    <x v="49"/>
    <x v="29"/>
    <n v="0.40238543599999999"/>
    <n v="0.40883333300000002"/>
    <n v="10"/>
    <n v="15.445859872611464"/>
    <n v="187.37604262360011"/>
    <n v="55.647473491591704"/>
    <n v="11129.494698318342"/>
    <n v="17.335810552152218"/>
    <x v="892"/>
  </r>
  <r>
    <x v="49"/>
    <x v="29"/>
    <n v="0.40238543599999999"/>
    <n v="0.40883333300000002"/>
    <n v="11"/>
    <n v="12.579617834394904"/>
    <n v="124.28673419214456"/>
    <n v="40.910460577366202"/>
    <n v="8182.0921154732405"/>
    <n v="15.078201217087912"/>
    <x v="893"/>
  </r>
  <r>
    <x v="50"/>
    <x v="45"/>
    <n v="0.31264018999999998"/>
    <n v="0.356821212"/>
    <n v="11"/>
    <n v="25.477707006369425"/>
    <n v="509.81259338549921"/>
    <n v="142.04670192038719"/>
    <n v="28409.340384077437"/>
    <n v="33.97657184064262"/>
    <x v="877"/>
  </r>
  <r>
    <x v="50"/>
    <x v="1"/>
    <n v="0.766138345"/>
    <n v="0.90500000000000003"/>
    <n v="6"/>
    <n v="11.146496815286623"/>
    <n v="97.581316702693215"/>
    <n v="38.832365566115207"/>
    <n v="7766.4731132230418"/>
    <n v="11.594832216317091"/>
    <x v="894"/>
  </r>
  <r>
    <x v="50"/>
    <x v="1"/>
    <n v="0.766138345"/>
    <n v="0.90500000000000003"/>
    <n v="7"/>
    <n v="7.6433121019108281"/>
    <n v="45.883133404694938"/>
    <n v="21.611526082657125"/>
    <n v="4322.3052165314248"/>
    <n v="10.416995387236804"/>
    <x v="895"/>
  </r>
  <r>
    <x v="50"/>
    <x v="53"/>
    <n v="0.6"/>
    <n v="0.66674999999999995"/>
    <n v="3.5"/>
    <n v="5.0955414012738851"/>
    <n v="20.392503735419968"/>
    <n v="3.695293349379615"/>
    <n v="739.05866987592299"/>
    <n v="9.3037656416081784"/>
    <x v="896"/>
  </r>
  <r>
    <x v="50"/>
    <x v="53"/>
    <n v="0.6"/>
    <n v="0.66674999999999995"/>
    <n v="8"/>
    <n v="13.057324840764331"/>
    <n v="133.90546398141004"/>
    <n v="51.971615717973336"/>
    <n v="10394.323143594667"/>
    <n v="13.759524495922754"/>
    <x v="897"/>
  </r>
  <r>
    <x v="50"/>
    <x v="53"/>
    <n v="0.6"/>
    <n v="0.66674999999999995"/>
    <n v="3"/>
    <n v="5.4140127388535033"/>
    <n v="23.021224920063954"/>
    <n v="3.5785158249769915"/>
    <n v="715.70316499539831"/>
    <n v="9.2934711063329143"/>
    <x v="898"/>
  </r>
  <r>
    <x v="50"/>
    <x v="3"/>
    <n v="0.89361000000000002"/>
    <n v="0.61247410899999999"/>
    <n v="6.5"/>
    <n v="7.0063694267515917"/>
    <n v="38.554577374778376"/>
    <n v="11.588267964647688"/>
    <n v="2317.6535929295378"/>
    <n v="10.102479585378717"/>
    <x v="899"/>
  </r>
  <r>
    <x v="50"/>
    <x v="4"/>
    <n v="0.708787469"/>
    <n v="0.80167708299999996"/>
    <n v="6.5"/>
    <n v="6.0509554140127388"/>
    <n v="28.756616595650822"/>
    <n v="11.319893422644382"/>
    <n v="2263.9786845288763"/>
    <n v="9.8186698973589195"/>
    <x v="900"/>
  </r>
  <r>
    <x v="50"/>
    <x v="43"/>
    <n v="0.62643652800000005"/>
    <n v="0.57808694400000005"/>
    <n v="8"/>
    <n v="20.700636942675157"/>
    <n v="336.55596985214595"/>
    <n v="111.1568972760882"/>
    <n v="22231.37945521764"/>
    <n v="20.98415835530853"/>
    <x v="901"/>
  </r>
  <r>
    <x v="50"/>
    <x v="7"/>
    <n v="0.74387999999999999"/>
    <n v="0.59130000000000005"/>
    <n v="12"/>
    <n v="14.012738853503183"/>
    <n v="154.2183094991135"/>
    <n v="78.812191100777525"/>
    <n v="15762.438220155504"/>
    <n v="17.232687707412062"/>
    <x v="902"/>
  </r>
  <r>
    <x v="50"/>
    <x v="69"/>
    <n v="0.432770245"/>
    <n v="0.61247410899999999"/>
    <n v="5"/>
    <n v="18.949044585987259"/>
    <n v="282.01000527078338"/>
    <n v="62.554399801275267"/>
    <n v="12510.879960255053"/>
    <n v="15.269360087630329"/>
    <x v="903"/>
  </r>
  <r>
    <x v="50"/>
    <x v="81"/>
    <n v="0.56000000000000005"/>
    <n v="0.53945833300000001"/>
    <n v="5.5"/>
    <n v="5.7324840764331206"/>
    <n v="25.809262540140899"/>
    <n v="5.8787531216952047"/>
    <n v="1175.750624339041"/>
    <n v="9.618281443466266"/>
    <x v="904"/>
  </r>
  <r>
    <x v="50"/>
    <x v="9"/>
    <n v="0.43836446099999998"/>
    <n v="0.58666666700000003"/>
    <n v="3.5"/>
    <n v="5.0955414012738851"/>
    <n v="20.392503735419968"/>
    <n v="3.2614522763892113"/>
    <n v="652.29045527784228"/>
    <n v="9.3037656416081784"/>
    <x v="896"/>
  </r>
  <r>
    <x v="51"/>
    <x v="49"/>
    <n v="0.86"/>
    <n v="0.65666666699999998"/>
    <n v="9"/>
    <n v="6.6878980891719744"/>
    <n v="35.12927401296956"/>
    <n v="15.561441916617834"/>
    <n v="3112.2883833235669"/>
    <n v="10.39463139681123"/>
    <x v="905"/>
  </r>
  <r>
    <x v="51"/>
    <x v="49"/>
    <n v="0.86"/>
    <n v="0.65666666699999998"/>
    <n v="11"/>
    <n v="34.235668789808919"/>
    <n v="920.55027848612133"/>
    <n v="458.61226633055486"/>
    <n v="91722.45326611097"/>
    <n v="54.110819173191608"/>
    <x v="906"/>
  </r>
  <r>
    <x v="51"/>
    <x v="49"/>
    <n v="0.86"/>
    <n v="0.65666666699999998"/>
    <n v="7"/>
    <n v="5.7324840764331206"/>
    <n v="25.809262540140899"/>
    <n v="9.0124880222501407"/>
    <n v="1802.4976044500283"/>
    <n v="9.790803655320703"/>
    <x v="907"/>
  </r>
  <r>
    <x v="51"/>
    <x v="49"/>
    <n v="0.86"/>
    <n v="0.65666666699999998"/>
    <n v="11"/>
    <n v="7.3248407643312099"/>
    <n v="42.139197172020175"/>
    <n v="22.606278839496117"/>
    <n v="4521.2557678992234"/>
    <n v="11.051351750578117"/>
    <x v="908"/>
  </r>
  <r>
    <x v="51"/>
    <x v="49"/>
    <n v="0.86"/>
    <n v="0.65666666699999998"/>
    <n v="10"/>
    <n v="5.7324840764331206"/>
    <n v="25.809262540140899"/>
    <n v="12.765240854662688"/>
    <n v="2553.0481709325377"/>
    <n v="10.135848079029575"/>
    <x v="909"/>
  </r>
  <r>
    <x v="51"/>
    <x v="45"/>
    <n v="0.31264018999999998"/>
    <n v="0.356821212"/>
    <n v="13"/>
    <n v="16.878980891719745"/>
    <n v="223.75993356560429"/>
    <n v="74.850628026252309"/>
    <n v="14970.125605250461"/>
    <n v="21.948649815408331"/>
    <x v="910"/>
  </r>
  <r>
    <x v="51"/>
    <x v="45"/>
    <n v="0.31264018999999998"/>
    <n v="0.356821212"/>
    <n v="15"/>
    <n v="24.840764331210192"/>
    <n v="484.64059658709033"/>
    <n v="182.99278743338132"/>
    <n v="36598.557486676269"/>
    <n v="41.38153755933304"/>
    <x v="911"/>
  </r>
  <r>
    <x v="51"/>
    <x v="45"/>
    <n v="0.31264018999999998"/>
    <n v="0.356821212"/>
    <n v="15.5"/>
    <n v="27.070063694267514"/>
    <n v="575.53062300159877"/>
    <n v="223.45481624832695"/>
    <n v="44690.963249665387"/>
    <n v="48.739467901334741"/>
    <x v="912"/>
  </r>
  <r>
    <x v="51"/>
    <x v="45"/>
    <n v="0.31264018999999998"/>
    <n v="0.356821212"/>
    <n v="15.5"/>
    <n v="31.847133757961782"/>
    <n v="796.58217716484251"/>
    <n v="306.87674336474038"/>
    <n v="61375.348672948079"/>
    <n v="64.008216126414851"/>
    <x v="913"/>
  </r>
  <r>
    <x v="51"/>
    <x v="1"/>
    <n v="0.766138345"/>
    <n v="0.90500000000000003"/>
    <n v="12"/>
    <n v="32.165605095541402"/>
    <n v="812.59347892585606"/>
    <n v="604.52410431436897"/>
    <n v="120904.82086287378"/>
    <n v="52.439998348817404"/>
    <x v="914"/>
  </r>
  <r>
    <x v="51"/>
    <x v="53"/>
    <n v="0.6"/>
    <n v="0.66674999999999995"/>
    <n v="10"/>
    <n v="8.9171974522292992"/>
    <n v="62.452042689723655"/>
    <n v="30.693667216158875"/>
    <n v="6138.7334432317748"/>
    <n v="11.768774364071565"/>
    <x v="915"/>
  </r>
  <r>
    <x v="51"/>
    <x v="80"/>
    <n v="0.83069230800000005"/>
    <n v="0.78683697699999999"/>
    <n v="8"/>
    <n v="7.6433121019108281"/>
    <n v="45.883133404694938"/>
    <n v="21.477320063589957"/>
    <n v="4295.464012717991"/>
    <n v="10.621466156842063"/>
    <x v="916"/>
  </r>
  <r>
    <x v="51"/>
    <x v="3"/>
    <n v="0.89361000000000002"/>
    <n v="0.61247410899999999"/>
    <n v="3"/>
    <n v="3.1847133757961781"/>
    <n v="7.9658217716484252"/>
    <n v="1.1691665044901833"/>
    <n v="233.83330089803667"/>
    <n v="9.0921951925027376"/>
    <x v="863"/>
  </r>
  <r>
    <x v="51"/>
    <x v="43"/>
    <n v="0.62643652800000005"/>
    <n v="0.57808694400000005"/>
    <n v="11"/>
    <n v="15.923566878980891"/>
    <n v="199.14554429121063"/>
    <n v="90.887137505553852"/>
    <n v="18177.427501110771"/>
    <n v="18.747759312751022"/>
    <x v="917"/>
  </r>
  <r>
    <x v="51"/>
    <x v="43"/>
    <n v="0.62643652800000005"/>
    <n v="0.57808694400000005"/>
    <n v="4"/>
    <n v="5.7324840764331206"/>
    <n v="25.809262540140899"/>
    <n v="4.6091007117282423"/>
    <n v="921.82014234564849"/>
    <n v="9.4457592316118291"/>
    <x v="918"/>
  </r>
  <r>
    <x v="51"/>
    <x v="68"/>
    <n v="0.56023871300000005"/>
    <n v="0.74103703700000001"/>
    <n v="11"/>
    <n v="9.0764331210191074"/>
    <n v="64.702387340214344"/>
    <n v="38.65703808926672"/>
    <n v="7731.4076178533451"/>
    <n v="12.157393070712807"/>
    <x v="919"/>
  </r>
  <r>
    <x v="51"/>
    <x v="69"/>
    <n v="0.432770245"/>
    <n v="0.61247410899999999"/>
    <n v="10"/>
    <n v="21.337579617834393"/>
    <n v="357.58573932929778"/>
    <n v="155.13294425383708"/>
    <n v="31026.588850767417"/>
    <n v="24.92093063815976"/>
    <x v="920"/>
  </r>
  <r>
    <x v="51"/>
    <x v="9"/>
    <n v="0.43836446099999998"/>
    <n v="0.58666666700000003"/>
    <n v="4"/>
    <n v="9.2356687898089174"/>
    <n v="66.992561099563275"/>
    <n v="11.862325970362146"/>
    <n v="2372.4651940724293"/>
    <n v="10.179866091930707"/>
    <x v="921"/>
  </r>
  <r>
    <x v="52"/>
    <x v="45"/>
    <n v="0.31264018999999998"/>
    <n v="0.356821212"/>
    <n v="14"/>
    <n v="25.477707006369425"/>
    <n v="509.81259338549921"/>
    <n v="179.74336036349547"/>
    <n v="35948.672072699097"/>
    <n v="40.792264160817879"/>
    <x v="922"/>
  </r>
  <r>
    <x v="52"/>
    <x v="45"/>
    <n v="0.31264018999999998"/>
    <n v="0.356821212"/>
    <n v="13"/>
    <n v="21.97452229299363"/>
    <n v="379.25277454818155"/>
    <n v="125.26864397947459"/>
    <n v="25053.72879589492"/>
    <n v="30.956723165239971"/>
    <x v="923"/>
  </r>
  <r>
    <x v="52"/>
    <x v="45"/>
    <n v="0.31264018999999998"/>
    <n v="0.356821212"/>
    <n v="13"/>
    <n v="28.662420382165603"/>
    <n v="645.23156350352247"/>
    <n v="210.42160533092499"/>
    <n v="42084.321066185003"/>
    <n v="46.365512568461185"/>
    <x v="924"/>
  </r>
  <r>
    <x v="52"/>
    <x v="1"/>
    <n v="0.766138345"/>
    <n v="0.90500000000000003"/>
    <n v="9"/>
    <n v="21.656050955414013"/>
    <n v="368.33959872102326"/>
    <n v="210.90918394340522"/>
    <n v="42181.836788681045"/>
    <n v="23.758713103979879"/>
    <x v="925"/>
  </r>
  <r>
    <x v="52"/>
    <x v="1"/>
    <n v="0.766138345"/>
    <n v="0.90500000000000003"/>
    <n v="11"/>
    <n v="15.605095541401273"/>
    <n v="191.25938073727869"/>
    <n v="135.31919745188199"/>
    <n v="27063.839490376395"/>
    <n v="18.36118176396608"/>
    <x v="926"/>
  </r>
  <r>
    <x v="52"/>
    <x v="1"/>
    <n v="0.766138345"/>
    <n v="0.90500000000000003"/>
    <n v="6.5"/>
    <n v="9.872611464968152"/>
    <n v="76.55154722554137"/>
    <n v="33.131329748536459"/>
    <n v="6626.2659497072918"/>
    <n v="11.203107399894519"/>
    <x v="927"/>
  </r>
  <r>
    <x v="52"/>
    <x v="21"/>
    <n v="0.39790071399999999"/>
    <n v="0.50565277799999997"/>
    <n v="13"/>
    <n v="9.0764331210191074"/>
    <n v="64.702387340214344"/>
    <n v="31.335325458701767"/>
    <n v="6267.0650917403536"/>
    <n v="12.734064538115137"/>
    <x v="928"/>
  </r>
  <r>
    <x v="52"/>
    <x v="43"/>
    <n v="0.62643652800000005"/>
    <n v="0.57808694400000005"/>
    <n v="13"/>
    <n v="15.923566878980891"/>
    <n v="199.14554429121063"/>
    <n v="106.98228673373076"/>
    <n v="21396.457346746152"/>
    <n v="20.522679187796662"/>
    <x v="929"/>
  </r>
  <r>
    <x v="52"/>
    <x v="43"/>
    <n v="0.62643652800000005"/>
    <n v="0.57808694400000005"/>
    <n v="5"/>
    <n v="5.7324840764331206"/>
    <n v="25.809262540140899"/>
    <n v="5.7306036297489085"/>
    <n v="1146.1207259497817"/>
    <n v="9.5607740395147864"/>
    <x v="930"/>
  </r>
  <r>
    <x v="52"/>
    <x v="43"/>
    <n v="0.62643652800000005"/>
    <n v="0.57808694400000005"/>
    <n v="12"/>
    <n v="19.745222929936304"/>
    <n v="306.20618890216548"/>
    <n v="150.57164336025434"/>
    <n v="30114.328672050869"/>
    <n v="25.360400799221061"/>
    <x v="931"/>
  </r>
  <r>
    <x v="52"/>
    <x v="43"/>
    <n v="0.62643652800000005"/>
    <n v="0.57808694400000005"/>
    <n v="6"/>
    <n v="13.694267515923567"/>
    <n v="147.28804455777941"/>
    <n v="37.473112077550844"/>
    <n v="7494.622415510169"/>
    <n v="12.923892218751266"/>
    <x v="932"/>
  </r>
  <r>
    <x v="52"/>
    <x v="43"/>
    <n v="0.62643652800000005"/>
    <n v="0.57808694400000005"/>
    <n v="4.5"/>
    <n v="13.694267515923567"/>
    <n v="147.28804455777941"/>
    <n v="28.299551651559007"/>
    <n v="5659.9103303118009"/>
    <n v="11.939344164063451"/>
    <x v="933"/>
  </r>
  <r>
    <x v="52"/>
    <x v="16"/>
    <n v="0.63400000000000001"/>
    <n v="0.73247777800000002"/>
    <n v="10"/>
    <n v="14.808917197452228"/>
    <n v="172.24098125746809"/>
    <n v="90.555731245246392"/>
    <n v="18111.146249049278"/>
    <n v="16.661340999634874"/>
    <x v="934"/>
  </r>
  <r>
    <x v="52"/>
    <x v="69"/>
    <n v="0.432770245"/>
    <n v="0.61247410899999999"/>
    <n v="13"/>
    <n v="29.29936305732484"/>
    <n v="674.2271547523228"/>
    <n v="372.159038452424"/>
    <n v="74431.807690484799"/>
    <n v="48.045296738204392"/>
    <x v="935"/>
  </r>
  <r>
    <x v="52"/>
    <x v="69"/>
    <n v="0.432770245"/>
    <n v="0.61247410899999999"/>
    <n v="12"/>
    <n v="27.388535031847134"/>
    <n v="589.15217823111766"/>
    <n v="301.73653104151066"/>
    <n v="60347.306208302129"/>
    <n v="40.491237750010143"/>
    <x v="936"/>
  </r>
  <r>
    <x v="52"/>
    <x v="69"/>
    <n v="0.432770245"/>
    <n v="0.61247410899999999"/>
    <n v="11"/>
    <n v="21.019108280254777"/>
    <n v="346.99119637300544"/>
    <n v="165.33128568949004"/>
    <n v="33066.257137898006"/>
    <n v="25.995112146537387"/>
    <x v="937"/>
  </r>
  <r>
    <x v="52"/>
    <x v="69"/>
    <n v="0.432770245"/>
    <n v="0.61247410899999999"/>
    <n v="8"/>
    <n v="16.560509554140125"/>
    <n v="215.39582070537341"/>
    <n v="76.078225490000762"/>
    <n v="15215.645098000154"/>
    <n v="16.664713347397459"/>
    <x v="938"/>
  </r>
  <r>
    <x v="52"/>
    <x v="9"/>
    <n v="0.43836446099999998"/>
    <n v="0.58666666700000003"/>
    <n v="6"/>
    <n v="12.420382165605096"/>
    <n v="121.16014914677258"/>
    <n v="31.418984492347377"/>
    <n v="6283.7968984694753"/>
    <n v="12.225283755933305"/>
    <x v="939"/>
  </r>
  <r>
    <x v="53"/>
    <x v="12"/>
    <n v="0.80908761900000004"/>
    <n v="0.87473809499999999"/>
    <n v="7"/>
    <n v="15.286624203821656"/>
    <n v="183.53253361877975"/>
    <n v="80.887225901831158"/>
    <n v="20221.80647545779"/>
    <n v="14.710881548947217"/>
    <x v="940"/>
  </r>
  <r>
    <x v="53"/>
    <x v="39"/>
    <n v="0.41"/>
    <n v="0.33983503399999998"/>
    <n v="7"/>
    <n v="9.872611464968152"/>
    <n v="76.55154722554137"/>
    <n v="13.692407566419806"/>
    <n v="3423.1018916049516"/>
    <n v="11.373677199886405"/>
    <x v="941"/>
  </r>
  <r>
    <x v="53"/>
    <x v="1"/>
    <n v="0.766138345"/>
    <n v="0.90500000000000003"/>
    <n v="4"/>
    <n v="5.8917197452229297"/>
    <n v="27.263025013466741"/>
    <n v="7.5305582094892261"/>
    <n v="1882.6395523723065"/>
    <n v="9.4716730617874951"/>
    <x v="942"/>
  </r>
  <r>
    <x v="53"/>
    <x v="53"/>
    <n v="0.6"/>
    <n v="0.66674999999999995"/>
    <n v="8"/>
    <n v="21.019108280254777"/>
    <n v="346.99119637300544"/>
    <n v="131.63212502083996"/>
    <n v="32908.031255209993"/>
    <n v="21.356181561118099"/>
    <x v="943"/>
  </r>
  <r>
    <x v="53"/>
    <x v="53"/>
    <n v="0.6"/>
    <n v="0.66674999999999995"/>
    <n v="8"/>
    <n v="10.987261146496815"/>
    <n v="94.813193637045387"/>
    <n v="37.105219397493919"/>
    <n v="9276.3048493734805"/>
    <n v="12.365857410036918"/>
    <x v="944"/>
  </r>
  <r>
    <x v="53"/>
    <x v="53"/>
    <n v="0.6"/>
    <n v="0.66674999999999995"/>
    <n v="6.5"/>
    <n v="8.2802547770700627"/>
    <n v="53.848955176343352"/>
    <n v="17.443262413146194"/>
    <n v="4360.8156032865481"/>
    <n v="10.545499586190108"/>
    <x v="945"/>
  </r>
  <r>
    <x v="53"/>
    <x v="2"/>
    <n v="0.47982689899999997"/>
    <n v="0.51"/>
    <n v="1.2"/>
    <n v="2.0700636942675157"/>
    <n v="3.3655596985214595"/>
    <n v="0.17245851865079584"/>
    <n v="43.11462966269896"/>
    <n v="9.0036976875329628"/>
    <x v="946"/>
  </r>
  <r>
    <x v="53"/>
    <x v="74"/>
    <n v="0.490852183"/>
    <n v="0.607288889"/>
    <n v="6.5"/>
    <n v="20.541401273885349"/>
    <n v="331.39810025500361"/>
    <n v="93.813694099441264"/>
    <n v="23453.423524860315"/>
    <n v="18.585043533206214"/>
    <x v="947"/>
  </r>
  <r>
    <x v="53"/>
    <x v="3"/>
    <n v="0.89361000000000002"/>
    <n v="0.61247410899999999"/>
    <n v="5"/>
    <n v="4.2993630573248405"/>
    <n v="14.517710178829255"/>
    <n v="3.4578986530820592"/>
    <n v="864.47466327051484"/>
    <n v="9.3091791472270682"/>
    <x v="948"/>
  </r>
  <r>
    <x v="53"/>
    <x v="22"/>
    <n v="1082380952"/>
    <n v="0.61247410899999999"/>
    <n v="3"/>
    <n v="1.910828025477707"/>
    <n v="2.8676958377934336"/>
    <n v="0.43134781801443484"/>
    <n v="107.83695450360871"/>
    <n v="9.024038269300986"/>
    <x v="949"/>
  </r>
  <r>
    <x v="53"/>
    <x v="71"/>
    <n v="0.85750000000000004"/>
    <n v="0.61247410899999999"/>
    <n v="8.6999999999999993"/>
    <n v="17.67515923566879"/>
    <n v="245.36722512120065"/>
    <n v="93.764126850526395"/>
    <n v="23441.0317126316"/>
    <n v="18.498622684490243"/>
    <x v="950"/>
  </r>
  <r>
    <x v="53"/>
    <x v="71"/>
    <n v="0.85750000000000004"/>
    <n v="0.61247410899999999"/>
    <n v="6"/>
    <n v="5.4140127388535033"/>
    <n v="23.021224920063954"/>
    <n v="6.4791485162377525"/>
    <n v="1619.787129059438"/>
    <n v="9.6012422126658272"/>
    <x v="951"/>
  </r>
  <r>
    <x v="53"/>
    <x v="71"/>
    <n v="0.85750000000000004"/>
    <n v="0.61247410899999999"/>
    <n v="6"/>
    <n v="4.4585987261146496"/>
    <n v="15.613010672430914"/>
    <n v="4.4353057770243076"/>
    <n v="1108.8264442560769"/>
    <n v="9.4031611546107339"/>
    <x v="952"/>
  </r>
  <r>
    <x v="53"/>
    <x v="71"/>
    <n v="0.85750000000000004"/>
    <n v="0.61247410899999999"/>
    <n v="5.7"/>
    <n v="7.3248407643312099"/>
    <n v="42.139197172020175"/>
    <n v="11.118152205989176"/>
    <n v="2779.538051497294"/>
    <n v="10.056083179845023"/>
    <x v="953"/>
  </r>
  <r>
    <x v="53"/>
    <x v="71"/>
    <n v="0.85750000000000004"/>
    <n v="0.61247410899999999"/>
    <n v="5.5"/>
    <n v="5.4140127388535033"/>
    <n v="23.021224920063954"/>
    <n v="5.9516351443122542"/>
    <n v="1487.9087860780635"/>
    <n v="9.5499470282770087"/>
    <x v="954"/>
  </r>
  <r>
    <x v="53"/>
    <x v="82"/>
    <n v="0.93384615400000004"/>
    <n v="0.61247410899999999"/>
    <n v="2"/>
    <n v="3.5031847133757958"/>
    <n v="9.6386443436945939"/>
    <n v="0.94800323060632496"/>
    <n v="237.00080765158125"/>
    <n v="9.0716061219522093"/>
    <x v="955"/>
  </r>
  <r>
    <x v="53"/>
    <x v="23"/>
    <n v="0.590536375"/>
    <n v="0.61247410899999999"/>
    <n v="8"/>
    <n v="18.789808917197451"/>
    <n v="277.29025587108168"/>
    <n v="97.347538411375666"/>
    <n v="24336.884602843915"/>
    <n v="18.871293736054199"/>
    <x v="956"/>
  </r>
  <r>
    <x v="53"/>
    <x v="13"/>
    <n v="0.50857142899999996"/>
    <n v="0.49666666700000001"/>
    <n v="10"/>
    <n v="47.452229299363054"/>
    <n v="1768.4920915236669"/>
    <n v="601.765715220738"/>
    <n v="150441.42880518449"/>
    <n v="87.795692291776518"/>
    <x v="957"/>
  </r>
  <r>
    <x v="53"/>
    <x v="48"/>
    <n v="0.39"/>
    <n v="0.28861111099999998"/>
    <n v="8"/>
    <n v="20.859872611464969"/>
    <n v="341.75366855814667"/>
    <n v="57.278649477630537"/>
    <n v="14319.662369407635"/>
    <n v="21.169459990263299"/>
    <x v="958"/>
  </r>
  <r>
    <x v="53"/>
    <x v="28"/>
    <n v="1.1200000000000001"/>
    <n v="0.85527777800000004"/>
    <n v="2.5"/>
    <n v="1.910828025477707"/>
    <n v="2.8676958377934336"/>
    <n v="0.50013321284102652"/>
    <n v="125.03330321025663"/>
    <n v="9.017648557750821"/>
    <x v="959"/>
  </r>
  <r>
    <x v="53"/>
    <x v="8"/>
    <n v="0.66608171000000005"/>
    <n v="0.68661666700000001"/>
    <n v="6.5"/>
    <n v="4.4585987261146496"/>
    <n v="15.613010672430914"/>
    <n v="5.3615078975518626"/>
    <n v="1340.3769743879657"/>
    <n v="9.437949584161629"/>
    <x v="960"/>
  </r>
  <r>
    <x v="53"/>
    <x v="30"/>
    <n v="0.57917600000000002"/>
    <n v="0.60285714300000004"/>
    <n v="10"/>
    <n v="35.031847133757964"/>
    <n v="963.86443436945979"/>
    <n v="402.06491542595677"/>
    <n v="100516.22885648919"/>
    <n v="51.938760976104511"/>
    <x v="961"/>
  </r>
  <r>
    <x v="53"/>
    <x v="83"/>
    <n v="0.41185709999999998"/>
    <n v="0.41185714299999998"/>
    <n v="2.8"/>
    <n v="2.7070063694267517"/>
    <n v="5.7553062300159885"/>
    <n v="0.54032250511944668"/>
    <n v="135.08062627986166"/>
    <n v="9.0575132581443469"/>
    <x v="962"/>
  </r>
  <r>
    <x v="54"/>
    <x v="53"/>
    <n v="0.6"/>
    <n v="0.66674999999999995"/>
    <n v="4"/>
    <n v="6.3694267515923562"/>
    <n v="31.863287086593701"/>
    <n v="6.5075483875439177"/>
    <n v="1626.8870968859794"/>
    <n v="9.5536743600146039"/>
    <x v="963"/>
  </r>
  <r>
    <x v="54"/>
    <x v="74"/>
    <n v="0.490852183"/>
    <n v="0.607288889"/>
    <n v="2.5"/>
    <n v="5.2547770700636942"/>
    <n v="21.68694977331284"/>
    <n v="2.5794098029285504"/>
    <n v="644.85245073213764"/>
    <n v="9.2273109679905883"/>
    <x v="964"/>
  </r>
  <r>
    <x v="54"/>
    <x v="3"/>
    <n v="0.89361000000000002"/>
    <n v="0.61247410899999999"/>
    <n v="2.1"/>
    <n v="3.8216560509554141"/>
    <n v="11.470783351173734"/>
    <n v="1.178294482570877"/>
    <n v="294.57362064271922"/>
    <n v="9.0930471540427593"/>
    <x v="965"/>
  </r>
  <r>
    <x v="54"/>
    <x v="4"/>
    <n v="0.708787469"/>
    <n v="0.80167708299999996"/>
    <n v="3.7"/>
    <n v="11.783439490445859"/>
    <n v="109.05210005386697"/>
    <n v="23.988689375489496"/>
    <n v="5997.1723438723739"/>
    <n v="10.783800328613736"/>
    <x v="966"/>
  </r>
  <r>
    <x v="54"/>
    <x v="4"/>
    <n v="0.708787469"/>
    <n v="0.80167708299999996"/>
    <n v="2.2000000000000002"/>
    <n v="4.2993630573248405"/>
    <n v="14.517710178829255"/>
    <n v="2.0180314276740154"/>
    <n v="504.50785691850388"/>
    <n v="9.1280308247799091"/>
    <x v="967"/>
  </r>
  <r>
    <x v="54"/>
    <x v="84"/>
    <n v="0.13069240100000001"/>
    <n v="0.26500000000000001"/>
    <n v="6"/>
    <n v="12.738853503184712"/>
    <n v="127.4531483463748"/>
    <n v="15.198232626164284"/>
    <n v="3799.5581565410712"/>
    <n v="12.393546160087629"/>
    <x v="968"/>
  </r>
  <r>
    <x v="54"/>
    <x v="84"/>
    <n v="0.13069240100000001"/>
    <n v="0.26500000000000001"/>
    <n v="4.5"/>
    <n v="12.101910828025478"/>
    <n v="115.02646638260329"/>
    <n v="10.38411186928492"/>
    <n v="2596.0279673212299"/>
    <n v="11.292385869609316"/>
    <x v="969"/>
  </r>
  <r>
    <x v="54"/>
    <x v="84"/>
    <n v="0.13069240100000001"/>
    <n v="0.26500000000000001"/>
    <n v="4.5"/>
    <n v="9.5541401273885338"/>
    <n v="71.692395944835823"/>
    <n v="6.5459467306987262"/>
    <n v="1636.4866826746816"/>
    <n v="10.423385098786968"/>
    <x v="970"/>
  </r>
  <r>
    <x v="54"/>
    <x v="71"/>
    <n v="0.85750000000000004"/>
    <n v="0.61247410899999999"/>
    <n v="3.5"/>
    <n v="9.7133757961783438"/>
    <n v="74.102057030759482"/>
    <n v="11.98311474155043"/>
    <n v="2995.7786853876078"/>
    <n v="10.141483449632844"/>
    <x v="971"/>
  </r>
  <r>
    <x v="54"/>
    <x v="68"/>
    <n v="0.56023871300000005"/>
    <n v="0.74103703700000001"/>
    <n v="6"/>
    <n v="7.9617834394904454"/>
    <n v="49.786386072802657"/>
    <n v="16.566343612522704"/>
    <n v="4141.5859031306763"/>
    <n v="10.31688990628423"/>
    <x v="972"/>
  </r>
  <r>
    <x v="54"/>
    <x v="68"/>
    <n v="0.56023871300000005"/>
    <n v="0.74103703700000001"/>
    <n v="4.2"/>
    <n v="7.484076433121019"/>
    <n v="43.991250733928432"/>
    <n v="10.365444302806964"/>
    <n v="2591.3610757017409"/>
    <n v="9.8090675808349221"/>
    <x v="973"/>
  </r>
  <r>
    <x v="54"/>
    <x v="18"/>
    <n v="0.69835862100000001"/>
    <n v="0.69262500000000005"/>
    <n v="8.9"/>
    <n v="7.6433121019108281"/>
    <n v="45.883133404694938"/>
    <n v="21.043190594719597"/>
    <n v="5260.7976486798989"/>
    <n v="10.805489849486793"/>
    <x v="974"/>
  </r>
  <r>
    <x v="54"/>
    <x v="18"/>
    <n v="0.69835862100000001"/>
    <n v="0.69262500000000005"/>
    <n v="7.2"/>
    <n v="4.936305732484076"/>
    <n v="19.137886806385342"/>
    <n v="7.2881716039174531"/>
    <n v="1822.0429009793634"/>
    <n v="9.5997512799707891"/>
    <x v="975"/>
  </r>
  <r>
    <x v="54"/>
    <x v="9"/>
    <n v="0.43836446099999998"/>
    <n v="0.58666666700000003"/>
    <n v="2.7"/>
    <n v="10.668789808917197"/>
    <n v="89.396434832324445"/>
    <n v="10.711663170087533"/>
    <n v="2677.9157925218833"/>
    <n v="10.061328068075783"/>
    <x v="976"/>
  </r>
  <r>
    <x v="54"/>
    <x v="9"/>
    <n v="0.43836446099999998"/>
    <n v="0.58666666700000003"/>
    <n v="1.9"/>
    <n v="6.3694267515923562"/>
    <n v="31.863287086593701"/>
    <n v="2.7773619200801689"/>
    <n v="694.34048002004226"/>
    <n v="9.2554878210069376"/>
    <x v="977"/>
  </r>
  <r>
    <x v="54"/>
    <x v="30"/>
    <n v="0.57917600000000002"/>
    <n v="0.60285714300000004"/>
    <n v="8"/>
    <n v="30.254777070063692"/>
    <n v="718.91541489127042"/>
    <n v="242.90136826637942"/>
    <n v="60725.342066594858"/>
    <n v="34.615542995659048"/>
    <x v="978"/>
  </r>
  <r>
    <x v="54"/>
    <x v="59"/>
    <n v="0.28577490700000002"/>
    <n v="0.3422"/>
    <n v="8"/>
    <n v="31.369426751592357"/>
    <n v="772.86394283975949"/>
    <n v="149.99232099872245"/>
    <n v="37498.080249680614"/>
    <n v="36.538846172258509"/>
    <x v="979"/>
  </r>
  <r>
    <x v="55"/>
    <x v="12"/>
    <n v="0.80908761900000004"/>
    <n v="0.87473809499999999"/>
    <n v="7"/>
    <n v="13.216560509554139"/>
    <n v="137.191365462215"/>
    <n v="60.887330080533481"/>
    <n v="15221.83252013337"/>
    <n v="13.265298056716295"/>
    <x v="980"/>
  </r>
  <r>
    <x v="55"/>
    <x v="85"/>
    <n v="0.57550000000000001"/>
    <n v="0.57550000000000001"/>
    <n v="3"/>
    <n v="2.3885350318471334"/>
    <n v="4.480774746552239"/>
    <n v="0.62748386369272946"/>
    <n v="156.87096592318235"/>
    <n v="9.0456035457827895"/>
    <x v="981"/>
  </r>
  <r>
    <x v="55"/>
    <x v="53"/>
    <n v="0.6"/>
    <n v="0.66674999999999995"/>
    <n v="8"/>
    <n v="15.445859872611464"/>
    <n v="187.37604262360011"/>
    <n v="72.14064218420539"/>
    <n v="18035.160546051349"/>
    <n v="15.665788441721773"/>
    <x v="982"/>
  </r>
  <r>
    <x v="55"/>
    <x v="27"/>
    <n v="0.81991655299999999"/>
    <n v="0.72276027399999998"/>
    <n v="2.2999999999999998"/>
    <n v="6.2101910828025479"/>
    <n v="30.290037286693146"/>
    <n v="3.9046375979303711"/>
    <n v="976.15939948259279"/>
    <n v="9.2961601099436084"/>
    <x v="983"/>
  </r>
  <r>
    <x v="55"/>
    <x v="2"/>
    <n v="0.47982689899999997"/>
    <n v="0.51"/>
    <n v="3.5"/>
    <n v="9.5541401273885338"/>
    <n v="71.692395944835823"/>
    <n v="9.7039373400498601"/>
    <n v="2425.9843350124652"/>
    <n v="10.103899521278754"/>
    <x v="984"/>
  </r>
  <r>
    <x v="55"/>
    <x v="2"/>
    <n v="0.47982689899999997"/>
    <n v="0.51"/>
    <n v="2.7"/>
    <n v="6.8471337579617835"/>
    <n v="36.822011139444854"/>
    <n v="3.931224001201238"/>
    <n v="982.80600030030951"/>
    <n v="9.4287466246095164"/>
    <x v="985"/>
  </r>
  <r>
    <x v="55"/>
    <x v="74"/>
    <n v="0.490852183"/>
    <n v="0.607288889"/>
    <n v="4.7"/>
    <n v="7.0063694267515917"/>
    <n v="38.554577374778376"/>
    <n v="8.3748843933185722"/>
    <n v="2093.7210983296432"/>
    <n v="9.793217546350764"/>
    <x v="986"/>
  </r>
  <r>
    <x v="55"/>
    <x v="74"/>
    <n v="0.490852183"/>
    <n v="0.607288889"/>
    <n v="4.5"/>
    <n v="8.9171974522292992"/>
    <n v="62.452042689723655"/>
    <n v="12.852574474526451"/>
    <n v="3213.1436186316128"/>
    <n v="10.238083463832204"/>
    <x v="987"/>
  </r>
  <r>
    <x v="55"/>
    <x v="5"/>
    <n v="0.45255480399999998"/>
    <n v="0.57808694400000005"/>
    <n v="5.7"/>
    <n v="12.420382165605096"/>
    <n v="121.16014914677258"/>
    <n v="29.458164863842544"/>
    <n v="7364.5412159606358"/>
    <n v="12.063304568136639"/>
    <x v="988"/>
  </r>
  <r>
    <x v="55"/>
    <x v="84"/>
    <n v="0.13069240100000001"/>
    <n v="0.26500000000000001"/>
    <n v="7"/>
    <n v="27.547770700636942"/>
    <n v="596.02269950916434"/>
    <n v="79.609975996356724"/>
    <n v="19902.49399908918"/>
    <n v="27.578251929084345"/>
    <x v="989"/>
  </r>
  <r>
    <x v="55"/>
    <x v="22"/>
    <n v="1082380952"/>
    <n v="0.61247410899999999"/>
    <n v="3.7"/>
    <n v="5.4140127388535033"/>
    <n v="23.021224920063954"/>
    <n v="4.0421013380324702"/>
    <n v="1010.5253345081176"/>
    <n v="9.3652843644772599"/>
    <x v="990"/>
  </r>
  <r>
    <x v="55"/>
    <x v="71"/>
    <n v="0.85750000000000004"/>
    <n v="0.61247410899999999"/>
    <n v="6"/>
    <n v="9.3949044585987256"/>
    <n v="69.322563967770421"/>
    <n v="19.000901898239782"/>
    <n v="4750.2254745599457"/>
    <n v="10.839248825510163"/>
    <x v="991"/>
  </r>
  <r>
    <x v="55"/>
    <x v="71"/>
    <n v="0.85750000000000004"/>
    <n v="0.61247410899999999"/>
    <n v="3.5"/>
    <n v="4.7770700636942669"/>
    <n v="17.923098986208956"/>
    <n v="2.9987935571059765"/>
    <n v="749.69838927649414"/>
    <n v="9.2652498803196881"/>
    <x v="992"/>
  </r>
  <r>
    <x v="55"/>
    <x v="23"/>
    <n v="0.590536375"/>
    <n v="0.61247410899999999"/>
    <n v="10"/>
    <n v="42.834394904458598"/>
    <n v="1441.0370730456295"/>
    <n v="604.60525719962732"/>
    <n v="151151.31429990684"/>
    <n v="73.203188539088799"/>
    <x v="993"/>
  </r>
  <r>
    <x v="55"/>
    <x v="48"/>
    <n v="0.39"/>
    <n v="0.28861111099999998"/>
    <n v="7.5"/>
    <n v="16.401273885350317"/>
    <n v="211.27350793854535"/>
    <n v="33.634225288816374"/>
    <n v="8408.5563222040928"/>
    <n v="16.0469968578847"/>
    <x v="994"/>
  </r>
  <r>
    <x v="55"/>
    <x v="29"/>
    <n v="0.40238543599999999"/>
    <n v="0.40883333300000002"/>
    <n v="9"/>
    <n v="16.082802547770701"/>
    <n v="203.14836973146402"/>
    <n v="54.330416805581926"/>
    <n v="13582.604201395481"/>
    <n v="17.133380940403264"/>
    <x v="995"/>
  </r>
  <r>
    <x v="55"/>
    <x v="59"/>
    <n v="0.28577490700000002"/>
    <n v="0.3422"/>
    <n v="8.5"/>
    <n v="27.70700636942675"/>
    <n v="602.93304989606929"/>
    <n v="124.88783268174672"/>
    <n v="31221.958170436679"/>
    <n v="31.824126508174771"/>
    <x v="996"/>
  </r>
  <r>
    <x v="56"/>
    <x v="12"/>
    <n v="0.80908761900000004"/>
    <n v="0.87473809499999999"/>
    <n v="4.5"/>
    <n v="12.738853503184712"/>
    <n v="127.4531483463748"/>
    <n v="36.81610799488903"/>
    <n v="9204.0269987222582"/>
    <n v="11.541584620065722"/>
    <x v="997"/>
  </r>
  <r>
    <x v="56"/>
    <x v="12"/>
    <n v="0.80908761900000004"/>
    <n v="0.87473809499999999"/>
    <n v="3.7"/>
    <n v="6.0509554140127388"/>
    <n v="28.756616595650822"/>
    <n v="7.1116974198030736"/>
    <n v="1777.9243549507685"/>
    <n v="9.4598520954196914"/>
    <x v="998"/>
  </r>
  <r>
    <x v="56"/>
    <x v="45"/>
    <n v="0.31264018999999998"/>
    <n v="0.356821212"/>
    <n v="5.7"/>
    <n v="49.681528662420384"/>
    <n v="1938.5623863483613"/>
    <n v="275.36790115296247"/>
    <n v="68841.975288240617"/>
    <n v="58.227373090186219"/>
    <x v="999"/>
  </r>
  <r>
    <x v="56"/>
    <x v="53"/>
    <n v="0.6"/>
    <n v="0.66674999999999995"/>
    <n v="7.5"/>
    <n v="15.764331210191083"/>
    <n v="195.18254795981557"/>
    <n v="70.48966463472793"/>
    <n v="17622.416158681983"/>
    <n v="15.509196135745871"/>
    <x v="1000"/>
  </r>
  <r>
    <x v="56"/>
    <x v="80"/>
    <n v="0.83069230800000005"/>
    <n v="0.78683697699999999"/>
    <n v="5.7"/>
    <n v="17.834394904458598"/>
    <n v="249.80817075889462"/>
    <n v="80.647109431719272"/>
    <n v="20161.777357929819"/>
    <n v="15.331109550083166"/>
    <x v="1001"/>
  </r>
  <r>
    <x v="56"/>
    <x v="27"/>
    <n v="0.81991655299999999"/>
    <n v="0.72276027399999998"/>
    <n v="1.7"/>
    <n v="2.2292993630573248"/>
    <n v="3.9032526681077284"/>
    <n v="0.39349237746662563"/>
    <n v="98.373094366656403"/>
    <n v="9.0152701651182596"/>
    <x v="1002"/>
  </r>
  <r>
    <x v="56"/>
    <x v="27"/>
    <n v="0.81991655299999999"/>
    <n v="0.72276027399999998"/>
    <n v="1.7"/>
    <n v="5.0955414012738851"/>
    <n v="20.392503735419968"/>
    <n v="1.9758189930645009"/>
    <n v="493.95474826612525"/>
    <n v="9.1401890259239718"/>
    <x v="1003"/>
  </r>
  <r>
    <x v="56"/>
    <x v="27"/>
    <n v="0.81991655299999999"/>
    <n v="0.72276027399999998"/>
    <n v="1.6"/>
    <n v="1.592356687898089"/>
    <n v="1.9914554429121063"/>
    <n v="0.19230800122786221"/>
    <n v="48.077000306965552"/>
    <n v="8.9998993590003646"/>
    <x v="1004"/>
  </r>
  <r>
    <x v="56"/>
    <x v="3"/>
    <n v="0.89361000000000002"/>
    <n v="0.61247410899999999"/>
    <n v="3"/>
    <n v="3.9808917197452227"/>
    <n v="12.446596518200664"/>
    <n v="1.8073601821420351"/>
    <n v="451.84004553550875"/>
    <n v="9.1520987382855292"/>
    <x v="1005"/>
  </r>
  <r>
    <x v="56"/>
    <x v="58"/>
    <n v="0.85449533600000005"/>
    <n v="0.81482857099999995"/>
    <n v="1.7"/>
    <n v="1.910828025477707"/>
    <n v="2.8676958377934336"/>
    <n v="0.32739982116318855"/>
    <n v="81.849955290797141"/>
    <n v="9.0074250192705581"/>
    <x v="1006"/>
  </r>
  <r>
    <x v="56"/>
    <x v="71"/>
    <n v="0.85750000000000004"/>
    <n v="0.61247410899999999"/>
    <n v="6.8"/>
    <n v="20.700636942675157"/>
    <n v="336.55596985214595"/>
    <n v="100.35559521381832"/>
    <n v="25088.89880345458"/>
    <n v="19.184389602012253"/>
    <x v="1007"/>
  </r>
  <r>
    <x v="56"/>
    <x v="71"/>
    <n v="0.85750000000000004"/>
    <n v="0.61247410899999999"/>
    <n v="2.2000000000000002"/>
    <n v="5.5732484076433115"/>
    <n v="24.395329175673304"/>
    <n v="2.5752584902499169"/>
    <n v="643.81462256247926"/>
    <n v="9.2248704531623993"/>
    <x v="1008"/>
  </r>
  <r>
    <x v="56"/>
    <x v="68"/>
    <n v="0.56023871300000005"/>
    <n v="0.74103703700000001"/>
    <n v="6"/>
    <n v="8.4394904458598727"/>
    <n v="55.939983391401071"/>
    <n v="18.561954940409922"/>
    <n v="4640.4887351024809"/>
    <n v="10.481424978700961"/>
    <x v="1009"/>
  </r>
  <r>
    <x v="56"/>
    <x v="69"/>
    <n v="0.432770245"/>
    <n v="0.61247410899999999"/>
    <n v="5.5"/>
    <n v="18.789808917197451"/>
    <n v="277.29025587108168"/>
    <n v="67.530992380404186"/>
    <n v="16882.748095101048"/>
    <n v="15.782045693537263"/>
    <x v="1010"/>
  </r>
  <r>
    <x v="56"/>
    <x v="29"/>
    <n v="0.40238543599999999"/>
    <n v="0.40883333300000002"/>
    <n v="9.5"/>
    <n v="15.445859872611464"/>
    <n v="187.37604262360011"/>
    <n v="52.930218893917882"/>
    <n v="13232.55472347947"/>
    <n v="16.918305024544605"/>
    <x v="1011"/>
  </r>
  <r>
    <x v="56"/>
    <x v="55"/>
    <n v="0.77"/>
    <n v="0.77"/>
    <n v="5"/>
    <n v="5.5732484076433115"/>
    <n v="24.395329175673304"/>
    <n v="7.1751062115471722"/>
    <n v="1793.7765528867931"/>
    <n v="9.5292692117327267"/>
    <x v="1012"/>
  </r>
  <r>
    <x v="57"/>
    <x v="45"/>
    <n v="0.31264018999999998"/>
    <n v="0.356821212"/>
    <n v="5"/>
    <n v="17.834394904458598"/>
    <n v="249.80817075889462"/>
    <n v="32.798802842155169"/>
    <n v="8199.7007105387929"/>
    <n v="14.551848728143128"/>
    <x v="1013"/>
  </r>
  <r>
    <x v="57"/>
    <x v="53"/>
    <n v="0.6"/>
    <n v="0.66674999999999995"/>
    <n v="5.5"/>
    <n v="6.5286624203821653"/>
    <n v="33.476365995352509"/>
    <n v="9.3182385575544142"/>
    <n v="2329.5596393886035"/>
    <n v="9.8062010852367223"/>
    <x v="1014"/>
  </r>
  <r>
    <x v="57"/>
    <x v="53"/>
    <n v="0.6"/>
    <n v="0.66674999999999995"/>
    <n v="5"/>
    <n v="13.375796178343949"/>
    <n v="140.51709605187824"/>
    <n v="34.432903231104994"/>
    <n v="8608.225807776249"/>
    <n v="12.116658659580509"/>
    <x v="1015"/>
  </r>
  <r>
    <x v="57"/>
    <x v="26"/>
    <n v="0.54247040000000002"/>
    <n v="0.54247042099999998"/>
    <n v="2.7"/>
    <n v="11.305732484076433"/>
    <n v="100.3892688771993"/>
    <n v="11.112613437680197"/>
    <n v="2778.1533594200496"/>
    <n v="10.193595097164184"/>
    <x v="1016"/>
  </r>
  <r>
    <x v="57"/>
    <x v="74"/>
    <n v="0.490852183"/>
    <n v="0.607288889"/>
    <n v="2.7"/>
    <n v="4.7770700636942669"/>
    <n v="17.923098986208956"/>
    <n v="2.3085719257053801"/>
    <n v="577.14298142634505"/>
    <n v="9.2013527648180453"/>
    <x v="1017"/>
  </r>
  <r>
    <x v="57"/>
    <x v="71"/>
    <n v="0.85750000000000004"/>
    <n v="0.61247410899999999"/>
    <n v="6"/>
    <n v="17.993630573248407"/>
    <n v="254.28894550544686"/>
    <n v="67.558533021545372"/>
    <n v="16889.633255386343"/>
    <n v="15.784885565337333"/>
    <x v="1018"/>
  </r>
  <r>
    <x v="57"/>
    <x v="71"/>
    <n v="0.85750000000000004"/>
    <n v="0.61247410899999999"/>
    <n v="5"/>
    <n v="18.949044585987259"/>
    <n v="282.01000527078338"/>
    <n v="62.554399801275267"/>
    <n v="15638.599950318816"/>
    <n v="15.269360087630329"/>
    <x v="1019"/>
  </r>
  <r>
    <x v="57"/>
    <x v="48"/>
    <n v="0.39"/>
    <n v="0.28861111099999998"/>
    <n v="6"/>
    <n v="10.19108280254777"/>
    <n v="81.570014941679872"/>
    <n v="10.685683404156585"/>
    <n v="2671.4208510391463"/>
    <n v="11.166721542456083"/>
    <x v="1020"/>
  </r>
  <r>
    <x v="57"/>
    <x v="48"/>
    <n v="0.39"/>
    <n v="0.28861111099999998"/>
    <n v="6"/>
    <n v="17.834394904458598"/>
    <n v="249.80817075889462"/>
    <n v="31.85756469886493"/>
    <n v="7964.3911747162329"/>
    <n v="15.665078473771754"/>
    <x v="1021"/>
  </r>
  <r>
    <x v="57"/>
    <x v="48"/>
    <n v="0.39"/>
    <n v="0.28861111099999998"/>
    <n v="5.5"/>
    <n v="7.9617834394904454"/>
    <n v="49.786386072802657"/>
    <n v="6.0624309703901513"/>
    <n v="1515.6077425975379"/>
    <n v="10.205957414093877"/>
    <x v="1022"/>
  </r>
  <r>
    <x v="57"/>
    <x v="9"/>
    <n v="0.43836446099999998"/>
    <n v="0.58666666700000003"/>
    <n v="5"/>
    <n v="11.146496815286623"/>
    <n v="97.581316702693215"/>
    <n v="21.289916465215693"/>
    <n v="5322.4791163039235"/>
    <n v="11.15997684693091"/>
    <x v="1023"/>
  </r>
  <r>
    <x v="57"/>
    <x v="9"/>
    <n v="0.43836446099999998"/>
    <n v="0.58666666700000003"/>
    <n v="4"/>
    <n v="11.305732484076433"/>
    <n v="100.3892688771993"/>
    <n v="17.604135687006128"/>
    <n v="4401.033921751532"/>
    <n v="10.775174218021014"/>
    <x v="1024"/>
  </r>
  <r>
    <x v="57"/>
    <x v="9"/>
    <n v="0.43836446099999998"/>
    <n v="0.58666666700000003"/>
    <n v="3.9"/>
    <n v="11.146496815286623"/>
    <n v="97.581316702693215"/>
    <n v="16.705454261076383"/>
    <n v="4176.3635652690955"/>
    <n v="10.681635940606109"/>
    <x v="1025"/>
  </r>
  <r>
    <x v="57"/>
    <x v="9"/>
    <n v="0.43836446099999998"/>
    <n v="0.58666666700000003"/>
    <n v="2.5"/>
    <n v="11.783439490445859"/>
    <n v="109.05210005386697"/>
    <n v="12.063619328860465"/>
    <n v="3015.9048322151161"/>
    <n v="10.200632654468741"/>
    <x v="1026"/>
  </r>
  <r>
    <x v="57"/>
    <x v="30"/>
    <n v="0.57917600000000002"/>
    <n v="0.60285714300000004"/>
    <n v="7"/>
    <n v="14.490445859872612"/>
    <n v="164.91242522755155"/>
    <n v="50.670079967989068"/>
    <n v="12667.519991997267"/>
    <n v="14.130039019838533"/>
    <x v="173"/>
  </r>
  <r>
    <x v="57"/>
    <x v="55"/>
    <n v="0.77"/>
    <n v="0.77"/>
    <n v="2"/>
    <n v="13.057324840764331"/>
    <n v="133.90546398141004"/>
    <n v="15.459046482938147"/>
    <n v="3864.7616207345368"/>
    <n v="10.179156123980688"/>
    <x v="1027"/>
  </r>
  <r>
    <x v="58"/>
    <x v="39"/>
    <n v="0.41"/>
    <n v="0.33983503399999998"/>
    <n v="6"/>
    <n v="5.7324840764331206"/>
    <n v="25.809262540140899"/>
    <n v="4.0765582723808995"/>
    <n v="1019.1395680952248"/>
    <n v="9.6757888474177456"/>
    <x v="1028"/>
  </r>
  <r>
    <x v="58"/>
    <x v="21"/>
    <n v="0.39790071399999999"/>
    <n v="0.50565277799999997"/>
    <n v="4.5"/>
    <n v="7.8025477707006363"/>
    <n v="47.814845184319672"/>
    <n v="8.2823950475436501"/>
    <n v="2070.5987618859126"/>
    <n v="9.9445560894965315"/>
    <x v="1029"/>
  </r>
  <r>
    <x v="58"/>
    <x v="21"/>
    <n v="0.39790071399999999"/>
    <n v="0.50565277799999997"/>
    <n v="2.5"/>
    <n v="3.3439490445859872"/>
    <n v="8.7823185032423901"/>
    <n v="0.89272827752083095"/>
    <n v="223.18206938020774"/>
    <n v="9.0835424581118911"/>
    <x v="1030"/>
  </r>
  <r>
    <x v="58"/>
    <x v="2"/>
    <n v="0.47982689899999997"/>
    <n v="0.51"/>
    <n v="1.8"/>
    <n v="3.8216560509554141"/>
    <n v="11.470783351173734"/>
    <n v="0.84782191899356762"/>
    <n v="211.95547974839189"/>
    <n v="9.0777118463223658"/>
    <x v="1031"/>
  </r>
  <r>
    <x v="58"/>
    <x v="3"/>
    <n v="0.89361000000000002"/>
    <n v="0.61247410899999999"/>
    <n v="2.2000000000000002"/>
    <n v="2.3885350318471334"/>
    <n v="4.480774746552239"/>
    <n v="0.49264053450025874"/>
    <n v="123.16013362506469"/>
    <n v="9.0296292669073797"/>
    <x v="1032"/>
  </r>
  <r>
    <x v="58"/>
    <x v="5"/>
    <n v="0.45255480399999998"/>
    <n v="0.57808694400000005"/>
    <n v="1.9"/>
    <n v="4.1401273885350314"/>
    <n v="13.462238794085838"/>
    <n v="1.1808497842153587"/>
    <n v="295.2124460538397"/>
    <n v="9.0996853543754312"/>
    <x v="1033"/>
  </r>
  <r>
    <x v="58"/>
    <x v="43"/>
    <n v="0.62643652800000005"/>
    <n v="0.57808694400000005"/>
    <n v="5.3"/>
    <n v="20.541401273885349"/>
    <n v="331.39810025500361"/>
    <n v="73.260103524519508"/>
    <n v="18315.025881129877"/>
    <n v="16.812857034768143"/>
    <x v="1034"/>
  </r>
  <r>
    <x v="58"/>
    <x v="43"/>
    <n v="0.62643652800000005"/>
    <n v="0.57808694400000005"/>
    <n v="4.9000000000000004"/>
    <n v="18.471337579617835"/>
    <n v="267.9702443982531"/>
    <n v="55.15139905279802"/>
    <n v="13787.849763199505"/>
    <n v="14.837113850460465"/>
    <x v="1035"/>
  </r>
  <r>
    <x v="58"/>
    <x v="43"/>
    <n v="0.62643652800000005"/>
    <n v="0.57808694400000005"/>
    <n v="4.7"/>
    <n v="15.127388535031846"/>
    <n v="179.7288537228176"/>
    <n v="35.858089896834315"/>
    <n v="8964.5224742085793"/>
    <n v="12.750083189987423"/>
    <x v="1036"/>
  </r>
  <r>
    <x v="58"/>
    <x v="43"/>
    <n v="0.62643652800000005"/>
    <n v="0.57808694400000005"/>
    <n v="3.9"/>
    <n v="8.2802547770700627"/>
    <n v="53.848955176343352"/>
    <n v="9.2176613416491531"/>
    <n v="2304.4153354122882"/>
    <n v="9.9215797517140647"/>
    <x v="1037"/>
  </r>
  <r>
    <x v="58"/>
    <x v="84"/>
    <n v="0.13069240100000001"/>
    <n v="0.26500000000000001"/>
    <n v="3.5"/>
    <n v="8.7579617834394909"/>
    <n v="60.241527148091237"/>
    <n v="4.3219943398603453"/>
    <n v="1080.4985849650864"/>
    <n v="9.9252982088522863"/>
    <x v="1038"/>
  </r>
  <r>
    <x v="58"/>
    <x v="86"/>
    <n v="0.63"/>
    <n v="0.629222222"/>
    <n v="2.8"/>
    <n v="6.8471337579617835"/>
    <n v="36.822011139444854"/>
    <n v="5.0001986477239075"/>
    <n v="1250.049661930977"/>
    <n v="9.4451557588543142"/>
    <x v="1039"/>
  </r>
  <r>
    <x v="58"/>
    <x v="71"/>
    <n v="0.85750000000000004"/>
    <n v="0.61247410899999999"/>
    <n v="7"/>
    <n v="14.64968152866242"/>
    <n v="168.5567886880807"/>
    <n v="52.568428545537849"/>
    <n v="13142.107136384462"/>
    <n v="14.243722637835205"/>
    <x v="1040"/>
  </r>
  <r>
    <x v="58"/>
    <x v="71"/>
    <n v="0.85750000000000004"/>
    <n v="0.61247410899999999"/>
    <n v="5.7"/>
    <n v="10.509554140127388"/>
    <n v="86.747799093251359"/>
    <n v="22.494642212773147"/>
    <n v="5623.6605531932864"/>
    <n v="11.18919202807416"/>
    <x v="1041"/>
  </r>
  <r>
    <x v="58"/>
    <x v="48"/>
    <n v="0.39"/>
    <n v="0.28861111099999998"/>
    <n v="5"/>
    <n v="11.464968152866241"/>
    <n v="103.2370501605636"/>
    <n v="11.255664264346924"/>
    <n v="2813.916066086731"/>
    <n v="11.285996158059149"/>
    <x v="1042"/>
  </r>
  <r>
    <x v="58"/>
    <x v="9"/>
    <n v="0.43836446099999998"/>
    <n v="0.58666666700000003"/>
    <n v="4"/>
    <n v="16.560509554140125"/>
    <n v="215.39582070537341"/>
    <n v="37.085786084507504"/>
    <n v="9271.4465211268762"/>
    <n v="12.825206673698728"/>
    <x v="1043"/>
  </r>
  <r>
    <x v="58"/>
    <x v="59"/>
    <n v="0.28577490700000002"/>
    <n v="0.3422"/>
    <n v="6.5"/>
    <n v="8.1210191082802545"/>
    <n v="51.79775607014389"/>
    <n v="8.758617177183444"/>
    <n v="2189.6542942958608"/>
    <n v="10.486084143372956"/>
    <x v="1044"/>
  </r>
  <r>
    <x v="58"/>
    <x v="59"/>
    <n v="0.28577490700000002"/>
    <n v="0.3422"/>
    <n v="5"/>
    <n v="9.872611464968152"/>
    <n v="76.55154722554137"/>
    <n v="9.9265521118458029"/>
    <n v="2481.6380279614509"/>
    <n v="10.691397999918861"/>
    <x v="1045"/>
  </r>
  <r>
    <x v="58"/>
    <x v="59"/>
    <n v="0.28577490700000002"/>
    <n v="0.3422"/>
    <n v="4.5"/>
    <n v="12.101910828025478"/>
    <n v="115.02646638260329"/>
    <n v="13.327192485421751"/>
    <n v="3331.7981213554376"/>
    <n v="11.292385869609316"/>
    <x v="969"/>
  </r>
  <r>
    <x v="59"/>
    <x v="39"/>
    <n v="0.41"/>
    <n v="0.33983503399999998"/>
    <n v="8"/>
    <n v="9.7133757961783438"/>
    <n v="74.102057030759482"/>
    <n v="15.111070024670264"/>
    <n v="3777.7675061675659"/>
    <n v="11.627490742017931"/>
    <x v="1046"/>
  </r>
  <r>
    <x v="59"/>
    <x v="39"/>
    <n v="0.41"/>
    <n v="0.33983503399999998"/>
    <n v="7"/>
    <n v="7.0063694267515917"/>
    <n v="38.554577374778376"/>
    <n v="7.0105301985092154"/>
    <n v="1752.6325496273039"/>
    <n v="10.188385707330925"/>
    <x v="1047"/>
  </r>
  <r>
    <x v="59"/>
    <x v="39"/>
    <n v="0.41"/>
    <n v="0.33983503399999998"/>
    <n v="7"/>
    <n v="10.031847133757962"/>
    <n v="79.040866529181514"/>
    <n v="14.126806367615263"/>
    <n v="3531.7015919038158"/>
    <n v="11.451329944419651"/>
    <x v="1048"/>
  </r>
  <r>
    <x v="59"/>
    <x v="74"/>
    <n v="0.490852183"/>
    <n v="0.607288889"/>
    <n v="5.5"/>
    <n v="4.1401273885350314"/>
    <n v="13.462238794085838"/>
    <n v="3.4963399059182478"/>
    <n v="874.08497647956199"/>
    <n v="9.3156576047709834"/>
    <x v="1049"/>
  </r>
  <r>
    <x v="59"/>
    <x v="43"/>
    <n v="0.62643652800000005"/>
    <n v="0.57808694400000005"/>
    <n v="6"/>
    <n v="20.222929936305732"/>
    <n v="321.20184838729369"/>
    <n v="80.205407277777752"/>
    <n v="20051.351819444437"/>
    <n v="17.574004799383342"/>
    <x v="1050"/>
  </r>
  <r>
    <x v="59"/>
    <x v="43"/>
    <n v="0.62643652800000005"/>
    <n v="0.57808694400000005"/>
    <n v="5"/>
    <n v="16.401273885350317"/>
    <n v="211.27350793854535"/>
    <n v="44.602186738800711"/>
    <n v="11150.546684700177"/>
    <n v="13.693231238589799"/>
    <x v="1051"/>
  </r>
  <r>
    <x v="59"/>
    <x v="43"/>
    <n v="0.62643652800000005"/>
    <n v="0.57808694400000005"/>
    <n v="4.5"/>
    <n v="4.936305732484076"/>
    <n v="19.137886806385342"/>
    <n v="3.8616828605014257"/>
    <n v="965.42071512535642"/>
    <n v="9.3694820499817428"/>
    <x v="1052"/>
  </r>
  <r>
    <x v="59"/>
    <x v="71"/>
    <n v="0.85750000000000004"/>
    <n v="0.61247410899999999"/>
    <n v="6.5"/>
    <n v="15.764331210191083"/>
    <n v="195.18254795981557"/>
    <n v="56.425940235257926"/>
    <n v="14106.485058814482"/>
    <n v="14.639396650979755"/>
    <x v="1053"/>
  </r>
  <r>
    <x v="59"/>
    <x v="71"/>
    <n v="0.85750000000000004"/>
    <n v="0.61247410899999999"/>
    <n v="6.5"/>
    <n v="7.9617834394904454"/>
    <n v="49.786386072802657"/>
    <n v="14.872649842225801"/>
    <n v="3718.1624605564502"/>
    <n v="10.427822398474582"/>
    <x v="1054"/>
  </r>
  <r>
    <x v="59"/>
    <x v="71"/>
    <n v="0.85750000000000004"/>
    <n v="0.61247410899999999"/>
    <n v="5.7"/>
    <n v="9.3949044585987256"/>
    <n v="69.322563967770421"/>
    <n v="18.07309179647941"/>
    <n v="4518.2729491198525"/>
    <n v="10.746571384234654"/>
    <x v="1055"/>
  </r>
  <r>
    <x v="59"/>
    <x v="71"/>
    <n v="0.85750000000000004"/>
    <n v="0.61247410899999999"/>
    <n v="5.6"/>
    <n v="9.5541401273885338"/>
    <n v="71.692395944835823"/>
    <n v="18.356007383114878"/>
    <n v="4589.0018457787201"/>
    <n v="10.774819234046005"/>
    <x v="1056"/>
  </r>
  <r>
    <x v="59"/>
    <x v="71"/>
    <n v="0.85750000000000004"/>
    <n v="0.61247410899999999"/>
    <n v="5.5"/>
    <n v="9.5541401273885338"/>
    <n v="71.692395944835823"/>
    <n v="18.03601942155624"/>
    <n v="4509.0048553890601"/>
    <n v="10.742870676295183"/>
    <x v="1057"/>
  </r>
  <r>
    <x v="59"/>
    <x v="71"/>
    <n v="0.85750000000000004"/>
    <n v="0.61247410899999999"/>
    <n v="5.5"/>
    <n v="7.3248407643312099"/>
    <n v="42.139197172020175"/>
    <n v="10.737241986974666"/>
    <n v="2684.3104967436666"/>
    <n v="10.018525875289058"/>
    <x v="1058"/>
  </r>
  <r>
    <x v="59"/>
    <x v="71"/>
    <n v="0.85750000000000004"/>
    <n v="0.61247410899999999"/>
    <n v="4.5"/>
    <n v="15.286624203821656"/>
    <n v="183.53253361877975"/>
    <n v="37.112851932332291"/>
    <n v="9278.2129830830727"/>
    <n v="12.666173852894641"/>
    <x v="1059"/>
  </r>
  <r>
    <x v="59"/>
    <x v="71"/>
    <n v="0.85750000000000004"/>
    <n v="0.61247410899999999"/>
    <n v="3"/>
    <n v="12.101910828025478"/>
    <n v="115.02646638260329"/>
    <n v="15.834849693089907"/>
    <n v="3958.7124232724768"/>
    <n v="10.523490579739542"/>
    <x v="1060"/>
  </r>
  <r>
    <x v="59"/>
    <x v="48"/>
    <n v="0.39"/>
    <n v="0.28861111099999998"/>
    <n v="6.5"/>
    <n v="10.350318471337578"/>
    <n v="84.138992463036487"/>
    <n v="11.908955745729868"/>
    <n v="2977.2389364324667"/>
    <n v="11.422886853422044"/>
    <x v="1061"/>
  </r>
  <r>
    <x v="59"/>
    <x v="28"/>
    <n v="1.1200000000000001"/>
    <n v="0.85527777800000004"/>
    <n v="1.8"/>
    <n v="3.9808917197452227"/>
    <n v="12.446596518200664"/>
    <n v="1.5207552250174203"/>
    <n v="380.18880625435509"/>
    <n v="9.0855392429713167"/>
    <x v="1062"/>
  </r>
  <r>
    <x v="59"/>
    <x v="9"/>
    <n v="0.43836446099999998"/>
    <n v="0.58666666700000003"/>
    <n v="4"/>
    <n v="13.694267515923567"/>
    <n v="147.28804455777941"/>
    <n v="25.591714812309071"/>
    <n v="6397.9287030772675"/>
    <n v="11.611161479167512"/>
    <x v="1063"/>
  </r>
  <r>
    <x v="59"/>
    <x v="9"/>
    <n v="0.43836446099999998"/>
    <n v="0.58666666700000003"/>
    <n v="3.8"/>
    <n v="12.261146496815286"/>
    <n v="118.0733932102588"/>
    <n v="19.617630256480737"/>
    <n v="4904.4075641201844"/>
    <n v="10.985164988437663"/>
    <x v="1064"/>
  </r>
  <r>
    <x v="59"/>
    <x v="9"/>
    <n v="0.43836446099999998"/>
    <n v="0.58666666700000003"/>
    <n v="3"/>
    <n v="14.331210191082802"/>
    <n v="161.30789087588062"/>
    <n v="21.120275651704809"/>
    <n v="5280.0689129262018"/>
    <n v="11.142227648180452"/>
    <x v="1065"/>
  </r>
  <r>
    <x v="59"/>
    <x v="9"/>
    <n v="0.43836446099999998"/>
    <n v="0.58666666700000003"/>
    <n v="2.1"/>
    <n v="1.910828025477707"/>
    <n v="2.8676958377934336"/>
    <n v="0.29200862749363826"/>
    <n v="73.002156873409561"/>
    <n v="9.0125367885106904"/>
    <x v="1066"/>
  </r>
  <r>
    <x v="60"/>
    <x v="39"/>
    <n v="0.41"/>
    <n v="0.33983503399999998"/>
    <n v="7.5"/>
    <n v="7.1656050955414008"/>
    <n v="40.326972718970154"/>
    <n v="7.8351293895715166"/>
    <n v="1958.782347392879"/>
    <n v="10.333529780112784"/>
    <x v="1067"/>
  </r>
  <r>
    <x v="60"/>
    <x v="53"/>
    <n v="0.6"/>
    <n v="0.66674999999999995"/>
    <n v="5.5"/>
    <n v="8.598726114649681"/>
    <n v="58.070840715317019"/>
    <n v="15.951897689498171"/>
    <n v="3987.9744223745429"/>
    <n v="10.409008247799099"/>
    <x v="1068"/>
  </r>
  <r>
    <x v="60"/>
    <x v="71"/>
    <n v="0.85750000000000004"/>
    <n v="0.61247410899999999"/>
    <n v="6"/>
    <n v="7.3248407643312099"/>
    <n v="42.139197172020175"/>
    <n v="11.688919734079493"/>
    <n v="2922.2299335198732"/>
    <n v="10.112419136678973"/>
    <x v="1069"/>
  </r>
  <r>
    <x v="60"/>
    <x v="71"/>
    <n v="0.85750000000000004"/>
    <n v="0.61247410899999999"/>
    <n v="6"/>
    <n v="22.165605095541398"/>
    <n v="385.87715193348436"/>
    <n v="101.49739039586146"/>
    <n v="25374.347598965363"/>
    <n v="19.303295034281305"/>
    <x v="1070"/>
  </r>
  <r>
    <x v="60"/>
    <x v="71"/>
    <n v="0.85750000000000004"/>
    <n v="0.61247410899999999"/>
    <n v="6"/>
    <n v="10.509554140127388"/>
    <n v="86.747799093251359"/>
    <n v="23.649439439253307"/>
    <n v="5912.3598598133267"/>
    <n v="11.305165292709642"/>
    <x v="1071"/>
  </r>
  <r>
    <x v="60"/>
    <x v="71"/>
    <n v="0.85750000000000004"/>
    <n v="0.61247410899999999"/>
    <n v="5.5"/>
    <n v="24.363057324840764"/>
    <n v="466.17980463129504"/>
    <n v="112.12620581011383"/>
    <n v="28031.551452528456"/>
    <n v="20.411702322609436"/>
    <x v="1072"/>
  </r>
  <r>
    <x v="60"/>
    <x v="71"/>
    <n v="0.85750000000000004"/>
    <n v="0.61247410899999999"/>
    <n v="4.5"/>
    <n v="13.694267515923567"/>
    <n v="147.28804455777941"/>
    <n v="29.941383153563141"/>
    <n v="7485.3457883907849"/>
    <n v="11.939344164063451"/>
    <x v="1073"/>
  </r>
  <r>
    <x v="60"/>
    <x v="68"/>
    <n v="0.56023871300000005"/>
    <n v="0.74103703700000001"/>
    <n v="6"/>
    <n v="7.484076433121019"/>
    <n v="43.991250733928432"/>
    <n v="14.681561047765641"/>
    <n v="3670.3902619414102"/>
    <n v="10.161939401192745"/>
    <x v="1074"/>
  </r>
  <r>
    <x v="60"/>
    <x v="28"/>
    <n v="1.1200000000000001"/>
    <n v="0.85527777800000004"/>
    <n v="5"/>
    <n v="13.375796178343949"/>
    <n v="140.51709605187824"/>
    <n v="43.905845618777263"/>
    <n v="10976.461404694315"/>
    <n v="12.116658659580509"/>
    <x v="1015"/>
  </r>
  <r>
    <x v="60"/>
    <x v="28"/>
    <n v="1.1200000000000001"/>
    <n v="0.85527777800000004"/>
    <n v="2.5"/>
    <n v="6.6878980891719744"/>
    <n v="35.12927401296956"/>
    <n v="5.7690794331307318"/>
    <n v="1442.2698582826829"/>
    <n v="9.3770698324475639"/>
    <x v="1075"/>
  </r>
  <r>
    <x v="60"/>
    <x v="28"/>
    <n v="1.1200000000000001"/>
    <n v="0.85527777800000004"/>
    <n v="2.2999999999999998"/>
    <n v="2.8662420382165603"/>
    <n v="6.4523156350352249"/>
    <n v="1.0173555374714025"/>
    <n v="254.33888436785062"/>
    <n v="9.0518335145441995"/>
    <x v="1076"/>
  </r>
  <r>
    <x v="60"/>
    <x v="87"/>
    <n v="0.53"/>
    <n v="0.41185714299999998"/>
    <n v="5.5"/>
    <n v="5.7324840764331206"/>
    <n v="25.809262540140899"/>
    <n v="4.5173838007657983"/>
    <n v="1129.3459501914497"/>
    <n v="9.618281443466266"/>
    <x v="1077"/>
  </r>
  <r>
    <x v="60"/>
    <x v="87"/>
    <n v="0.53"/>
    <n v="0.41185714299999998"/>
    <n v="5"/>
    <n v="5.8917197452229297"/>
    <n v="27.263025013466741"/>
    <n v="4.3422518945486814"/>
    <n v="1085.5629736371704"/>
    <n v="9.5931663272343695"/>
    <x v="1078"/>
  </r>
  <r>
    <x v="60"/>
    <x v="87"/>
    <n v="0.53"/>
    <n v="0.41185714299999998"/>
    <n v="2.5"/>
    <n v="3.5031847133757958"/>
    <n v="9.6386443436945939"/>
    <n v="0.80018249266697505"/>
    <n v="200.04562316674375"/>
    <n v="9.0930826524402608"/>
    <x v="1079"/>
  </r>
  <r>
    <x v="60"/>
    <x v="38"/>
    <n v="0.371297506"/>
    <n v="0.35258402799999999"/>
    <n v="4.5"/>
    <n v="4.2993630573248405"/>
    <n v="14.517710178829255"/>
    <n v="1.8200513974029371"/>
    <n v="455.01284935073426"/>
    <n v="9.2768312325043603"/>
    <x v="1080"/>
  </r>
  <r>
    <x v="60"/>
    <x v="38"/>
    <n v="0.371297506"/>
    <n v="0.35258402799999999"/>
    <n v="4"/>
    <n v="3.3439490445859872"/>
    <n v="8.7823185032423901"/>
    <n v="0.99336484471776687"/>
    <n v="248.34121117944173"/>
    <n v="9.1422479329790249"/>
    <x v="1081"/>
  </r>
  <r>
    <x v="61"/>
    <x v="49"/>
    <n v="0.86"/>
    <n v="0.65666666699999998"/>
    <n v="9"/>
    <n v="17.32484076433121"/>
    <n v="235.73734318145486"/>
    <n v="99.762385404886388"/>
    <n v="19952.477080977278"/>
    <n v="18.440428386547122"/>
    <x v="1082"/>
  </r>
  <r>
    <x v="61"/>
    <x v="49"/>
    <n v="0.86"/>
    <n v="0.65666666699999998"/>
    <n v="7"/>
    <n v="10.063694267515924"/>
    <n v="79.543509882972543"/>
    <n v="27.035969999270456"/>
    <n v="5407.1939998540911"/>
    <n v="11.467009586595804"/>
    <x v="1083"/>
  </r>
  <r>
    <x v="61"/>
    <x v="39"/>
    <n v="0.41"/>
    <n v="0.33983503399999998"/>
    <n v="9"/>
    <n v="10.828025477707007"/>
    <n v="92.084899680255816"/>
    <n v="20.956253324629213"/>
    <n v="4191.2506649258421"/>
    <n v="12.678953275994969"/>
    <x v="1084"/>
  </r>
  <r>
    <x v="61"/>
    <x v="39"/>
    <n v="0.41"/>
    <n v="0.33983503399999998"/>
    <n v="6.8"/>
    <n v="13.566878980891719"/>
    <n v="144.56054718316696"/>
    <n v="24.754966368311116"/>
    <n v="4950.9932736622231"/>
    <n v="13.366332885715444"/>
    <x v="1085"/>
  </r>
  <r>
    <x v="61"/>
    <x v="39"/>
    <n v="0.41"/>
    <n v="0.33983503399999998"/>
    <n v="6"/>
    <n v="4.4267515923566876"/>
    <n v="15.390764245001924"/>
    <n v="2.4613116927176866"/>
    <n v="492.26233854353734"/>
    <n v="9.3972187228690807"/>
    <x v="1086"/>
  </r>
  <r>
    <x v="61"/>
    <x v="45"/>
    <n v="0.31264018999999998"/>
    <n v="0.356821212"/>
    <n v="3"/>
    <n v="17.515923566878982"/>
    <n v="240.96610859236495"/>
    <n v="19.233510273629133"/>
    <n v="3846.7020547258267"/>
    <n v="12.207179573207839"/>
    <x v="1087"/>
  </r>
  <r>
    <x v="61"/>
    <x v="88"/>
    <n v="0.52800000000000002"/>
    <n v="0.51040266700000003"/>
    <n v="5"/>
    <n v="3.6624203821656049"/>
    <n v="10.534799293005044"/>
    <n v="2.1164515176566194"/>
    <n v="423.29030353132384"/>
    <n v="9.2204331534747848"/>
    <x v="1088"/>
  </r>
  <r>
    <x v="61"/>
    <x v="27"/>
    <n v="0.81991655299999999"/>
    <n v="0.72276027399999998"/>
    <n v="4.5"/>
    <n v="11.146496815286623"/>
    <n v="97.581316702693215"/>
    <n v="23.547404188882517"/>
    <n v="4709.480837776503"/>
    <n v="10.942549162237817"/>
    <x v="1089"/>
  </r>
  <r>
    <x v="61"/>
    <x v="24"/>
    <n v="0.56193137999999998"/>
    <n v="0.57808694400000005"/>
    <n v="8"/>
    <n v="28.280254777070063"/>
    <n v="628.14009631027375"/>
    <n v="204.3768272350087"/>
    <n v="40875.365447001743"/>
    <n v="31.379338687167838"/>
    <x v="1090"/>
  </r>
  <r>
    <x v="61"/>
    <x v="24"/>
    <n v="0.56193137999999998"/>
    <n v="0.57808694400000005"/>
    <n v="8"/>
    <n v="25.445859872611464"/>
    <n v="508.53885848421271"/>
    <n v="166.30329606991887"/>
    <n v="33260.659213983774"/>
    <n v="27.115469970384197"/>
    <x v="1091"/>
  </r>
  <r>
    <x v="61"/>
    <x v="86"/>
    <n v="0.63"/>
    <n v="0.629222222"/>
    <n v="2.5"/>
    <n v="4.6815286624203818"/>
    <n v="17.213344266355083"/>
    <n v="2.1312482113859614"/>
    <n v="426.24964227719227"/>
    <n v="9.1774712178993063"/>
    <x v="1092"/>
  </r>
  <r>
    <x v="61"/>
    <x v="7"/>
    <n v="0.74387999999999999"/>
    <n v="0.59130000000000005"/>
    <n v="6.5"/>
    <n v="5.1592356687898082"/>
    <n v="20.905502657514127"/>
    <n v="6.1612612699501046"/>
    <n v="1232.2522539900208"/>
    <n v="9.5912529636090706"/>
    <x v="1093"/>
  </r>
  <r>
    <x v="61"/>
    <x v="7"/>
    <n v="0.74387999999999999"/>
    <n v="0.59130000000000005"/>
    <n v="6.5"/>
    <n v="8.3121019108280247"/>
    <n v="54.263974490646241"/>
    <n v="15.63070574933383"/>
    <n v="3126.1411498667658"/>
    <n v="10.557521118503793"/>
    <x v="1094"/>
  </r>
  <r>
    <x v="61"/>
    <x v="89"/>
    <n v="0.65"/>
    <n v="0.65"/>
    <n v="8"/>
    <n v="18.694267515923567"/>
    <n v="274.47752420351264"/>
    <n v="102.14314558846695"/>
    <n v="20428.629117693392"/>
    <n v="18.77101786279362"/>
    <x v="1095"/>
  </r>
  <r>
    <x v="61"/>
    <x v="89"/>
    <n v="0.65"/>
    <n v="0.65"/>
    <n v="7.1"/>
    <n v="12.86624203821656"/>
    <n v="130.01495662813696"/>
    <n v="43.842610002845468"/>
    <n v="8768.5220005690935"/>
    <n v="13.099373577021378"/>
    <x v="1096"/>
  </r>
  <r>
    <x v="61"/>
    <x v="89"/>
    <n v="0.65"/>
    <n v="0.65"/>
    <n v="7"/>
    <n v="23.917197452229296"/>
    <n v="449.27314450314827"/>
    <n v="145.03628642434612"/>
    <n v="29007.257284869225"/>
    <n v="23.000492182238624"/>
    <x v="1097"/>
  </r>
  <r>
    <x v="61"/>
    <x v="89"/>
    <n v="0.65"/>
    <n v="0.65"/>
    <n v="7"/>
    <n v="12.579617834394904"/>
    <n v="124.28673419214456"/>
    <n v="41.37948154666315"/>
    <n v="8275.8963093326292"/>
    <n v="12.862746229055944"/>
    <x v="721"/>
  </r>
  <r>
    <x v="61"/>
    <x v="9"/>
    <n v="0.43836446099999998"/>
    <n v="0.58666666700000003"/>
    <n v="4.7"/>
    <n v="12.547770700636942"/>
    <n v="123.65823085436149"/>
    <n v="25.25425404609415"/>
    <n v="5050.8508092188295"/>
    <n v="11.5756957401923"/>
    <x v="1098"/>
  </r>
  <r>
    <x v="61"/>
    <x v="9"/>
    <n v="0.43836446099999998"/>
    <n v="0.58666666700000003"/>
    <n v="2"/>
    <n v="5.8280254777070066"/>
    <n v="26.676740531073417"/>
    <n v="2.4550945008419953"/>
    <n v="491.01890016839906"/>
    <n v="9.2234611667816129"/>
    <x v="1099"/>
  </r>
  <r>
    <x v="61"/>
    <x v="10"/>
    <n v="0.76500000000000001"/>
    <n v="0.61247410899999999"/>
    <n v="7"/>
    <n v="15.35031847133758"/>
    <n v="185.06515772764493"/>
    <n v="57.587672455763631"/>
    <n v="11517.534491152726"/>
    <n v="14.758690790701449"/>
    <x v="1100"/>
  </r>
  <r>
    <x v="62"/>
    <x v="49"/>
    <n v="0.86"/>
    <n v="0.65666666699999998"/>
    <n v="5.5"/>
    <n v="5.1910828025477711"/>
    <n v="21.164391865092711"/>
    <n v="5.8684211315327239"/>
    <n v="1173.6842263065448"/>
    <n v="9.5044363077609635"/>
    <x v="1101"/>
  </r>
  <r>
    <x v="62"/>
    <x v="12"/>
    <n v="0.80908761900000004"/>
    <n v="0.87473809499999999"/>
    <n v="5.7"/>
    <n v="8.9171974522292992"/>
    <n v="62.452042689723655"/>
    <n v="23.113605422565517"/>
    <n v="4622.7210845131031"/>
    <n v="10.572052387520792"/>
    <x v="1102"/>
  </r>
  <r>
    <x v="62"/>
    <x v="39"/>
    <n v="0.41"/>
    <n v="0.33983503399999998"/>
    <n v="6.5"/>
    <n v="6.3694267515923562"/>
    <n v="31.863287086593701"/>
    <n v="5.41427227576348"/>
    <n v="1082.8544551526961"/>
    <n v="9.9086583350237323"/>
    <x v="1103"/>
  </r>
  <r>
    <x v="62"/>
    <x v="3"/>
    <n v="0.89361000000000002"/>
    <n v="0.61247410899999999"/>
    <n v="3.5"/>
    <n v="6.5286624203821653"/>
    <n v="33.476365995352509"/>
    <n v="5.5177239389428951"/>
    <n v="1103.544787788579"/>
    <n v="9.5078370542415502"/>
    <x v="1104"/>
  </r>
  <r>
    <x v="62"/>
    <x v="5"/>
    <n v="0.45255480399999998"/>
    <n v="0.57808694400000005"/>
    <n v="6"/>
    <n v="2.5796178343949041"/>
    <n v="5.2263756643785317"/>
    <n v="1.4406288031038275"/>
    <n v="288.1257606207655"/>
    <n v="9.1254429916020925"/>
    <x v="1105"/>
  </r>
  <r>
    <x v="62"/>
    <x v="16"/>
    <n v="0.63400000000000001"/>
    <n v="0.73247777800000002"/>
    <n v="3.7"/>
    <n v="14.076433121019109"/>
    <n v="155.62348045963233"/>
    <n v="31.079708031512745"/>
    <n v="6215.9416063025492"/>
    <n v="11.551690303866282"/>
    <x v="1106"/>
  </r>
  <r>
    <x v="62"/>
    <x v="6"/>
    <n v="0.374"/>
    <n v="0.47945833300000001"/>
    <n v="4"/>
    <n v="6.2101910828025479"/>
    <n v="30.290037286693146"/>
    <n v="4.4893075039462937"/>
    <n v="897.8615007892588"/>
    <n v="9.5256306259888834"/>
    <x v="1107"/>
  </r>
  <r>
    <x v="62"/>
    <x v="7"/>
    <n v="0.74387999999999999"/>
    <n v="0.59130000000000005"/>
    <n v="6"/>
    <n v="8.2165605095541405"/>
    <n v="53.023696040800587"/>
    <n v="14.133514457911701"/>
    <n v="2826.7028915823403"/>
    <n v="10.403449198750456"/>
    <x v="1108"/>
  </r>
  <r>
    <x v="62"/>
    <x v="89"/>
    <n v="0.65"/>
    <n v="0.65"/>
    <n v="8.5"/>
    <n v="14.904458598726114"/>
    <n v="174.4706147713525"/>
    <n v="69.637729696221953"/>
    <n v="13927.545939244392"/>
    <n v="15.594450862103939"/>
    <x v="1109"/>
  </r>
  <r>
    <x v="62"/>
    <x v="89"/>
    <n v="0.65"/>
    <n v="0.65"/>
    <n v="8"/>
    <n v="8.2802547770700627"/>
    <n v="53.848955176343352"/>
    <n v="20.837980621202739"/>
    <n v="4167.5961242405483"/>
    <n v="10.905453336849364"/>
    <x v="1110"/>
  </r>
  <r>
    <x v="62"/>
    <x v="10"/>
    <n v="0.76500000000000001"/>
    <n v="0.61247410899999999"/>
    <n v="8"/>
    <n v="12.13375796178344"/>
    <n v="115.63266541942573"/>
    <n v="41.456000411800701"/>
    <n v="8291.2000823601393"/>
    <n v="13.108086303704004"/>
    <x v="1111"/>
  </r>
  <r>
    <x v="62"/>
    <x v="10"/>
    <n v="0.76500000000000001"/>
    <n v="0.61247410899999999"/>
    <n v="7"/>
    <n v="28.057324840764327"/>
    <n v="618.27601921044129"/>
    <n v="186.90231489610454"/>
    <n v="37380.462979220909"/>
    <n v="28.272430191894188"/>
    <x v="1112"/>
  </r>
  <r>
    <x v="63"/>
    <x v="49"/>
    <n v="0.86"/>
    <n v="0.65666666699999998"/>
    <n v="7"/>
    <n v="7.0063694267515917"/>
    <n v="38.554577374778376"/>
    <n v="13.334042761422451"/>
    <n v="2666.8085522844899"/>
    <n v="10.188385707330925"/>
    <x v="1113"/>
  </r>
  <r>
    <x v="63"/>
    <x v="31"/>
    <n v="0.40257753800000001"/>
    <n v="0.40843333300000001"/>
    <n v="7"/>
    <n v="10.19108280254777"/>
    <n v="81.570014941679872"/>
    <n v="17.43135333141527"/>
    <n v="3486.2706662830542"/>
    <n v="11.53022513286543"/>
    <x v="1114"/>
  </r>
  <r>
    <x v="63"/>
    <x v="39"/>
    <n v="0.41"/>
    <n v="0.33983503399999998"/>
    <n v="6"/>
    <n v="4.7770700636942669"/>
    <n v="17.923098986208956"/>
    <n v="2.8558267842503433"/>
    <n v="571.16535685006863"/>
    <n v="9.4649283662623223"/>
    <x v="1115"/>
  </r>
  <r>
    <x v="63"/>
    <x v="88"/>
    <n v="0.52800000000000002"/>
    <n v="0.51040266700000003"/>
    <n v="8"/>
    <n v="3.9808917197452227"/>
    <n v="12.446596518200664"/>
    <n v="3.9401757017232075"/>
    <n v="788.03514034464149"/>
    <n v="9.4294299687614096"/>
    <x v="1116"/>
  </r>
  <r>
    <x v="63"/>
    <x v="90"/>
    <n v="0.28905069999999999"/>
    <n v="0.28905072500000001"/>
    <n v="4"/>
    <n v="3.6624203821656049"/>
    <n v="10.534799293005044"/>
    <n v="0.97726380168262439"/>
    <n v="195.45276033652488"/>
    <n v="9.1734865227798288"/>
    <x v="1117"/>
  </r>
  <r>
    <x v="63"/>
    <x v="46"/>
    <n v="0.55560299999999996"/>
    <n v="0.55961111100000005"/>
    <n v="2.7"/>
    <n v="4.1401273885350314"/>
    <n v="13.462238794085838"/>
    <n v="1.6120329166925151"/>
    <n v="322.40658333850303"/>
    <n v="9.1476791877966654"/>
    <x v="1118"/>
  </r>
  <r>
    <x v="63"/>
    <x v="24"/>
    <n v="0.56193137999999998"/>
    <n v="0.57808694400000005"/>
    <n v="6.5"/>
    <n v="14.012738853503183"/>
    <n v="154.2183094991135"/>
    <n v="42.377640938858413"/>
    <n v="8475.5281877716825"/>
    <n v="13.452818341514867"/>
    <x v="1119"/>
  </r>
  <r>
    <x v="63"/>
    <x v="37"/>
    <n v="0.61"/>
    <n v="0.84088888900000003"/>
    <n v="6.5"/>
    <n v="26.751592356687897"/>
    <n v="562.06838420751296"/>
    <n v="215.84892046290057"/>
    <n v="43169.784092580114"/>
    <n v="25.266685029818653"/>
    <x v="1120"/>
  </r>
  <r>
    <x v="63"/>
    <x v="79"/>
    <n v="0.84088890000000005"/>
    <n v="0.84088888900000003"/>
    <n v="6.5"/>
    <n v="26.114649681528661"/>
    <n v="535.62185592564015"/>
    <n v="205.93082264242753"/>
    <n v="41186.164528485504"/>
    <n v="24.500629611748952"/>
    <x v="1121"/>
  </r>
  <r>
    <x v="63"/>
    <x v="17"/>
    <n v="0.65716857299999998"/>
    <n v="0.85527777800000004"/>
    <n v="4.5"/>
    <n v="10.477707006369426"/>
    <n v="86.222851438499731"/>
    <n v="24.594999222077849"/>
    <n v="4918.9998444155699"/>
    <n v="10.714771919753336"/>
    <x v="1122"/>
  </r>
  <r>
    <x v="63"/>
    <x v="9"/>
    <n v="0.43836446099999998"/>
    <n v="0.58666666700000003"/>
    <n v="5"/>
    <n v="12.579617834394904"/>
    <n v="124.28673419214456"/>
    <n v="26.959427503089003"/>
    <n v="5391.8855006178001"/>
    <n v="11.755018735039961"/>
    <x v="1123"/>
  </r>
  <r>
    <x v="63"/>
    <x v="9"/>
    <n v="0.43836446099999998"/>
    <n v="0.58666666700000003"/>
    <n v="4.5"/>
    <n v="1.910828025477707"/>
    <n v="2.8676958377934336"/>
    <n v="0.61439131060667052"/>
    <n v="122.87826212133409"/>
    <n v="9.0432074039514792"/>
    <x v="1124"/>
  </r>
  <r>
    <x v="63"/>
    <x v="91"/>
    <n v="0.52607139999999997"/>
    <n v="0.52607142900000003"/>
    <n v="4.5999999999999996"/>
    <n v="3.8216560509554141"/>
    <n v="11.470783351173734"/>
    <n v="2.1835415975680585"/>
    <n v="436.70831951361168"/>
    <n v="9.2208413850460467"/>
    <x v="1125"/>
  </r>
  <r>
    <x v="63"/>
    <x v="91"/>
    <n v="0.52607139999999997"/>
    <n v="0.52607142900000003"/>
    <n v="4.5999999999999996"/>
    <n v="7.8025477707006363"/>
    <n v="47.814845184319672"/>
    <n v="8.7953246427415372"/>
    <n v="1759.0649285483075"/>
    <n v="9.9658640025964544"/>
    <x v="1126"/>
  </r>
  <r>
    <x v="63"/>
    <x v="91"/>
    <n v="0.52607139999999997"/>
    <n v="0.52607142900000003"/>
    <n v="2.2000000000000002"/>
    <n v="6.3694267515923562"/>
    <n v="31.863287086593701"/>
    <n v="2.8811317731029669"/>
    <n v="576.22635462059338"/>
    <n v="9.2980858980080328"/>
    <x v="1127"/>
  </r>
  <r>
    <x v="63"/>
    <x v="77"/>
    <n v="0.68500000000000005"/>
    <n v="0.54"/>
    <n v="4"/>
    <n v="3.3439490445859872"/>
    <n v="8.7823185032423901"/>
    <n v="1.5059021872795169"/>
    <n v="301.18043745590342"/>
    <n v="9.1422479329790249"/>
    <x v="1128"/>
  </r>
  <r>
    <x v="63"/>
    <x v="77"/>
    <n v="0.68500000000000005"/>
    <n v="0.54"/>
    <n v="4"/>
    <n v="2.5477707006369426"/>
    <n v="5.098125933854992"/>
    <n v="0.88565974773216039"/>
    <n v="177.13194954643208"/>
    <n v="9.0765758976023356"/>
    <x v="1129"/>
  </r>
  <r>
    <x v="63"/>
    <x v="77"/>
    <n v="0.68500000000000005"/>
    <n v="0.54"/>
    <n v="3"/>
    <n v="2.8662420382165603"/>
    <n v="6.4523156350352249"/>
    <n v="0.8417370117193157"/>
    <n v="168.34740234386314"/>
    <n v="9.0719611059272172"/>
    <x v="1130"/>
  </r>
  <r>
    <x v="64"/>
    <x v="49"/>
    <n v="0.86"/>
    <n v="0.65666666699999998"/>
    <n v="6"/>
    <n v="20.541401273885349"/>
    <n v="331.39810025500361"/>
    <n v="93.642557615678527"/>
    <n v="18728.511523135705"/>
    <n v="17.846632492190352"/>
    <x v="1131"/>
  </r>
  <r>
    <x v="64"/>
    <x v="49"/>
    <n v="0.86"/>
    <n v="0.65666666699999998"/>
    <n v="4.5"/>
    <n v="5.7324840764331206"/>
    <n v="25.809262540140899"/>
    <n v="5.8555059542885131"/>
    <n v="1171.1011908577025"/>
    <n v="9.5032666355633086"/>
    <x v="1132"/>
  </r>
  <r>
    <x v="64"/>
    <x v="49"/>
    <n v="0.86"/>
    <n v="0.65666666699999998"/>
    <n v="3"/>
    <n v="2.8662420382165603"/>
    <n v="6.4523156350352249"/>
    <n v="1.0187996956649805"/>
    <n v="203.7599391329961"/>
    <n v="9.0719611059272172"/>
    <x v="1130"/>
  </r>
  <r>
    <x v="64"/>
    <x v="37"/>
    <n v="0.61"/>
    <n v="0.84088888900000003"/>
    <n v="5"/>
    <n v="32.484076433121018"/>
    <n v="828.76409712230225"/>
    <n v="244.08187901292308"/>
    <n v="48816.375802584618"/>
    <n v="27.451966379974841"/>
    <x v="1133"/>
  </r>
  <r>
    <x v="64"/>
    <x v="79"/>
    <n v="0.84088890000000005"/>
    <n v="0.84088888900000003"/>
    <n v="8"/>
    <n v="10.19108280254777"/>
    <n v="81.570014941679872"/>
    <n v="40.181103848905387"/>
    <n v="8036.2207697810782"/>
    <n v="11.893728723274776"/>
    <x v="1134"/>
  </r>
  <r>
    <x v="64"/>
    <x v="10"/>
    <n v="0.76500000000000001"/>
    <n v="0.61247410899999999"/>
    <n v="8.5"/>
    <n v="16.401273885350317"/>
    <n v="211.27350793854535"/>
    <n v="79.2075541136102"/>
    <n v="15841.510822722039"/>
    <n v="16.988503105602661"/>
    <x v="1135"/>
  </r>
  <r>
    <x v="64"/>
    <x v="10"/>
    <n v="0.76500000000000001"/>
    <n v="0.61247410899999999"/>
    <n v="7"/>
    <n v="26.273885350318469"/>
    <n v="542.173744332821"/>
    <n v="164.41438592655055"/>
    <n v="32882.877185310106"/>
    <n v="25.898467759341145"/>
    <x v="1136"/>
  </r>
  <r>
    <x v="64"/>
    <x v="10"/>
    <n v="0.76500000000000001"/>
    <n v="0.61247410899999999"/>
    <n v="6"/>
    <n v="14.968152866242038"/>
    <n v="175.96500293571373"/>
    <n v="47.164654694674283"/>
    <n v="9432.9309389348564"/>
    <n v="13.690657604770983"/>
    <x v="1137"/>
  </r>
  <r>
    <x v="65"/>
    <x v="49"/>
    <n v="0.86"/>
    <n v="0.65666666699999998"/>
    <n v="3.5"/>
    <n v="6.0509554140127388"/>
    <n v="28.756616595650822"/>
    <n v="5.0918373671360291"/>
    <n v="1018.3674734272057"/>
    <n v="9.4342222524240338"/>
    <x v="1138"/>
  </r>
  <r>
    <x v="65"/>
    <x v="31"/>
    <n v="0.40257753800000001"/>
    <n v="0.40843333300000001"/>
    <n v="12"/>
    <n v="30.095541401273884"/>
    <n v="711.36779876263358"/>
    <n v="244.22293586082694"/>
    <n v="48844.587172165382"/>
    <n v="47.026847713903202"/>
    <x v="1139"/>
  </r>
  <r>
    <x v="65"/>
    <x v="39"/>
    <n v="0.41"/>
    <n v="0.33983503399999998"/>
    <n v="6.5"/>
    <n v="10.828025477707007"/>
    <n v="92.084899680255816"/>
    <n v="15.253741649954179"/>
    <n v="3050.7483299908358"/>
    <n v="11.65304958821859"/>
    <x v="1140"/>
  </r>
  <r>
    <x v="65"/>
    <x v="39"/>
    <n v="0.41"/>
    <n v="0.33983503399999998"/>
    <n v="12"/>
    <n v="9.872611464968152"/>
    <n v="76.55154722554137"/>
    <n v="23.171013321594806"/>
    <n v="4634.2026643189611"/>
    <n v="13.079375199805266"/>
    <x v="1141"/>
  </r>
  <r>
    <x v="65"/>
    <x v="24"/>
    <n v="0.56193137999999998"/>
    <n v="0.57808694400000005"/>
    <n v="4.5"/>
    <n v="10.19108280254777"/>
    <n v="81.570014941679872"/>
    <n v="15.896513655815452"/>
    <n v="3179.3027311630904"/>
    <n v="10.621466156842063"/>
    <x v="916"/>
  </r>
  <r>
    <x v="65"/>
    <x v="89"/>
    <n v="0.65"/>
    <n v="0.65"/>
    <n v="7"/>
    <n v="3.0254777070063694"/>
    <n v="7.1891541489127055"/>
    <n v="2.5629727685108032"/>
    <n v="512.59455370216062"/>
    <n v="9.2099611262120167"/>
    <x v="1142"/>
  </r>
  <r>
    <x v="65"/>
    <x v="17"/>
    <n v="0.65716857299999998"/>
    <n v="0.85527777800000004"/>
    <n v="3.5"/>
    <n v="5.8917197452229297"/>
    <n v="27.263025013466741"/>
    <n v="6.255681542870601"/>
    <n v="1251.1363085741202"/>
    <n v="9.4109264290640589"/>
    <x v="1143"/>
  </r>
  <r>
    <x v="65"/>
    <x v="29"/>
    <n v="0.40238543599999999"/>
    <n v="0.40883333300000002"/>
    <n v="16"/>
    <n v="17.834394904458598"/>
    <n v="249.80817075889462"/>
    <n v="116.56326648892382"/>
    <n v="23312.653297784764"/>
    <n v="26.79737593005801"/>
    <x v="1144"/>
  </r>
  <r>
    <x v="65"/>
    <x v="30"/>
    <n v="0.57917600000000002"/>
    <n v="0.60285714300000004"/>
    <n v="6"/>
    <n v="25.318471337579616"/>
    <n v="503.45985052260966"/>
    <n v="129.56566006841905"/>
    <n v="25913.132013683811"/>
    <n v="22.447224808308654"/>
    <x v="1145"/>
  </r>
  <r>
    <x v="65"/>
    <x v="91"/>
    <n v="0.52607139999999997"/>
    <n v="0.52607142900000003"/>
    <n v="5"/>
    <n v="9.872611464968152"/>
    <n v="76.55154722554137"/>
    <n v="15.103610749548945"/>
    <n v="3020.7221499097891"/>
    <n v="10.691397999918861"/>
    <x v="1146"/>
  </r>
  <r>
    <x v="66"/>
    <x v="39"/>
    <n v="0.41"/>
    <n v="0.33983503399999998"/>
    <n v="8"/>
    <n v="7.7070063694267512"/>
    <n v="46.651038623481838"/>
    <n v="9.6194341517253044"/>
    <n v="1923.8868303450611"/>
    <n v="10.648842520994766"/>
    <x v="1147"/>
  </r>
  <r>
    <x v="66"/>
    <x v="39"/>
    <n v="0.41"/>
    <n v="0.33983503399999998"/>
    <n v="7"/>
    <n v="4.7770700636942669"/>
    <n v="17.923098986208956"/>
    <n v="3.3194943143656173"/>
    <n v="663.89886287312345"/>
    <n v="9.5447997606393766"/>
    <x v="1148"/>
  </r>
  <r>
    <x v="66"/>
    <x v="39"/>
    <n v="0.41"/>
    <n v="0.33983503399999998"/>
    <n v="7"/>
    <n v="7.3248407643312099"/>
    <n v="42.139197172020175"/>
    <n v="7.6460041138943016"/>
    <n v="1529.2008227788604"/>
    <n v="10.300205659458801"/>
    <x v="1149"/>
  </r>
  <r>
    <x v="66"/>
    <x v="39"/>
    <n v="0.41"/>
    <n v="0.33983503399999998"/>
    <n v="7"/>
    <n v="5.8917197452229297"/>
    <n v="27.263025013466741"/>
    <n v="4.9987452595641058"/>
    <n v="999.74905191282119"/>
    <n v="9.8361528581281181"/>
    <x v="1150"/>
  </r>
  <r>
    <x v="66"/>
    <x v="39"/>
    <n v="0.41"/>
    <n v="0.33983503399999998"/>
    <n v="5"/>
    <n v="2.5477707006369426"/>
    <n v="5.098125933854992"/>
    <n v="0.70073285928977369"/>
    <n v="140.14657185795474"/>
    <n v="9.0992948720029201"/>
    <x v="1151"/>
  </r>
  <r>
    <x v="66"/>
    <x v="39"/>
    <n v="0.41"/>
    <n v="0.33983503399999998"/>
    <n v="5"/>
    <n v="2.2292993630573248"/>
    <n v="3.9032526681077284"/>
    <n v="0.53994833055423386"/>
    <n v="107.98966611084677"/>
    <n v="9.0726710738772365"/>
    <x v="1152"/>
  </r>
  <r>
    <x v="66"/>
    <x v="39"/>
    <n v="0.41"/>
    <n v="0.33983503399999998"/>
    <n v="4.5"/>
    <n v="2.2292993630573248"/>
    <n v="3.9032526681077284"/>
    <n v="0.48718385988858659"/>
    <n v="97.436771977717314"/>
    <n v="9.0639739664895131"/>
    <x v="1153"/>
  </r>
  <r>
    <x v="66"/>
    <x v="39"/>
    <n v="0.41"/>
    <n v="0.33983503399999998"/>
    <n v="4"/>
    <n v="2.7070063694267517"/>
    <n v="5.7553062300159885"/>
    <n v="0.63439886734763773"/>
    <n v="126.87977346952755"/>
    <n v="9.0882903687776384"/>
    <x v="1154"/>
  </r>
  <r>
    <x v="66"/>
    <x v="92"/>
    <n v="0.6671667"/>
    <n v="0.66716666700000005"/>
    <n v="3.5"/>
    <n v="2.2611464968152863"/>
    <n v="4.0155707550879711"/>
    <n v="0.75705566735439278"/>
    <n v="151.41113347087855"/>
    <n v="9.0483315976307352"/>
    <x v="1155"/>
  </r>
  <r>
    <x v="66"/>
    <x v="80"/>
    <n v="0.83069230800000005"/>
    <n v="0.78683697699999999"/>
    <n v="6"/>
    <n v="8.2802547770700627"/>
    <n v="53.848955176343352"/>
    <n v="18.962496502996935"/>
    <n v="3792.499300599387"/>
    <n v="10.425515002637024"/>
    <x v="1156"/>
  </r>
  <r>
    <x v="66"/>
    <x v="36"/>
    <n v="0.39984676499999999"/>
    <n v="0.450333333"/>
    <n v="7"/>
    <n v="9.872611464968152"/>
    <n v="76.55154722554137"/>
    <n v="18.022348371233353"/>
    <n v="3604.4696742466704"/>
    <n v="11.373677199886405"/>
    <x v="1157"/>
  </r>
  <r>
    <x v="66"/>
    <x v="86"/>
    <n v="0.63"/>
    <n v="0.629222222"/>
    <n v="4.5"/>
    <n v="2.6751592356687897"/>
    <n v="5.6206838420751293"/>
    <n v="1.2687315092498181"/>
    <n v="253.74630184996363"/>
    <n v="9.0984145117448971"/>
    <x v="1158"/>
  </r>
  <r>
    <x v="66"/>
    <x v="86"/>
    <n v="0.63"/>
    <n v="0.629222222"/>
    <n v="4.5"/>
    <n v="1.910828025477707"/>
    <n v="2.8676958377934336"/>
    <n v="0.65785139529945458"/>
    <n v="131.57027905989091"/>
    <n v="9.0432074039514792"/>
    <x v="1124"/>
  </r>
  <r>
    <x v="66"/>
    <x v="86"/>
    <n v="0.63"/>
    <n v="0.629222222"/>
    <n v="3"/>
    <n v="1.910828025477707"/>
    <n v="2.8676958377934336"/>
    <n v="0.44285620217532223"/>
    <n v="88.571240435064439"/>
    <n v="9.024038269300986"/>
    <x v="1159"/>
  </r>
  <r>
    <x v="66"/>
    <x v="86"/>
    <n v="0.63"/>
    <n v="0.629222222"/>
    <n v="2.2000000000000002"/>
    <n v="1.2738853503184713"/>
    <n v="1.274531483463748"/>
    <n v="0.14827460833491515"/>
    <n v="29.654921666983029"/>
    <n v="8.9981954359203211"/>
    <x v="1160"/>
  </r>
  <r>
    <x v="66"/>
    <x v="93"/>
    <n v="0.62922219999999995"/>
    <n v="0.629222222"/>
    <n v="1.6"/>
    <n v="1.2738853503184713"/>
    <n v="1.274531483463748"/>
    <n v="0.10866341562308156"/>
    <n v="21.732683124616312"/>
    <n v="8.9947875897602341"/>
    <x v="1161"/>
  </r>
  <r>
    <x v="66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6"/>
    <x v="79"/>
    <n v="0.84088890000000005"/>
    <n v="0.84088888900000003"/>
    <n v="10"/>
    <n v="10.764331210191081"/>
    <n v="91.004734248020256"/>
    <n v="55.590256432596128"/>
    <n v="11118.051286519225"/>
    <n v="13.041178924094282"/>
    <x v="1163"/>
  </r>
  <r>
    <x v="66"/>
    <x v="79"/>
    <n v="0.84088890000000005"/>
    <n v="0.84088888900000003"/>
    <n v="10"/>
    <n v="16.560509554140125"/>
    <n v="215.39582070537341"/>
    <n v="128.88186300288953"/>
    <n v="25776.372600577906"/>
    <n v="18.584466684246824"/>
    <x v="1164"/>
  </r>
  <r>
    <x v="66"/>
    <x v="89"/>
    <n v="0.65"/>
    <n v="0.65"/>
    <n v="10"/>
    <n v="6.7515923566878975"/>
    <n v="35.801589370496679"/>
    <n v="17.394799522246508"/>
    <n v="3478.9599044493016"/>
    <n v="10.581139977281024"/>
    <x v="1165"/>
  </r>
  <r>
    <x v="66"/>
    <x v="89"/>
    <n v="0.65"/>
    <n v="0.65"/>
    <n v="9"/>
    <n v="6.114649681528662"/>
    <n v="29.365205379004752"/>
    <n v="12.934704602045969"/>
    <n v="2586.940920409194"/>
    <n v="10.163451632926284"/>
    <x v="1166"/>
  </r>
  <r>
    <x v="66"/>
    <x v="89"/>
    <n v="0.65"/>
    <n v="0.65"/>
    <n v="8"/>
    <n v="10.254777070063694"/>
    <n v="82.592826457159546"/>
    <n v="31.634597718520414"/>
    <n v="6326.9195437040826"/>
    <n v="11.930192677187716"/>
    <x v="1167"/>
  </r>
  <r>
    <x v="66"/>
    <x v="89"/>
    <n v="0.65"/>
    <n v="0.65"/>
    <n v="8"/>
    <n v="14.840764331210192"/>
    <n v="172.98259926440858"/>
    <n v="65.090403526852967"/>
    <n v="13018.080705370594"/>
    <n v="15.15265200616658"/>
    <x v="564"/>
  </r>
  <r>
    <x v="66"/>
    <x v="89"/>
    <n v="0.65"/>
    <n v="0.65"/>
    <n v="7.5"/>
    <n v="20.700636942675157"/>
    <n v="336.55596985214595"/>
    <n v="117.02495761560679"/>
    <n v="23404.99152312136"/>
    <n v="20.234254708101744"/>
    <x v="1168"/>
  </r>
  <r>
    <x v="66"/>
    <x v="89"/>
    <n v="0.65"/>
    <n v="0.65"/>
    <n v="7"/>
    <n v="16.082802547770701"/>
    <n v="203.14836973146402"/>
    <n v="66.842438387064647"/>
    <n v="13368.487677412928"/>
    <n v="15.322785175869203"/>
    <x v="1169"/>
  </r>
  <r>
    <x v="66"/>
    <x v="89"/>
    <n v="0.65"/>
    <n v="0.65"/>
    <n v="7"/>
    <n v="5.2547770700636942"/>
    <n v="21.68694977331284"/>
    <n v="7.529327249508075"/>
    <n v="1505.865449901615"/>
    <n v="9.6622107103736461"/>
    <x v="1170"/>
  </r>
  <r>
    <x v="66"/>
    <x v="89"/>
    <n v="0.65"/>
    <n v="0.65"/>
    <n v="7"/>
    <n v="7.0063694267515917"/>
    <n v="38.554577374778376"/>
    <n v="13.201904514041781"/>
    <n v="2640.380902808356"/>
    <n v="10.188385707330925"/>
    <x v="1113"/>
  </r>
  <r>
    <x v="66"/>
    <x v="89"/>
    <n v="0.65"/>
    <n v="0.65"/>
    <n v="7"/>
    <n v="11.783439490445859"/>
    <n v="109.05210005386697"/>
    <n v="36.421454016606162"/>
    <n v="7284.2908033212325"/>
    <n v="12.387511432512476"/>
    <x v="1171"/>
  </r>
  <r>
    <x v="66"/>
    <x v="89"/>
    <n v="0.65"/>
    <n v="0.65"/>
    <n v="5.5"/>
    <n v="3.1847133757961781"/>
    <n v="7.9658217716484252"/>
    <n v="2.2387510998409428"/>
    <n v="447.75021996818862"/>
    <n v="9.1809411862550192"/>
    <x v="1172"/>
  </r>
  <r>
    <x v="66"/>
    <x v="89"/>
    <n v="0.65"/>
    <n v="0.65"/>
    <n v="5"/>
    <n v="4.2993630573248405"/>
    <n v="14.517710178829255"/>
    <n v="3.6645281957150972"/>
    <n v="732.90563914301947"/>
    <n v="9.3091791472270682"/>
    <x v="517"/>
  </r>
  <r>
    <x v="66"/>
    <x v="89"/>
    <n v="0.65"/>
    <n v="0.65"/>
    <n v="4"/>
    <n v="2.2292993630573248"/>
    <n v="3.9032526681077284"/>
    <n v="0.81781251618026507"/>
    <n v="163.56250323605303"/>
    <n v="9.055276859101788"/>
    <x v="1173"/>
  </r>
  <r>
    <x v="66"/>
    <x v="94"/>
    <n v="0.56572270000000002"/>
    <n v="0.61247410899999999"/>
    <n v="3"/>
    <n v="1.910828025477707"/>
    <n v="2.8676958377934336"/>
    <n v="0.43134781801443484"/>
    <n v="86.269563602886961"/>
    <n v="9.024038269300986"/>
    <x v="1159"/>
  </r>
  <r>
    <x v="66"/>
    <x v="9"/>
    <n v="0.43836446099999998"/>
    <n v="0.58666666700000003"/>
    <n v="4.5"/>
    <n v="3.2484076433121016"/>
    <n v="8.2876409712230217"/>
    <n v="1.7309373904084571"/>
    <n v="346.18747808169144"/>
    <n v="9.1518963974197725"/>
    <x v="1174"/>
  </r>
  <r>
    <x v="66"/>
    <x v="9"/>
    <n v="0.43836446099999998"/>
    <n v="0.58666666700000003"/>
    <n v="4.5"/>
    <n v="2.7070063694267517"/>
    <n v="5.7553062300159885"/>
    <n v="1.2126055930268294"/>
    <n v="242.52111860536587"/>
    <n v="9.1011141648748417"/>
    <x v="1175"/>
  </r>
  <r>
    <x v="66"/>
    <x v="9"/>
    <n v="0.43836446099999998"/>
    <n v="0.58666666700000003"/>
    <n v="3.6"/>
    <n v="1.7834394904458597"/>
    <n v="2.4980817075889461"/>
    <n v="0.43188953417432668"/>
    <n v="86.377906834865342"/>
    <n v="9.0257762708426306"/>
    <x v="1176"/>
  </r>
  <r>
    <x v="66"/>
    <x v="9"/>
    <n v="0.43836446099999998"/>
    <n v="0.58666666700000003"/>
    <n v="3.4"/>
    <n v="3.4713375796178343"/>
    <n v="9.4641928468954948"/>
    <n v="1.4987816167078667"/>
    <n v="299.75632334157336"/>
    <n v="9.1290971966408367"/>
    <x v="1177"/>
  </r>
  <r>
    <x v="67"/>
    <x v="39"/>
    <n v="0.41"/>
    <n v="0.33983503399999998"/>
    <n v="8"/>
    <n v="7.6751592356687901"/>
    <n v="46.266289431911233"/>
    <n v="9.5419953108969739"/>
    <n v="1908.3990621793951"/>
    <n v="10.635125940200414"/>
    <x v="1178"/>
  </r>
  <r>
    <x v="67"/>
    <x v="64"/>
    <n v="0.6"/>
    <n v="0.51040266700000003"/>
    <n v="7.5"/>
    <n v="23.089171974522291"/>
    <n v="418.70350687227034"/>
    <n v="114.38550599755081"/>
    <n v="22877.101199510162"/>
    <n v="22.979833889812973"/>
    <x v="1179"/>
  </r>
  <r>
    <x v="67"/>
    <x v="21"/>
    <n v="0.39790071399999999"/>
    <n v="0.50565277799999997"/>
    <n v="6.3"/>
    <n v="9.3949044585987256"/>
    <n v="69.322563967770421"/>
    <n v="16.527885009768802"/>
    <n v="3305.5770019537604"/>
    <n v="10.93192626678567"/>
    <x v="1180"/>
  </r>
  <r>
    <x v="67"/>
    <x v="21"/>
    <n v="0.39790071399999999"/>
    <n v="0.50565277799999997"/>
    <n v="5.5"/>
    <n v="8.4713375796178347"/>
    <n v="56.362968527475616"/>
    <n v="11.82854348613442"/>
    <n v="2365.7086972268839"/>
    <n v="10.367148537466022"/>
    <x v="1181"/>
  </r>
  <r>
    <x v="67"/>
    <x v="46"/>
    <n v="0.55560299999999996"/>
    <n v="0.55961111100000005"/>
    <n v="6.5"/>
    <n v="9.0764331210191074"/>
    <n v="64.702387340214344"/>
    <n v="17.587578581352645"/>
    <n v="3517.5157162705291"/>
    <n v="10.859882269057568"/>
    <x v="1182"/>
  </r>
  <r>
    <x v="67"/>
    <x v="46"/>
    <n v="0.55560299999999996"/>
    <n v="0.55961111100000005"/>
    <n v="3.5"/>
    <n v="4.936305732484076"/>
    <n v="19.137886806385342"/>
    <n v="2.9274085314021656"/>
    <n v="585.48170628043306"/>
    <n v="9.2841971499858005"/>
    <x v="1183"/>
  </r>
  <r>
    <x v="67"/>
    <x v="24"/>
    <n v="0.56193137999999998"/>
    <n v="0.57808694400000005"/>
    <n v="6"/>
    <n v="3.9490445859872612"/>
    <n v="12.248247556086621"/>
    <n v="3.3078702498071046"/>
    <n v="661.574049961421"/>
    <n v="9.3131940159844202"/>
    <x v="1184"/>
  </r>
  <r>
    <x v="67"/>
    <x v="24"/>
    <n v="0.56193137999999998"/>
    <n v="0.57808694400000005"/>
    <n v="5.5"/>
    <n v="21.496815286624201"/>
    <n v="362.94275447073136"/>
    <n v="83.005843241502248"/>
    <n v="16601.168648300452"/>
    <n v="17.88137654874437"/>
    <x v="1185"/>
  </r>
  <r>
    <x v="67"/>
    <x v="86"/>
    <n v="0.63"/>
    <n v="0.629222222"/>
    <n v="2.2000000000000002"/>
    <n v="4.5859872611464967"/>
    <n v="16.517928025690178"/>
    <n v="1.807046245323944"/>
    <n v="361.40924906478881"/>
    <n v="9.1476408495273631"/>
    <x v="1186"/>
  </r>
  <r>
    <x v="67"/>
    <x v="86"/>
    <n v="0.63"/>
    <n v="0.629222222"/>
    <n v="1.3"/>
    <n v="1.1146496815286624"/>
    <n v="0.9758131670269321"/>
    <n v="6.8370802963854158E-2"/>
    <n v="13.674160592770832"/>
    <n v="8.9913531198020191"/>
    <x v="1187"/>
  </r>
  <r>
    <x v="67"/>
    <x v="37"/>
    <n v="0.61"/>
    <n v="0.84088888900000003"/>
    <n v="6.5"/>
    <n v="53.025477707006367"/>
    <n v="2208.3050260908058"/>
    <n v="820.64873958729186"/>
    <n v="164129.74791745836"/>
    <n v="72.951904257779205"/>
    <x v="1188"/>
  </r>
  <r>
    <x v="67"/>
    <x v="79"/>
    <n v="0.84088890000000005"/>
    <n v="0.84088888900000003"/>
    <n v="10"/>
    <n v="33.312101910828019"/>
    <n v="871.55330535088876"/>
    <n v="504.28857224954567"/>
    <n v="100857.71444990914"/>
    <n v="47.825064680108717"/>
    <x v="1189"/>
  </r>
  <r>
    <x v="67"/>
    <x v="79"/>
    <n v="0.84088890000000005"/>
    <n v="0.84088888900000003"/>
    <n v="9"/>
    <n v="5.5732484076433115"/>
    <n v="24.395329175673304"/>
    <n v="13.877276409368095"/>
    <n v="2775.4552818736188"/>
    <n v="9.9641245811189094"/>
    <x v="1190"/>
  </r>
  <r>
    <x v="67"/>
    <x v="79"/>
    <n v="0.84088890000000005"/>
    <n v="0.84088888900000003"/>
    <n v="9"/>
    <n v="13.248407643312103"/>
    <n v="137.85332525143903"/>
    <n v="75.225338222172667"/>
    <n v="15045.067644434534"/>
    <n v="14.514589610126173"/>
    <x v="1191"/>
  </r>
  <r>
    <x v="67"/>
    <x v="95"/>
    <n v="0.78713326400000005"/>
    <n v="0.8155"/>
    <n v="3.5"/>
    <n v="6.6878980891719744"/>
    <n v="35.12927401296956"/>
    <n v="7.6478727980528429"/>
    <n v="1529.5745596105685"/>
    <n v="9.5336177654265892"/>
    <x v="1192"/>
  </r>
  <r>
    <x v="67"/>
    <x v="68"/>
    <n v="0.56023871300000005"/>
    <n v="0.74103703700000001"/>
    <n v="7"/>
    <n v="14.29936305732484"/>
    <n v="160.59176349860942"/>
    <n v="60.391065554207593"/>
    <n v="12078.213110841518"/>
    <n v="13.995258704207066"/>
    <x v="1193"/>
  </r>
  <r>
    <x v="68"/>
    <x v="49"/>
    <n v="0.86"/>
    <n v="0.65666666699999998"/>
    <n v="7"/>
    <n v="9.2356687898089174"/>
    <n v="66.992561099563275"/>
    <n v="22.864076391671723"/>
    <n v="4572.8152783343448"/>
    <n v="11.075490660878737"/>
    <x v="1194"/>
  </r>
  <r>
    <x v="68"/>
    <x v="49"/>
    <n v="0.86"/>
    <n v="0.65666666699999998"/>
    <n v="6"/>
    <n v="6.8471337579617835"/>
    <n v="36.822011139444854"/>
    <n v="10.968129706042994"/>
    <n v="2193.6259412085988"/>
    <n v="9.9702480546878167"/>
    <x v="707"/>
  </r>
  <r>
    <x v="68"/>
    <x v="49"/>
    <n v="0.86"/>
    <n v="0.65666666699999998"/>
    <n v="5"/>
    <n v="7.1656050955414008"/>
    <n v="40.326972718970154"/>
    <n v="10.032105325792706"/>
    <n v="2006.4210651585413"/>
    <n v="9.884253186741855"/>
    <x v="1195"/>
  </r>
  <r>
    <x v="68"/>
    <x v="49"/>
    <n v="0.86"/>
    <n v="0.65666666699999998"/>
    <n v="4.5"/>
    <n v="9.2356687898089174"/>
    <n v="66.992561099563275"/>
    <n v="14.855025063025295"/>
    <n v="2971.0050126050587"/>
    <n v="10.329136853422046"/>
    <x v="1196"/>
  </r>
  <r>
    <x v="68"/>
    <x v="12"/>
    <n v="0.80908761900000004"/>
    <n v="0.87473809499999999"/>
    <n v="8"/>
    <n v="16.560509554140125"/>
    <n v="215.39582070537341"/>
    <n v="107.72976508608947"/>
    <n v="21545.953017217897"/>
    <n v="16.664713347397459"/>
    <x v="938"/>
  </r>
  <r>
    <x v="68"/>
    <x v="39"/>
    <n v="0.41"/>
    <n v="0.33983503399999998"/>
    <n v="8"/>
    <n v="15.286624203821656"/>
    <n v="183.53253361877975"/>
    <n v="36.620546999700032"/>
    <n v="7324.1093999400064"/>
    <n v="15.52876462736825"/>
    <x v="1197"/>
  </r>
  <r>
    <x v="68"/>
    <x v="4"/>
    <n v="0.708787469"/>
    <n v="0.80167708299999996"/>
    <n v="2"/>
    <n v="4.0999999999999996"/>
    <n v="13.202543126711104"/>
    <n v="1.6760150339120039"/>
    <n v="335.20300678240079"/>
    <n v="9.10337"/>
    <x v="1198"/>
  </r>
  <r>
    <x v="68"/>
    <x v="86"/>
    <n v="0.63"/>
    <n v="0.629222222"/>
    <n v="2.6"/>
    <n v="2.3885350318471334"/>
    <n v="4.480774746552239"/>
    <n v="0.59535323762348202"/>
    <n v="119.07064752469641"/>
    <n v="9.0376164063450837"/>
    <x v="1199"/>
  </r>
  <r>
    <x v="68"/>
    <x v="86"/>
    <n v="0.63"/>
    <n v="0.629222222"/>
    <n v="2.2000000000000002"/>
    <n v="1.910828025477707"/>
    <n v="2.8676958377934336"/>
    <n v="0.32718766562432566"/>
    <n v="65.437533124865141"/>
    <n v="9.013814730820723"/>
    <x v="1200"/>
  </r>
  <r>
    <x v="68"/>
    <x v="86"/>
    <n v="0.63"/>
    <n v="0.629222222"/>
    <n v="1.45"/>
    <n v="0.46178343949044581"/>
    <n v="0.16748140274890813"/>
    <n v="1.361841788557773E-2"/>
    <n v="2.7236835771155459"/>
    <n v="8.9867822130208115"/>
    <x v="1201"/>
  </r>
  <r>
    <x v="68"/>
    <x v="86"/>
    <n v="0.63"/>
    <n v="0.629222222"/>
    <n v="2.2000000000000002"/>
    <n v="1.592356687898089"/>
    <n v="1.9914554429121063"/>
    <n v="0.22921082848168559"/>
    <n v="45.842165696337119"/>
    <n v="9.0052241186255024"/>
    <x v="1202"/>
  </r>
  <r>
    <x v="68"/>
    <x v="23"/>
    <n v="0.590536375"/>
    <n v="0.61247410899999999"/>
    <n v="9"/>
    <n v="43.630573248407643"/>
    <n v="1495.1050883206933"/>
    <n v="565.49042587832514"/>
    <n v="113098.08517566502"/>
    <n v="68.949948042516937"/>
    <x v="1203"/>
  </r>
  <r>
    <x v="68"/>
    <x v="9"/>
    <n v="0.43836446099999998"/>
    <n v="0.58666666700000003"/>
    <n v="4.5"/>
    <n v="3.5031847133757958"/>
    <n v="9.6386443436945939"/>
    <n v="2.0058217926455892"/>
    <n v="401.16435852911786"/>
    <n v="9.1789887743924705"/>
    <x v="1204"/>
  </r>
  <r>
    <x v="68"/>
    <x v="9"/>
    <n v="0.43836446099999998"/>
    <n v="0.58666666700000003"/>
    <n v="1.8"/>
    <n v="1.1146496815286624"/>
    <n v="0.9758131670269321"/>
    <n v="8.7725367887138847E-2"/>
    <n v="17.545073577427768"/>
    <n v="8.9935273966489504"/>
    <x v="1205"/>
  </r>
  <r>
    <x v="68"/>
    <x v="83"/>
    <n v="0.41185709999999998"/>
    <n v="0.41185714299999998"/>
    <n v="6"/>
    <n v="37.484076433121011"/>
    <n v="1103.528390909594"/>
    <n v="192.14644381618061"/>
    <n v="38429.288763236123"/>
    <n v="38.491875706925221"/>
    <x v="1206"/>
  </r>
  <r>
    <x v="69"/>
    <x v="49"/>
    <n v="0.86"/>
    <n v="0.65666666699999998"/>
    <n v="7"/>
    <n v="10.445859872611464"/>
    <n v="85.699496948102421"/>
    <n v="29.076257980882808"/>
    <n v="5815.2515961765621"/>
    <n v="11.659041717716743"/>
    <x v="1207"/>
  </r>
  <r>
    <x v="69"/>
    <x v="85"/>
    <n v="0.57550000000000001"/>
    <n v="0.57550000000000001"/>
    <n v="1.9"/>
    <n v="1.8789808917197452"/>
    <n v="2.7729025587108174"/>
    <n v="0.25152390821075521"/>
    <n v="50.304781642151042"/>
    <n v="9.009178285123129"/>
    <x v="1208"/>
  </r>
  <r>
    <x v="69"/>
    <x v="85"/>
    <n v="0.57550000000000001"/>
    <n v="0.57550000000000001"/>
    <n v="1.8"/>
    <n v="1.4649681528662419"/>
    <n v="1.6855678868808071"/>
    <n v="0.14677831025721508"/>
    <n v="29.355662051443016"/>
    <n v="8.9992206296401474"/>
    <x v="1209"/>
  </r>
  <r>
    <x v="69"/>
    <x v="85"/>
    <n v="0.57550000000000001"/>
    <n v="0.57550000000000001"/>
    <n v="2.5"/>
    <n v="1.910828025477707"/>
    <n v="2.8676958377934336"/>
    <n v="0.33974519284911719"/>
    <n v="67.949038569823443"/>
    <n v="9.017648557750821"/>
    <x v="1210"/>
  </r>
  <r>
    <x v="69"/>
    <x v="39"/>
    <n v="0.41"/>
    <n v="0.33983503399999998"/>
    <n v="7"/>
    <n v="12.929936305732484"/>
    <n v="131.30541975514402"/>
    <n v="23.183799326320926"/>
    <n v="4636.7598652641846"/>
    <n v="13.081689695322325"/>
    <x v="1211"/>
  </r>
  <r>
    <x v="69"/>
    <x v="39"/>
    <n v="0.41"/>
    <n v="0.33983503399999998"/>
    <n v="2"/>
    <n v="2.0382165605095541"/>
    <n v="3.2628005976671957"/>
    <n v="0.18535089582712658"/>
    <n v="37.070179165425316"/>
    <n v="9.0147802872327478"/>
    <x v="1212"/>
  </r>
  <r>
    <x v="69"/>
    <x v="39"/>
    <n v="0.41"/>
    <n v="0.33983503399999998"/>
    <n v="7"/>
    <n v="6.0509554140127388"/>
    <n v="28.756616595650822"/>
    <n v="5.2658540816063697"/>
    <n v="1053.1708163212738"/>
    <n v="9.8827445048480662"/>
    <x v="1213"/>
  </r>
  <r>
    <x v="69"/>
    <x v="39"/>
    <n v="0.41"/>
    <n v="0.33983503399999998"/>
    <n v="5.5"/>
    <n v="2.8025477707006372"/>
    <n v="6.1687323799645428"/>
    <n v="0.92629701679231569"/>
    <n v="185.25940335846315"/>
    <n v="9.1368947746358877"/>
    <x v="1214"/>
  </r>
  <r>
    <x v="69"/>
    <x v="1"/>
    <n v="0.766138345"/>
    <n v="0.90500000000000003"/>
    <n v="2.7"/>
    <n v="12.197452229299362"/>
    <n v="116.84984298613358"/>
    <n v="21.237942717401907"/>
    <n v="4247.5885434803813"/>
    <n v="10.391650596373077"/>
    <x v="1215"/>
  </r>
  <r>
    <x v="69"/>
    <x v="92"/>
    <n v="0.6671667"/>
    <n v="0.66716666700000005"/>
    <n v="1.75"/>
    <n v="3.9808917197452227"/>
    <n v="12.446596518200664"/>
    <n v="1.1610063307581844"/>
    <n v="232.20126615163684"/>
    <n v="9.0827659306665574"/>
    <x v="1216"/>
  </r>
  <r>
    <x v="69"/>
    <x v="80"/>
    <n v="0.83069230800000005"/>
    <n v="0.78683697699999999"/>
    <n v="4.7"/>
    <n v="4.7133757961783438"/>
    <n v="17.448336008618714"/>
    <n v="4.9740517102818611"/>
    <n v="994.81034205637229"/>
    <n v="9.3511517424641966"/>
    <x v="1217"/>
  </r>
  <r>
    <x v="69"/>
    <x v="46"/>
    <n v="0.55560299999999996"/>
    <n v="0.55961111100000005"/>
    <n v="2"/>
    <n v="3.2165605095541401"/>
    <n v="8.1259347892585598"/>
    <n v="0.73482859063580785"/>
    <n v="146.96571812716155"/>
    <n v="9.0581238305813621"/>
    <x v="1218"/>
  </r>
  <r>
    <x v="69"/>
    <x v="24"/>
    <n v="0.56193137999999998"/>
    <n v="0.57808694400000005"/>
    <n v="7.5"/>
    <n v="10.796178343949043"/>
    <n v="91.544020381960863"/>
    <n v="29.290266306681225"/>
    <n v="5858.0532613362448"/>
    <n v="12.0453335044018"/>
    <x v="1219"/>
  </r>
  <r>
    <x v="69"/>
    <x v="24"/>
    <n v="0.56193137999999998"/>
    <n v="0.57808694400000005"/>
    <n v="6.8"/>
    <n v="9.7452229299363058"/>
    <n v="74.588768741007215"/>
    <n v="21.795690869320023"/>
    <n v="4359.1381738640048"/>
    <n v="11.24597100490892"/>
    <x v="1220"/>
  </r>
  <r>
    <x v="69"/>
    <x v="24"/>
    <n v="0.56193137999999998"/>
    <n v="0.57808694400000005"/>
    <n v="2.8"/>
    <n v="4.4585987261146496"/>
    <n v="15.613010672430914"/>
    <n v="1.992424532763361"/>
    <n v="398.48490655267221"/>
    <n v="9.1805152054850083"/>
    <x v="1221"/>
  </r>
  <r>
    <x v="69"/>
    <x v="24"/>
    <n v="0.56193137999999998"/>
    <n v="0.57808694400000005"/>
    <n v="2.5"/>
    <n v="2.2292993630573248"/>
    <n v="3.9032526681077284"/>
    <n v="0.46103568185226823"/>
    <n v="92.20713637045364"/>
    <n v="9.029185536938618"/>
    <x v="1222"/>
  </r>
  <r>
    <x v="69"/>
    <x v="86"/>
    <n v="0.63"/>
    <n v="0.629222222"/>
    <n v="1.8"/>
    <n v="1.2738853503184713"/>
    <n v="1.274531483463748"/>
    <n v="0.12190126544869569"/>
    <n v="24.380253089739135"/>
    <n v="8.9959235384802625"/>
    <x v="1223"/>
  </r>
  <r>
    <x v="69"/>
    <x v="86"/>
    <n v="0.63"/>
    <n v="0.629222222"/>
    <n v="1.6"/>
    <n v="1.2738853503184713"/>
    <n v="1.274531483463748"/>
    <n v="0.10866341562308156"/>
    <n v="21.732683124616312"/>
    <n v="8.9947875897602341"/>
    <x v="1161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9"/>
    <x v="93"/>
    <n v="0.62922219999999995"/>
    <n v="0.629222222"/>
    <n v="1.4"/>
    <n v="1.1146496815286624"/>
    <n v="0.9758131670269321"/>
    <n v="7.3499254041162004E-2"/>
    <n v="14.699850808232402"/>
    <n v="8.9917879751714054"/>
    <x v="1224"/>
  </r>
  <r>
    <x v="69"/>
    <x v="93"/>
    <n v="0.62922219999999995"/>
    <n v="0.629222222"/>
    <n v="1.4"/>
    <n v="1.2738853503184713"/>
    <n v="1.274531483463748"/>
    <n v="9.5385686973164518E-2"/>
    <n v="19.077137394632906"/>
    <n v="8.9936516410402039"/>
    <x v="1225"/>
  </r>
  <r>
    <x v="69"/>
    <x v="93"/>
    <n v="0.62922219999999995"/>
    <n v="0.629222222"/>
    <n v="1.6"/>
    <n v="1.8471337579617833"/>
    <n v="2.6797024439825301"/>
    <n v="0.22442627051515415"/>
    <n v="44.885254103030832"/>
    <n v="9.0048066574708905"/>
    <x v="1226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9"/>
    <x v="79"/>
    <n v="0.84088890000000005"/>
    <n v="0.84088888900000003"/>
    <n v="9.5"/>
    <n v="14.012738853503183"/>
    <n v="154.2183094991135"/>
    <n v="88.477153443796368"/>
    <n v="17695.430688759276"/>
    <n v="15.514565268367882"/>
    <x v="1227"/>
  </r>
  <r>
    <x v="69"/>
    <x v="79"/>
    <n v="0.84088890000000005"/>
    <n v="0.84088888900000003"/>
    <n v="9"/>
    <n v="22.547770700636946"/>
    <n v="399.29796845435783"/>
    <n v="212.40213933308027"/>
    <n v="42480.427866616054"/>
    <n v="25.000361852407814"/>
    <x v="1228"/>
  </r>
  <r>
    <x v="69"/>
    <x v="96"/>
    <n v="0.685322871"/>
    <n v="0.8155"/>
    <n v="6.5"/>
    <n v="3.3439490445859872"/>
    <n v="8.7823185032423901"/>
    <n v="3.6167886342608542"/>
    <n v="723.3577268521708"/>
    <n v="9.2400903910909165"/>
    <x v="1229"/>
  </r>
  <r>
    <x v="69"/>
    <x v="96"/>
    <n v="0.685322871"/>
    <n v="0.8155"/>
    <n v="1.5"/>
    <n v="9.6815286624203818"/>
    <n v="73.616938484866097"/>
    <n v="6.8864038074802005"/>
    <n v="1377.28076149604"/>
    <n v="9.4777929855166541"/>
    <x v="1230"/>
  </r>
  <r>
    <x v="69"/>
    <x v="96"/>
    <n v="0.685322871"/>
    <n v="0.8155"/>
    <n v="4"/>
    <n v="1.2738853503184713"/>
    <n v="1.274531483463748"/>
    <n v="0.34228655152806114"/>
    <n v="68.457310305612225"/>
    <n v="9.008418974400584"/>
    <x v="1231"/>
  </r>
  <r>
    <x v="69"/>
    <x v="68"/>
    <n v="0.56023871300000005"/>
    <n v="0.74103703700000001"/>
    <n v="6.5"/>
    <n v="0.95541401273885351"/>
    <n v="0.71692395944835841"/>
    <n v="0.28557242737582328"/>
    <n v="57.114485475164656"/>
    <n v="9.0064665625380336"/>
    <x v="1232"/>
  </r>
  <r>
    <x v="69"/>
    <x v="68"/>
    <n v="0.56023871300000005"/>
    <n v="0.74103703700000001"/>
    <n v="3"/>
    <n v="13.726114649681529"/>
    <n v="147.97390181231836"/>
    <n v="24.386087273871166"/>
    <n v="4877.2174547742334"/>
    <n v="10.96396534545012"/>
    <x v="1233"/>
  </r>
  <r>
    <x v="69"/>
    <x v="97"/>
    <n v="0.56572270000000002"/>
    <n v="0.61247410899999999"/>
    <n v="0.77"/>
    <n v="2.6751592356687897"/>
    <n v="5.6206838420751293"/>
    <n v="0.22060438171896973"/>
    <n v="44.120876343793945"/>
    <n v="9.0049867053430148"/>
    <x v="1234"/>
  </r>
  <r>
    <x v="69"/>
    <x v="69"/>
    <n v="0.432770245"/>
    <n v="0.61247410899999999"/>
    <n v="7"/>
    <n v="4.6178343949044587"/>
    <n v="16.748140274890819"/>
    <n v="5.5209275440164678"/>
    <n v="1104.1855088032935"/>
    <n v="9.5081476652196848"/>
    <x v="1235"/>
  </r>
  <r>
    <x v="69"/>
    <x v="28"/>
    <n v="1.1200000000000001"/>
    <n v="0.85527777800000004"/>
    <n v="2.9"/>
    <n v="2.1974522292993632"/>
    <n v="3.7925277454818165"/>
    <n v="0.75941448746507434"/>
    <n v="151.88289749301487"/>
    <n v="9.0347122824455344"/>
    <x v="1236"/>
  </r>
  <r>
    <x v="69"/>
    <x v="29"/>
    <n v="0.40238543599999999"/>
    <n v="0.40883333300000002"/>
    <n v="11"/>
    <n v="17.866242038216559"/>
    <n v="250.7011393794964"/>
    <n v="81.143239733390544"/>
    <n v="16228.647946678107"/>
    <n v="21.275000275873261"/>
    <x v="1237"/>
  </r>
  <r>
    <x v="69"/>
    <x v="10"/>
    <n v="0.76500000000000001"/>
    <n v="0.61247410899999999"/>
    <n v="8"/>
    <n v="6.8471337579617835"/>
    <n v="36.822011139444854"/>
    <n v="13.568808749647841"/>
    <n v="2713.7617499295684"/>
    <n v="10.298430739583756"/>
    <x v="1238"/>
  </r>
  <r>
    <x v="70"/>
    <x v="49"/>
    <n v="0.86"/>
    <n v="0.65666666699999998"/>
    <n v="6"/>
    <n v="6.3694267515923562"/>
    <n v="31.863287086593701"/>
    <n v="9.524084840388932"/>
    <n v="1904.8169680777864"/>
    <n v="9.837661540021907"/>
    <x v="1239"/>
  </r>
  <r>
    <x v="70"/>
    <x v="85"/>
    <n v="0.57550000000000001"/>
    <n v="0.57550000000000001"/>
    <n v="4"/>
    <n v="1.4331210191082802"/>
    <n v="1.6130789087588062"/>
    <n v="0.30654483969036017"/>
    <n v="61.30896793807203"/>
    <n v="9.0144537019757394"/>
    <x v="1240"/>
  </r>
  <r>
    <x v="70"/>
    <x v="39"/>
    <n v="0.41"/>
    <n v="0.33983503399999998"/>
    <n v="7"/>
    <n v="7.8025477707006363"/>
    <n v="47.814845184319672"/>
    <n v="8.649559452367015"/>
    <n v="1729.911890473403"/>
    <n v="10.477253916994604"/>
    <x v="1241"/>
  </r>
  <r>
    <x v="70"/>
    <x v="39"/>
    <n v="0.41"/>
    <n v="0.33983503399999998"/>
    <n v="6"/>
    <n v="4.4585987261146496"/>
    <n v="15.613010672430914"/>
    <n v="2.4959946516170342"/>
    <n v="499.1989303234069"/>
    <n v="9.4031611546107339"/>
    <x v="1242"/>
  </r>
  <r>
    <x v="70"/>
    <x v="45"/>
    <n v="0.31264018999999998"/>
    <n v="0.356821212"/>
    <n v="4.5"/>
    <n v="3.8216560509554141"/>
    <n v="11.470783351173734"/>
    <n v="1.4631789515860378"/>
    <n v="292.63579031720758"/>
    <n v="9.2157296158059143"/>
    <x v="1243"/>
  </r>
  <r>
    <x v="70"/>
    <x v="46"/>
    <n v="0.55560299999999996"/>
    <n v="0.55961111100000005"/>
    <n v="4"/>
    <n v="3.0254777070063694"/>
    <n v="7.1891541489127055"/>
    <n v="1.282544601902972"/>
    <n v="256.50892038059442"/>
    <n v="9.1138492149782948"/>
    <x v="1244"/>
  </r>
  <r>
    <x v="70"/>
    <x v="37"/>
    <n v="0.61"/>
    <n v="0.84088888900000003"/>
    <n v="7"/>
    <n v="54.140127388535028"/>
    <n v="2302.1224920063951"/>
    <n v="918.76672942652704"/>
    <n v="183753.3458853054"/>
    <n v="80.798958144346614"/>
    <x v="1245"/>
  </r>
  <r>
    <x v="70"/>
    <x v="79"/>
    <n v="0.84088890000000005"/>
    <n v="0.84088888900000003"/>
    <n v="10"/>
    <n v="22.770700636942674"/>
    <n v="407.23272352109666"/>
    <n v="239.9709506930632"/>
    <n v="47994.190138612641"/>
    <n v="27.133368262404154"/>
    <x v="1246"/>
  </r>
  <r>
    <x v="70"/>
    <x v="79"/>
    <n v="0.84088890000000005"/>
    <n v="0.84088888900000003"/>
    <n v="9"/>
    <n v="17.515923566878982"/>
    <n v="240.96610859236495"/>
    <n v="129.74240305742865"/>
    <n v="25948.480611485727"/>
    <n v="18.650138719623513"/>
    <x v="1247"/>
  </r>
  <r>
    <x v="70"/>
    <x v="29"/>
    <n v="0.40238543599999999"/>
    <n v="0.40883333300000002"/>
    <n v="8"/>
    <n v="14.171974522292993"/>
    <n v="157.74318563306795"/>
    <n v="37.834861303535497"/>
    <n v="7566.9722607070989"/>
    <n v="14.609356132094607"/>
    <x v="1248"/>
  </r>
  <r>
    <x v="70"/>
    <x v="30"/>
    <n v="0.57917600000000002"/>
    <n v="0.60285714300000004"/>
    <n v="10"/>
    <n v="60.35031847133758"/>
    <n v="2860.5465127533794"/>
    <n v="1162.4943283170128"/>
    <n v="232498.86566340257"/>
    <n v="136.46133288571545"/>
    <x v="1249"/>
  </r>
  <r>
    <x v="70"/>
    <x v="83"/>
    <n v="0.41185709999999998"/>
    <n v="0.41185714299999998"/>
    <n v="3.5"/>
    <n v="5.7324840764331206"/>
    <n v="25.809262540140899"/>
    <n v="2.9060522364301917"/>
    <n v="581.2104472860384"/>
    <n v="9.3882518276603513"/>
    <x v="1250"/>
  </r>
  <r>
    <x v="71"/>
    <x v="85"/>
    <n v="0.57550000000000001"/>
    <n v="0.57550000000000001"/>
    <n v="2.6"/>
    <n v="3.6624203821656049"/>
    <n v="10.534799293005044"/>
    <n v="1.2569233761223622"/>
    <n v="251.38467522447246"/>
    <n v="9.107761239806889"/>
    <x v="1251"/>
  </r>
  <r>
    <x v="71"/>
    <x v="39"/>
    <n v="0.41"/>
    <n v="0.33983503399999998"/>
    <n v="9.5"/>
    <n v="5.5732484076433115"/>
    <n v="24.395329175673304"/>
    <n v="6.0421932890731549"/>
    <n v="1208.4386578146309"/>
    <n v="10.018481502292182"/>
    <x v="1252"/>
  </r>
  <r>
    <x v="71"/>
    <x v="88"/>
    <n v="0.52800000000000002"/>
    <n v="0.51040266700000003"/>
    <n v="10"/>
    <n v="26.624203821656049"/>
    <n v="556.72809729179983"/>
    <n v="200.02213997003778"/>
    <n v="40004.427994007558"/>
    <n v="33.795388019797961"/>
    <x v="1253"/>
  </r>
  <r>
    <x v="71"/>
    <x v="46"/>
    <n v="0.55560299999999996"/>
    <n v="0.55961111100000005"/>
    <n v="7"/>
    <n v="7.484076433121019"/>
    <n v="43.991250733928432"/>
    <n v="12.974349786474242"/>
    <n v="2594.8699572948485"/>
    <n v="10.357979301391538"/>
    <x v="1254"/>
  </r>
  <r>
    <x v="71"/>
    <x v="46"/>
    <n v="0.55560299999999996"/>
    <n v="0.55961111100000005"/>
    <n v="7.5"/>
    <n v="18.789808917197451"/>
    <n v="277.29025587108168"/>
    <n v="83.696706343855766"/>
    <n v="16739.341268771153"/>
    <n v="18.253444127550814"/>
    <x v="1255"/>
  </r>
  <r>
    <x v="71"/>
    <x v="36"/>
    <n v="0.39984676499999999"/>
    <n v="0.450333333"/>
    <n v="4.5"/>
    <n v="13.057324840764331"/>
    <n v="133.90546398141004"/>
    <n v="20.209109109672049"/>
    <n v="4041.8218219344099"/>
    <n v="11.670976278956548"/>
    <x v="1256"/>
  </r>
  <r>
    <x v="71"/>
    <x v="50"/>
    <n v="0.43538739399999998"/>
    <n v="0.568333333"/>
    <n v="6.5"/>
    <n v="9.5541401273885338"/>
    <n v="71.692395944835823"/>
    <n v="19.735365308796691"/>
    <n v="3947.0730617593385"/>
    <n v="11.062356253803399"/>
    <x v="1257"/>
  </r>
  <r>
    <x v="71"/>
    <x v="16"/>
    <n v="0.63400000000000001"/>
    <n v="0.73247777800000002"/>
    <n v="8"/>
    <n v="16.401273885350317"/>
    <n v="211.27350793854535"/>
    <n v="88.901955983393961"/>
    <n v="17780.391196678793"/>
    <n v="16.51774998174368"/>
    <x v="1258"/>
  </r>
  <r>
    <x v="71"/>
    <x v="37"/>
    <n v="0.61"/>
    <n v="0.84088888900000003"/>
    <n v="5"/>
    <n v="35.031847133757964"/>
    <n v="963.86443436945979"/>
    <n v="282.84370932589047"/>
    <n v="56568.74186517809"/>
    <n v="30.462230488052256"/>
    <x v="1259"/>
  </r>
  <r>
    <x v="71"/>
    <x v="95"/>
    <n v="0.78713326400000005"/>
    <n v="0.8155"/>
    <n v="4.5"/>
    <n v="2.6114649681528661"/>
    <n v="5.3562185592564013"/>
    <n v="1.5590435063461465"/>
    <n v="311.80870126922935"/>
    <n v="9.093111051158262"/>
    <x v="1260"/>
  </r>
  <r>
    <x v="71"/>
    <x v="95"/>
    <n v="0.78713326400000005"/>
    <n v="0.8155"/>
    <n v="3.5"/>
    <n v="3.0254777070063694"/>
    <n v="7.1891541489127055"/>
    <n v="1.625867201670252"/>
    <n v="325.17344033405038"/>
    <n v="9.0978305631060081"/>
    <x v="1261"/>
  </r>
  <r>
    <x v="71"/>
    <x v="68"/>
    <n v="0.56023871300000005"/>
    <n v="0.74103703700000001"/>
    <n v="2.7"/>
    <n v="2.3885350318471334"/>
    <n v="4.480774746552239"/>
    <n v="0.72460740469812723"/>
    <n v="144.92148093962544"/>
    <n v="9.039613191204511"/>
    <x v="1262"/>
  </r>
  <r>
    <x v="71"/>
    <x v="28"/>
    <n v="1.1200000000000001"/>
    <n v="0.85527777800000004"/>
    <n v="2.2000000000000002"/>
    <n v="2.0700636942675157"/>
    <n v="3.3655596985214595"/>
    <n v="0.51612680602676175"/>
    <n v="103.22536120535236"/>
    <n v="9.0186957604770974"/>
    <x v="1263"/>
  </r>
  <r>
    <x v="71"/>
    <x v="9"/>
    <n v="0.43836446099999998"/>
    <n v="0.58666666700000003"/>
    <n v="5.5"/>
    <n v="9.4585987261146496"/>
    <n v="70.26571726553361"/>
    <n v="16.957935716296792"/>
    <n v="3391.5871432593581"/>
    <n v="10.707902979836909"/>
    <x v="1264"/>
  </r>
  <r>
    <x v="71"/>
    <x v="29"/>
    <n v="0.40238543599999999"/>
    <n v="0.40883333300000002"/>
    <n v="7"/>
    <n v="15.38216560509554"/>
    <n v="185.83385952860897"/>
    <n v="38.972481879759755"/>
    <n v="7794.4963759519505"/>
    <n v="14.782669958213315"/>
    <x v="1265"/>
  </r>
  <r>
    <x v="72"/>
    <x v="98"/>
    <m/>
    <m/>
    <m/>
    <m/>
    <m/>
    <m/>
    <m/>
    <m/>
    <x v="12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0" firstHeaderRow="1" firstDataRow="1" firstDataCol="1"/>
  <pivotFields count="7">
    <pivotField showAll="0"/>
    <pivotField axis="axisRow" showAll="0" sortType="descending">
      <items count="47">
        <item x="23"/>
        <item x="12"/>
        <item x="0"/>
        <item x="38"/>
        <item x="13"/>
        <item x="14"/>
        <item x="15"/>
        <item x="1"/>
        <item x="2"/>
        <item x="42"/>
        <item x="3"/>
        <item x="4"/>
        <item x="39"/>
        <item x="25"/>
        <item x="16"/>
        <item x="26"/>
        <item x="5"/>
        <item x="6"/>
        <item x="17"/>
        <item x="7"/>
        <item x="8"/>
        <item x="35"/>
        <item x="40"/>
        <item x="27"/>
        <item x="18"/>
        <item x="43"/>
        <item x="28"/>
        <item x="24"/>
        <item x="29"/>
        <item x="22"/>
        <item x="9"/>
        <item x="30"/>
        <item x="10"/>
        <item x="19"/>
        <item x="31"/>
        <item x="36"/>
        <item x="20"/>
        <item x="32"/>
        <item x="11"/>
        <item x="21"/>
        <item x="33"/>
        <item x="34"/>
        <item x="44"/>
        <item x="45"/>
        <item x="3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4" showAll="0"/>
    <pivotField dataField="1" numFmtId="164" showAll="0"/>
  </pivotFields>
  <rowFields count="1">
    <field x="1"/>
  </rowFields>
  <rowItems count="47">
    <i>
      <x v="5"/>
    </i>
    <i>
      <x v="26"/>
    </i>
    <i>
      <x v="20"/>
    </i>
    <i>
      <x v="32"/>
    </i>
    <i>
      <x v="6"/>
    </i>
    <i>
      <x v="38"/>
    </i>
    <i>
      <x v="30"/>
    </i>
    <i>
      <x v="40"/>
    </i>
    <i>
      <x v="31"/>
    </i>
    <i>
      <x v="8"/>
    </i>
    <i>
      <x v="44"/>
    </i>
    <i>
      <x v="1"/>
    </i>
    <i>
      <x v="33"/>
    </i>
    <i>
      <x/>
    </i>
    <i>
      <x v="21"/>
    </i>
    <i>
      <x v="4"/>
    </i>
    <i>
      <x v="39"/>
    </i>
    <i>
      <x v="10"/>
    </i>
    <i>
      <x v="17"/>
    </i>
    <i>
      <x v="11"/>
    </i>
    <i>
      <x v="15"/>
    </i>
    <i>
      <x v="19"/>
    </i>
    <i>
      <x v="24"/>
    </i>
    <i>
      <x v="27"/>
    </i>
    <i>
      <x v="18"/>
    </i>
    <i>
      <x v="34"/>
    </i>
    <i>
      <x v="45"/>
    </i>
    <i>
      <x v="29"/>
    </i>
    <i>
      <x v="13"/>
    </i>
    <i>
      <x v="36"/>
    </i>
    <i>
      <x v="9"/>
    </i>
    <i>
      <x v="35"/>
    </i>
    <i>
      <x v="42"/>
    </i>
    <i>
      <x v="14"/>
    </i>
    <i>
      <x v="12"/>
    </i>
    <i>
      <x v="25"/>
    </i>
    <i>
      <x v="23"/>
    </i>
    <i>
      <x v="43"/>
    </i>
    <i>
      <x v="7"/>
    </i>
    <i>
      <x v="37"/>
    </i>
    <i>
      <x v="2"/>
    </i>
    <i>
      <x v="28"/>
    </i>
    <i>
      <x v="16"/>
    </i>
    <i>
      <x v="41"/>
    </i>
    <i>
      <x v="3"/>
    </i>
    <i>
      <x v="2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8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35">
        <item x="21"/>
        <item x="22"/>
        <item x="0"/>
        <item x="12"/>
        <item x="26"/>
        <item x="8"/>
        <item x="10"/>
        <item x="27"/>
        <item x="13"/>
        <item x="14"/>
        <item x="6"/>
        <item x="11"/>
        <item x="28"/>
        <item x="29"/>
        <item x="15"/>
        <item x="3"/>
        <item x="7"/>
        <item x="33"/>
        <item x="16"/>
        <item x="23"/>
        <item x="17"/>
        <item x="1"/>
        <item x="2"/>
        <item x="30"/>
        <item x="18"/>
        <item x="4"/>
        <item x="31"/>
        <item x="32"/>
        <item x="24"/>
        <item x="9"/>
        <item x="19"/>
        <item x="20"/>
        <item x="5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1">
    <field x="1"/>
  </rowFields>
  <rowItems count="35">
    <i>
      <x v="21"/>
    </i>
    <i>
      <x v="14"/>
    </i>
    <i>
      <x v="30"/>
    </i>
    <i>
      <x v="16"/>
    </i>
    <i>
      <x v="2"/>
    </i>
    <i>
      <x v="11"/>
    </i>
    <i>
      <x v="19"/>
    </i>
    <i>
      <x v="28"/>
    </i>
    <i>
      <x v="25"/>
    </i>
    <i>
      <x v="32"/>
    </i>
    <i>
      <x v="24"/>
    </i>
    <i>
      <x v="23"/>
    </i>
    <i>
      <x v="22"/>
    </i>
    <i>
      <x v="15"/>
    </i>
    <i>
      <x v="8"/>
    </i>
    <i>
      <x v="29"/>
    </i>
    <i>
      <x v="6"/>
    </i>
    <i>
      <x v="18"/>
    </i>
    <i>
      <x v="1"/>
    </i>
    <i>
      <x v="31"/>
    </i>
    <i>
      <x v="9"/>
    </i>
    <i>
      <x v="10"/>
    </i>
    <i>
      <x/>
    </i>
    <i>
      <x v="27"/>
    </i>
    <i>
      <x v="20"/>
    </i>
    <i>
      <x v="7"/>
    </i>
    <i>
      <x v="13"/>
    </i>
    <i>
      <x v="5"/>
    </i>
    <i>
      <x v="26"/>
    </i>
    <i>
      <x v="33"/>
    </i>
    <i>
      <x v="4"/>
    </i>
    <i>
      <x v="3"/>
    </i>
    <i>
      <x v="17"/>
    </i>
    <i>
      <x v="1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2">
      <pivotArea dataOnly="0" labelOnly="1" fieldPosition="0">
        <references count="1">
          <reference field="1" count="11">
            <x v="2"/>
            <x v="11"/>
            <x v="14"/>
            <x v="16"/>
            <x v="19"/>
            <x v="21"/>
            <x v="24"/>
            <x v="25"/>
            <x v="28"/>
            <x v="30"/>
            <x v="32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3" firstHeaderRow="0" firstDataRow="1" firstDataCol="1"/>
  <pivotFields count="11"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showAll="0">
      <items count="100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x="9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>
      <items count="1268">
        <item x="6"/>
        <item x="34"/>
        <item x="2"/>
        <item x="5"/>
        <item x="73"/>
        <item x="121"/>
        <item x="52"/>
        <item x="50"/>
        <item x="111"/>
        <item x="144"/>
        <item x="20"/>
        <item x="117"/>
        <item x="60"/>
        <item x="130"/>
        <item x="145"/>
        <item x="23"/>
        <item x="124"/>
        <item x="37"/>
        <item x="123"/>
        <item x="146"/>
        <item x="165"/>
        <item x="1"/>
        <item x="46"/>
        <item x="21"/>
        <item x="0"/>
        <item x="17"/>
        <item x="143"/>
        <item x="7"/>
        <item x="141"/>
        <item x="94"/>
        <item x="172"/>
        <item x="59"/>
        <item x="18"/>
        <item x="159"/>
        <item x="51"/>
        <item x="86"/>
        <item x="118"/>
        <item x="66"/>
        <item x="53"/>
        <item x="58"/>
        <item x="142"/>
        <item x="67"/>
        <item x="40"/>
        <item x="152"/>
        <item x="45"/>
        <item x="171"/>
        <item x="128"/>
        <item x="33"/>
        <item x="16"/>
        <item x="10"/>
        <item x="57"/>
        <item x="36"/>
        <item x="76"/>
        <item x="11"/>
        <item x="65"/>
        <item x="68"/>
        <item x="22"/>
        <item x="115"/>
        <item x="3"/>
        <item x="155"/>
        <item x="35"/>
        <item x="158"/>
        <item x="70"/>
        <item x="32"/>
        <item x="61"/>
        <item x="44"/>
        <item x="25"/>
        <item x="166"/>
        <item x="109"/>
        <item x="30"/>
        <item x="110"/>
        <item x="140"/>
        <item x="127"/>
        <item x="473"/>
        <item x="263"/>
        <item x="468"/>
        <item x="39"/>
        <item x="47"/>
        <item x="139"/>
        <item x="129"/>
        <item x="476"/>
        <item x="49"/>
        <item x="26"/>
        <item x="475"/>
        <item x="487"/>
        <item x="288"/>
        <item x="31"/>
        <item x="262"/>
        <item x="102"/>
        <item x="107"/>
        <item x="442"/>
        <item x="122"/>
        <item x="170"/>
        <item x="477"/>
        <item x="465"/>
        <item x="466"/>
        <item x="273"/>
        <item x="489"/>
        <item x="132"/>
        <item x="272"/>
        <item x="287"/>
        <item x="309"/>
        <item x="92"/>
        <item x="505"/>
        <item x="157"/>
        <item x="71"/>
        <item x="474"/>
        <item x="313"/>
        <item x="62"/>
        <item x="347"/>
        <item x="315"/>
        <item x="74"/>
        <item x="38"/>
        <item x="260"/>
        <item x="112"/>
        <item x="324"/>
        <item x="464"/>
        <item x="93"/>
        <item x="323"/>
        <item x="169"/>
        <item x="299"/>
        <item x="300"/>
        <item x="491"/>
        <item x="463"/>
        <item x="138"/>
        <item x="459"/>
        <item x="298"/>
        <item x="342"/>
        <item x="48"/>
        <item x="81"/>
        <item x="310"/>
        <item x="97"/>
        <item x="448"/>
        <item x="156"/>
        <item x="119"/>
        <item x="8"/>
        <item x="304"/>
        <item x="96"/>
        <item x="488"/>
        <item x="56"/>
        <item x="4"/>
        <item x="490"/>
        <item x="775"/>
        <item x="780"/>
        <item x="789"/>
        <item x="443"/>
        <item x="795"/>
        <item x="349"/>
        <item x="69"/>
        <item x="480"/>
        <item x="811"/>
        <item x="796"/>
        <item x="452"/>
        <item x="817"/>
        <item x="259"/>
        <item x="781"/>
        <item x="428"/>
        <item x="483"/>
        <item x="380"/>
        <item x="779"/>
        <item x="88"/>
        <item x="855"/>
        <item x="425"/>
        <item x="764"/>
        <item x="420"/>
        <item x="847"/>
        <item x="792"/>
        <item x="765"/>
        <item x="449"/>
        <item x="790"/>
        <item x="334"/>
        <item x="114"/>
        <item x="419"/>
        <item x="303"/>
        <item x="332"/>
        <item x="755"/>
        <item x="638"/>
        <item x="484"/>
        <item x="498"/>
        <item x="606"/>
        <item x="793"/>
        <item x="770"/>
        <item x="802"/>
        <item x="379"/>
        <item x="774"/>
        <item x="778"/>
        <item x="101"/>
        <item x="314"/>
        <item x="131"/>
        <item x="757"/>
        <item x="828"/>
        <item x="794"/>
        <item x="458"/>
        <item x="164"/>
        <item x="72"/>
        <item x="836"/>
        <item x="282"/>
        <item x="643"/>
        <item x="291"/>
        <item x="311"/>
        <item x="395"/>
        <item x="824"/>
        <item x="840"/>
        <item x="426"/>
        <item x="641"/>
        <item x="258"/>
        <item x="367"/>
        <item x="776"/>
        <item x="77"/>
        <item x="278"/>
        <item x="422"/>
        <item x="402"/>
        <item x="769"/>
        <item x="848"/>
        <item x="784"/>
        <item x="308"/>
        <item x="414"/>
        <item x="447"/>
        <item x="829"/>
        <item x="472"/>
        <item x="162"/>
        <item x="397"/>
        <item x="322"/>
        <item x="768"/>
        <item x="160"/>
        <item x="665"/>
        <item x="108"/>
        <item x="666"/>
        <item x="844"/>
        <item x="756"/>
        <item x="482"/>
        <item x="113"/>
        <item x="427"/>
        <item x="280"/>
        <item x="822"/>
        <item x="281"/>
        <item x="783"/>
        <item x="85"/>
        <item x="437"/>
        <item x="640"/>
        <item x="797"/>
        <item x="820"/>
        <item x="307"/>
        <item x="512"/>
        <item x="639"/>
        <item x="432"/>
        <item x="351"/>
        <item x="649"/>
        <item x="154"/>
        <item x="803"/>
        <item x="621"/>
        <item x="831"/>
        <item x="617"/>
        <item x="510"/>
        <item x="613"/>
        <item x="289"/>
        <item x="485"/>
        <item x="827"/>
        <item x="369"/>
        <item x="163"/>
        <item x="823"/>
        <item x="642"/>
        <item x="478"/>
        <item x="629"/>
        <item x="622"/>
        <item x="500"/>
        <item x="78"/>
        <item x="782"/>
        <item x="616"/>
        <item x="79"/>
        <item x="614"/>
        <item x="319"/>
        <item x="833"/>
        <item x="350"/>
        <item x="136"/>
        <item x="14"/>
        <item x="615"/>
        <item x="377"/>
        <item x="798"/>
        <item x="762"/>
        <item x="845"/>
        <item x="9"/>
        <item x="167"/>
        <item x="431"/>
        <item x="316"/>
        <item x="462"/>
        <item x="1201"/>
        <item x="1187"/>
        <item x="1224"/>
        <item x="1205"/>
        <item x="1225"/>
        <item x="1161"/>
        <item x="1223"/>
        <item x="1160"/>
        <item x="1162"/>
        <item x="1209"/>
        <item x="1226"/>
        <item x="1234"/>
        <item x="1202"/>
        <item x="1232"/>
        <item x="55"/>
        <item x="1231"/>
        <item x="1208"/>
        <item x="1200"/>
        <item x="1240"/>
        <item x="1212"/>
        <item x="1210"/>
        <item x="1263"/>
        <item x="1159"/>
        <item x="1176"/>
        <item x="810"/>
        <item x="1222"/>
        <item x="54"/>
        <item x="1236"/>
        <item x="1199"/>
        <item x="1262"/>
        <item x="1124"/>
        <item x="1155"/>
        <item x="772"/>
        <item x="618"/>
        <item x="1173"/>
        <item x="881"/>
        <item x="1218"/>
        <item x="1153"/>
        <item x="1130"/>
        <item x="1152"/>
        <item x="1129"/>
        <item x="1216"/>
        <item x="785"/>
        <item x="1154"/>
        <item x="863"/>
        <item x="1260"/>
        <item x="1261"/>
        <item x="1158"/>
        <item x="1151"/>
        <item x="1175"/>
        <item x="1198"/>
        <item x="1251"/>
        <item x="748"/>
        <item x="1244"/>
        <item x="1105"/>
        <item x="1177"/>
        <item x="486"/>
        <item x="883"/>
        <item x="1214"/>
        <item x="161"/>
        <item x="1128"/>
        <item x="1186"/>
        <item x="1118"/>
        <item x="628"/>
        <item x="1174"/>
        <item x="404"/>
        <item x="856"/>
        <item x="1117"/>
        <item x="747"/>
        <item x="1092"/>
        <item x="1204"/>
        <item x="1221"/>
        <item x="1172"/>
        <item x="541"/>
        <item x="880"/>
        <item x="591"/>
        <item x="713"/>
        <item x="712"/>
        <item x="1142"/>
        <item x="1243"/>
        <item x="451"/>
        <item x="1088"/>
        <item x="1125"/>
        <item x="1099"/>
        <item x="1229"/>
        <item x="819"/>
        <item x="766"/>
        <item x="544"/>
        <item x="297"/>
        <item x="527"/>
        <item x="1183"/>
        <item x="898"/>
        <item x="1127"/>
        <item x="896"/>
        <item x="887"/>
        <item x="517"/>
        <item x="1184"/>
        <item x="857"/>
        <item x="1217"/>
        <item x="560"/>
        <item x="714"/>
        <item x="675"/>
        <item x="583"/>
        <item x="1250"/>
        <item x="1086"/>
        <item x="1242"/>
        <item x="312"/>
        <item x="846"/>
        <item x="1143"/>
        <item x="514"/>
        <item x="630"/>
        <item x="540"/>
        <item x="559"/>
        <item x="1116"/>
        <item x="821"/>
        <item x="1138"/>
        <item x="918"/>
        <item x="1115"/>
        <item x="1230"/>
        <item x="1132"/>
        <item x="1101"/>
        <item x="1104"/>
        <item x="1235"/>
        <item x="518"/>
        <item x="515"/>
        <item x="749"/>
        <item x="1107"/>
        <item x="577"/>
        <item x="750"/>
        <item x="1192"/>
        <item x="75"/>
        <item x="1148"/>
        <item x="930"/>
        <item x="394"/>
        <item x="543"/>
        <item x="568"/>
        <item x="479"/>
        <item x="106"/>
        <item x="1093"/>
        <item x="325"/>
        <item x="904"/>
        <item x="693"/>
        <item x="709"/>
        <item x="569"/>
        <item x="885"/>
        <item x="1170"/>
        <item x="571"/>
        <item x="570"/>
        <item x="882"/>
        <item x="407"/>
        <item x="705"/>
        <item x="481"/>
        <item x="644"/>
        <item x="841"/>
        <item x="83"/>
        <item x="866"/>
        <item x="595"/>
        <item x="907"/>
        <item x="657"/>
        <item x="900"/>
        <item x="867"/>
        <item x="1150"/>
        <item x="378"/>
        <item x="1239"/>
        <item x="1213"/>
        <item x="1195"/>
        <item x="444"/>
        <item x="879"/>
        <item x="539"/>
        <item x="1103"/>
        <item x="584"/>
        <item x="660"/>
        <item x="727"/>
        <item x="886"/>
        <item x="578"/>
        <item x="1190"/>
        <item x="91"/>
        <item x="1126"/>
        <item x="735"/>
        <item x="707"/>
        <item x="592"/>
        <item x="368"/>
        <item x="858"/>
        <item x="1252"/>
        <item x="84"/>
        <item x="741"/>
        <item x="572"/>
        <item x="899"/>
        <item x="360"/>
        <item x="553"/>
        <item x="396"/>
        <item x="909"/>
        <item x="581"/>
        <item x="731"/>
        <item x="1166"/>
        <item x="834"/>
        <item x="921"/>
        <item x="1113"/>
        <item x="742"/>
        <item x="767"/>
        <item x="525"/>
        <item x="467"/>
        <item x="503"/>
        <item x="435"/>
        <item x="551"/>
        <item x="637"/>
        <item x="504"/>
        <item x="1238"/>
        <item x="1149"/>
        <item x="663"/>
        <item x="406"/>
        <item x="1196"/>
        <item x="370"/>
        <item x="593"/>
        <item x="816"/>
        <item x="878"/>
        <item x="1254"/>
        <item x="818"/>
        <item x="1181"/>
        <item x="661"/>
        <item x="434"/>
        <item x="400"/>
        <item x="1215"/>
        <item x="689"/>
        <item x="905"/>
        <item x="401"/>
        <item x="1108"/>
        <item x="398"/>
        <item x="895"/>
        <item x="658"/>
        <item x="1156"/>
        <item x="580"/>
        <item x="1241"/>
        <item x="732"/>
        <item x="864"/>
        <item x="865"/>
        <item x="493"/>
        <item x="576"/>
        <item x="826"/>
        <item x="1094"/>
        <item x="1102"/>
        <item x="495"/>
        <item x="1165"/>
        <item x="366"/>
        <item x="292"/>
        <item x="667"/>
        <item x="320"/>
        <item x="550"/>
        <item x="916"/>
        <item x="1178"/>
        <item x="702"/>
        <item x="1147"/>
        <item x="596"/>
        <item x="552"/>
        <item x="1146"/>
        <item x="393"/>
        <item x="1264"/>
        <item x="1122"/>
        <item x="450"/>
        <item x="690"/>
        <item x="359"/>
        <item x="743"/>
        <item x="791"/>
        <item x="417"/>
        <item x="403"/>
        <item x="530"/>
        <item x="710"/>
        <item x="501"/>
        <item x="1182"/>
        <item x="343"/>
        <item x="574"/>
        <item x="415"/>
        <item x="1110"/>
        <item x="1180"/>
        <item x="787"/>
        <item x="1089"/>
        <item x="1233"/>
        <item x="363"/>
        <item x="809"/>
        <item x="724"/>
        <item x="345"/>
        <item x="908"/>
        <item x="306"/>
        <item x="1257"/>
        <item x="1194"/>
        <item x="891"/>
        <item x="631"/>
        <item x="927"/>
        <item x="575"/>
        <item x="719"/>
        <item x="607"/>
        <item x="1220"/>
        <item x="695"/>
        <item x="1004"/>
        <item x="946"/>
        <item x="545"/>
        <item x="549"/>
        <item x="1006"/>
        <item x="1066"/>
        <item x="1002"/>
        <item x="959"/>
        <item x="949"/>
        <item x="1032"/>
        <item x="981"/>
        <item x="219"/>
        <item x="333"/>
        <item x="1076"/>
        <item x="243"/>
        <item x="962"/>
        <item x="87"/>
        <item x="876"/>
        <item x="955"/>
        <item x="264"/>
        <item x="1031"/>
        <item x="1030"/>
        <item x="1062"/>
        <item x="965"/>
        <item x="1079"/>
        <item x="1157"/>
        <item x="1033"/>
        <item x="861"/>
        <item x="499"/>
        <item x="361"/>
        <item x="301"/>
        <item x="967"/>
        <item x="177"/>
        <item x="261"/>
        <item x="1003"/>
        <item x="1081"/>
        <item x="238"/>
        <item x="718"/>
        <item x="1005"/>
        <item x="176"/>
        <item x="1083"/>
        <item x="348"/>
        <item x="1017"/>
        <item x="364"/>
        <item x="1114"/>
        <item x="1008"/>
        <item x="964"/>
        <item x="1106"/>
        <item x="362"/>
        <item x="977"/>
        <item x="233"/>
        <item x="1098"/>
        <item x="723"/>
        <item x="992"/>
        <item x="894"/>
        <item x="1080"/>
        <item x="650"/>
        <item x="983"/>
        <item x="948"/>
        <item x="1049"/>
        <item x="1140"/>
        <item x="1207"/>
        <item x="1256"/>
        <item x="168"/>
        <item x="461"/>
        <item x="24"/>
        <item x="990"/>
        <item x="1052"/>
        <item x="1075"/>
        <item x="546"/>
        <item x="952"/>
        <item x="1123"/>
        <item x="915"/>
        <item x="188"/>
        <item x="242"/>
        <item x="985"/>
        <item x="623"/>
        <item x="960"/>
        <item x="1039"/>
        <item x="346"/>
        <item x="998"/>
        <item x="668"/>
        <item x="942"/>
        <item x="807"/>
        <item x="441"/>
        <item x="1134"/>
        <item x="1012"/>
        <item x="1167"/>
        <item x="954"/>
        <item x="933"/>
        <item x="963"/>
        <item x="357"/>
        <item x="221"/>
        <item x="1078"/>
        <item x="975"/>
        <item x="951"/>
        <item x="1077"/>
        <item x="326"/>
        <item x="1219"/>
        <item x="1028"/>
        <item x="358"/>
        <item x="645"/>
        <item x="494"/>
        <item x="240"/>
        <item x="919"/>
        <item x="202"/>
        <item x="1087"/>
        <item x="137"/>
        <item x="939"/>
        <item x="986"/>
        <item x="317"/>
        <item x="1014"/>
        <item x="973"/>
        <item x="274"/>
        <item x="524"/>
        <item x="681"/>
        <item x="305"/>
        <item x="562"/>
        <item x="682"/>
        <item x="469"/>
        <item x="1171"/>
        <item x="205"/>
        <item x="1037"/>
        <item x="1038"/>
        <item x="734"/>
        <item x="860"/>
        <item x="1029"/>
        <item x="455"/>
        <item x="218"/>
        <item x="869"/>
        <item x="1058"/>
        <item x="95"/>
        <item x="744"/>
        <item x="953"/>
        <item x="976"/>
        <item x="984"/>
        <item x="1069"/>
        <item x="853"/>
        <item x="250"/>
        <item x="971"/>
        <item x="1084"/>
        <item x="235"/>
        <item x="1074"/>
        <item x="751"/>
        <item x="1027"/>
        <item x="424"/>
        <item x="928"/>
        <item x="1047"/>
        <item x="1016"/>
        <item x="201"/>
        <item x="149"/>
        <item x="1026"/>
        <item x="1022"/>
        <item x="987"/>
        <item x="720"/>
        <item x="721"/>
        <item x="972"/>
        <item x="889"/>
        <item x="737"/>
        <item x="1067"/>
        <item x="408"/>
        <item x="932"/>
        <item x="868"/>
        <item x="344"/>
        <item x="722"/>
        <item x="220"/>
        <item x="1068"/>
        <item x="19"/>
        <item x="189"/>
        <item x="970"/>
        <item x="1054"/>
        <item x="1163"/>
        <item x="519"/>
        <item x="200"/>
        <item x="203"/>
        <item x="1141"/>
        <item x="1211"/>
        <item x="804"/>
        <item x="1096"/>
        <item x="1009"/>
        <item x="1044"/>
        <item x="1111"/>
        <item x="1060"/>
        <item x="508"/>
        <item x="230"/>
        <item x="945"/>
        <item x="216"/>
        <item x="758"/>
        <item x="842"/>
        <item x="646"/>
        <item x="244"/>
        <item x="186"/>
        <item x="1025"/>
        <item x="1045"/>
        <item x="1085"/>
        <item x="1057"/>
        <item x="1055"/>
        <item x="225"/>
        <item x="321"/>
        <item x="1119"/>
        <item x="1056"/>
        <item x="1024"/>
        <item x="966"/>
        <item x="457"/>
        <item x="974"/>
        <item x="635"/>
        <item x="991"/>
        <item x="859"/>
        <item x="174"/>
        <item x="1137"/>
        <item x="399"/>
        <item x="410"/>
        <item x="1064"/>
        <item x="897"/>
        <item x="229"/>
        <item x="849"/>
        <item x="184"/>
        <item x="1065"/>
        <item x="1023"/>
        <item x="1020"/>
        <item x="454"/>
        <item x="1041"/>
        <item x="1193"/>
        <item x="245"/>
        <item x="199"/>
        <item x="843"/>
        <item x="745"/>
        <item x="563"/>
        <item x="1042"/>
        <item x="239"/>
        <item x="708"/>
        <item x="969"/>
        <item x="1071"/>
        <item x="590"/>
        <item x="941"/>
        <item x="365"/>
        <item x="1061"/>
        <item x="579"/>
        <item x="1048"/>
        <item x="390"/>
        <item x="275"/>
        <item x="997"/>
        <item x="1063"/>
        <item x="1191"/>
        <item x="1046"/>
        <item x="771"/>
        <item x="497"/>
        <item x="103"/>
        <item x="1248"/>
        <item x="738"/>
        <item x="761"/>
        <item x="195"/>
        <item x="416"/>
        <item x="453"/>
        <item x="183"/>
        <item x="1100"/>
        <item x="1265"/>
        <item x="746"/>
        <item x="1073"/>
        <item x="609"/>
        <item x="624"/>
        <item x="884"/>
        <item x="411"/>
        <item x="573"/>
        <item x="893"/>
        <item x="988"/>
        <item x="276"/>
        <item x="409"/>
        <item x="739"/>
        <item x="1015"/>
        <item x="564"/>
        <item x="204"/>
        <item x="603"/>
        <item x="903"/>
        <item x="210"/>
        <item x="513"/>
        <item x="1169"/>
        <item x="502"/>
        <item x="944"/>
        <item x="217"/>
        <item x="968"/>
        <item x="1227"/>
        <item x="1197"/>
        <item x="446"/>
        <item x="872"/>
        <item x="179"/>
        <item x="1109"/>
        <item x="523"/>
        <item x="651"/>
        <item x="105"/>
        <item x="405"/>
        <item x="64"/>
        <item x="28"/>
        <item x="1059"/>
        <item x="814"/>
        <item x="669"/>
        <item x="1036"/>
        <item x="341"/>
        <item x="27"/>
        <item x="1043"/>
        <item x="241"/>
        <item x="116"/>
        <item x="870"/>
        <item x="703"/>
        <item x="597"/>
        <item x="1258"/>
        <item x="12"/>
        <item x="567"/>
        <item x="980"/>
        <item x="934"/>
        <item x="938"/>
        <item x="736"/>
        <item x="222"/>
        <item x="191"/>
        <item x="265"/>
        <item x="697"/>
        <item x="565"/>
        <item x="1135"/>
        <item x="888"/>
        <item x="808"/>
        <item x="1051"/>
        <item x="598"/>
        <item x="340"/>
        <item x="283"/>
        <item x="566"/>
        <item x="902"/>
        <item x="800"/>
        <item x="677"/>
        <item x="892"/>
        <item x="728"/>
        <item x="215"/>
        <item x="873"/>
        <item x="456"/>
        <item x="173"/>
        <item x="42"/>
        <item x="460"/>
        <item x="1040"/>
        <item x="100"/>
        <item x="1131"/>
        <item x="1185"/>
        <item x="696"/>
        <item x="786"/>
        <item x="187"/>
        <item x="1013"/>
        <item x="1255"/>
        <item x="825"/>
        <item x="1053"/>
        <item x="647"/>
        <item x="151"/>
        <item x="328"/>
        <item x="926"/>
        <item x="940"/>
        <item x="760"/>
        <item x="1082"/>
        <item x="1035"/>
        <item x="1164"/>
        <item x="1247"/>
        <item x="196"/>
        <item x="148"/>
        <item x="917"/>
        <item x="371"/>
        <item x="1095"/>
        <item x="670"/>
        <item x="674"/>
        <item x="492"/>
        <item x="752"/>
        <item x="777"/>
        <item x="871"/>
        <item x="599"/>
        <item x="688"/>
        <item x="1019"/>
        <item x="509"/>
        <item x="412"/>
        <item x="1001"/>
        <item x="249"/>
        <item x="526"/>
        <item x="251"/>
        <item x="1000"/>
        <item x="254"/>
        <item x="1021"/>
        <item x="982"/>
        <item x="813"/>
        <item x="496"/>
        <item x="890"/>
        <item x="619"/>
        <item x="1010"/>
        <item x="1018"/>
        <item x="329"/>
        <item x="759"/>
        <item x="801"/>
        <item x="730"/>
        <item x="994"/>
        <item x="190"/>
        <item x="181"/>
        <item x="589"/>
        <item x="1168"/>
        <item x="153"/>
        <item x="439"/>
        <item x="126"/>
        <item x="227"/>
        <item x="608"/>
        <item x="691"/>
        <item x="929"/>
        <item x="620"/>
        <item x="418"/>
        <item x="445"/>
        <item x="98"/>
        <item x="436"/>
        <item x="805"/>
        <item x="901"/>
        <item x="1034"/>
        <item x="354"/>
        <item x="1011"/>
        <item x="1237"/>
        <item x="995"/>
        <item x="277"/>
        <item x="29"/>
        <item x="531"/>
        <item x="438"/>
        <item x="875"/>
        <item x="605"/>
        <item x="854"/>
        <item x="910"/>
        <item x="1050"/>
        <item x="63"/>
        <item x="104"/>
        <item x="318"/>
        <item x="82"/>
        <item x="537"/>
        <item x="516"/>
        <item x="1145"/>
        <item x="862"/>
        <item x="561"/>
        <item x="554"/>
        <item x="286"/>
        <item x="698"/>
        <item x="433"/>
        <item x="1179"/>
        <item x="522"/>
        <item x="1097"/>
        <item x="652"/>
        <item x="327"/>
        <item x="950"/>
        <item x="838"/>
        <item x="947"/>
        <item x="558"/>
        <item x="692"/>
        <item x="956"/>
        <item x="337"/>
        <item x="812"/>
        <item x="253"/>
        <item x="925"/>
        <item x="290"/>
        <item x="1007"/>
        <item x="257"/>
        <item x="586"/>
        <item x="839"/>
        <item x="1070"/>
        <item x="178"/>
        <item x="135"/>
        <item x="680"/>
        <item x="198"/>
        <item x="1121"/>
        <item x="788"/>
        <item x="830"/>
        <item x="582"/>
        <item x="920"/>
        <item x="1228"/>
        <item x="1120"/>
        <item x="931"/>
        <item x="1072"/>
        <item x="676"/>
        <item x="536"/>
        <item x="214"/>
        <item x="266"/>
        <item x="1136"/>
        <item x="937"/>
        <item x="625"/>
        <item x="208"/>
        <item x="295"/>
        <item x="958"/>
        <item x="799"/>
        <item x="943"/>
        <item x="1144"/>
        <item x="440"/>
        <item x="555"/>
        <item x="1091"/>
        <item x="1246"/>
        <item x="659"/>
        <item x="1133"/>
        <item x="192"/>
        <item x="413"/>
        <item x="80"/>
        <item x="392"/>
        <item x="247"/>
        <item x="296"/>
        <item x="185"/>
        <item x="1112"/>
        <item x="588"/>
        <item x="763"/>
        <item x="528"/>
        <item x="293"/>
        <item x="175"/>
        <item x="851"/>
        <item x="89"/>
        <item x="529"/>
        <item x="837"/>
        <item x="231"/>
        <item x="729"/>
        <item x="423"/>
        <item x="610"/>
        <item x="1259"/>
        <item x="120"/>
        <item x="923"/>
        <item x="852"/>
        <item x="421"/>
        <item x="1090"/>
        <item x="375"/>
        <item x="285"/>
        <item x="284"/>
        <item x="353"/>
        <item x="355"/>
        <item x="815"/>
        <item x="1253"/>
        <item x="268"/>
        <item x="632"/>
        <item x="877"/>
        <item x="600"/>
        <item x="548"/>
        <item x="237"/>
        <item x="989"/>
        <item x="664"/>
        <item x="685"/>
        <item x="683"/>
        <item x="267"/>
        <item x="246"/>
        <item x="694"/>
        <item x="206"/>
        <item x="388"/>
        <item x="725"/>
        <item x="234"/>
        <item x="90"/>
        <item x="389"/>
        <item x="381"/>
        <item x="279"/>
        <item x="133"/>
        <item x="1206"/>
        <item x="538"/>
        <item x="832"/>
        <item x="125"/>
        <item x="585"/>
        <item x="330"/>
        <item x="134"/>
        <item x="43"/>
        <item x="996"/>
        <item x="352"/>
        <item x="223"/>
        <item x="936"/>
        <item x="611"/>
        <item x="922"/>
        <item x="653"/>
        <item x="556"/>
        <item x="850"/>
        <item x="911"/>
        <item x="302"/>
        <item x="978"/>
        <item x="256"/>
        <item x="382"/>
        <item x="41"/>
        <item x="979"/>
        <item x="213"/>
        <item x="520"/>
        <item x="507"/>
        <item x="270"/>
        <item x="604"/>
        <item x="924"/>
        <item x="1139"/>
        <item x="150"/>
        <item x="470"/>
        <item x="711"/>
        <item x="532"/>
        <item x="15"/>
        <item x="1189"/>
        <item x="386"/>
        <item x="935"/>
        <item x="248"/>
        <item x="912"/>
        <item x="557"/>
        <item x="13"/>
        <item x="224"/>
        <item x="207"/>
        <item x="339"/>
        <item x="226"/>
        <item x="180"/>
        <item x="601"/>
        <item x="914"/>
        <item x="471"/>
        <item x="671"/>
        <item x="255"/>
        <item x="547"/>
        <item x="535"/>
        <item x="906"/>
        <item x="335"/>
        <item x="648"/>
        <item x="356"/>
        <item x="387"/>
        <item x="740"/>
        <item x="336"/>
        <item x="236"/>
        <item x="506"/>
        <item x="806"/>
        <item x="511"/>
        <item x="542"/>
        <item x="835"/>
        <item x="338"/>
        <item x="587"/>
        <item x="384"/>
        <item x="699"/>
        <item x="913"/>
        <item x="99"/>
        <item x="678"/>
        <item x="961"/>
        <item x="521"/>
        <item x="602"/>
        <item x="383"/>
        <item x="533"/>
        <item x="1203"/>
        <item x="753"/>
        <item x="147"/>
        <item x="773"/>
        <item x="874"/>
        <item x="194"/>
        <item x="654"/>
        <item x="999"/>
        <item x="1188"/>
        <item x="684"/>
        <item x="294"/>
        <item x="706"/>
        <item x="197"/>
        <item x="633"/>
        <item x="612"/>
        <item x="717"/>
        <item x="376"/>
        <item x="373"/>
        <item x="686"/>
        <item x="1245"/>
        <item x="391"/>
        <item x="252"/>
        <item x="271"/>
        <item x="209"/>
        <item x="372"/>
        <item x="211"/>
        <item x="704"/>
        <item x="993"/>
        <item x="374"/>
        <item x="193"/>
        <item x="534"/>
        <item x="212"/>
        <item x="700"/>
        <item x="679"/>
        <item x="385"/>
        <item x="655"/>
        <item x="269"/>
        <item x="430"/>
        <item x="957"/>
        <item x="733"/>
        <item x="228"/>
        <item x="182"/>
        <item x="662"/>
        <item x="634"/>
        <item x="1249"/>
        <item x="672"/>
        <item x="726"/>
        <item x="656"/>
        <item x="701"/>
        <item x="331"/>
        <item x="429"/>
        <item x="687"/>
        <item x="232"/>
        <item x="636"/>
        <item x="626"/>
        <item x="627"/>
        <item x="594"/>
        <item x="754"/>
        <item x="673"/>
        <item x="715"/>
        <item x="716"/>
        <item x="1266"/>
        <item t="default"/>
      </items>
    </pivotField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produt_z_g.ano" fld="10" subtotal="average" baseField="0" baseItem="0"/>
    <dataField name="Soma de biomassa_z_kg" fld="9" baseField="0" baseItem="0"/>
    <dataField name="Média de area.transv.cm2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5"/>
  <sheetViews>
    <sheetView workbookViewId="0">
      <selection activeCell="L11" sqref="L11"/>
    </sheetView>
  </sheetViews>
  <sheetFormatPr defaultRowHeight="14.4" x14ac:dyDescent="0.3"/>
  <cols>
    <col min="2" max="2" width="26.109375" bestFit="1" customWidth="1"/>
    <col min="3" max="3" width="14.6640625" hidden="1" customWidth="1"/>
    <col min="4" max="4" width="12.109375" hidden="1" customWidth="1"/>
    <col min="6" max="6" width="14.5546875" customWidth="1"/>
    <col min="7" max="7" width="19.21875" bestFit="1" customWidth="1"/>
    <col min="8" max="11" width="19.21875" customWidth="1"/>
    <col min="12" max="12" width="19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s="10" t="s">
        <v>177</v>
      </c>
      <c r="H1" s="10" t="s">
        <v>178</v>
      </c>
      <c r="I1" s="10" t="s">
        <v>180</v>
      </c>
      <c r="J1" s="10" t="s">
        <v>179</v>
      </c>
      <c r="K1" s="10" t="s">
        <v>181</v>
      </c>
      <c r="L1" t="s">
        <v>6</v>
      </c>
    </row>
    <row r="2" spans="1:14" x14ac:dyDescent="0.3">
      <c r="A2" t="s">
        <v>7</v>
      </c>
      <c r="B2" t="s">
        <v>8</v>
      </c>
      <c r="C2" s="5">
        <v>0.36</v>
      </c>
      <c r="D2" s="5">
        <v>0.35</v>
      </c>
      <c r="E2">
        <v>4</v>
      </c>
      <c r="F2" s="3">
        <v>3.9808917197452227</v>
      </c>
      <c r="G2" s="3">
        <f>PI()*(F2/2)^2</f>
        <v>12.446596518200664</v>
      </c>
      <c r="H2" s="3">
        <f>0.0673 * ((D2 * F2^2 * E2)^0.976)</f>
        <v>1.3861100085364575</v>
      </c>
      <c r="I2" s="3">
        <f t="shared" ref="I2:I65" si="0">(H2*1000)/L2</f>
        <v>173.2637510670572</v>
      </c>
      <c r="J2" s="5">
        <f>8.9857 + 0.0035 * F2^2 * E2</f>
        <v>9.2075649843807046</v>
      </c>
      <c r="K2" s="5">
        <f t="shared" ref="K2:K65" si="1">(J2*1000)/L2</f>
        <v>1150.945623047588</v>
      </c>
      <c r="L2">
        <v>8</v>
      </c>
      <c r="N2" s="2"/>
    </row>
    <row r="3" spans="1:14" x14ac:dyDescent="0.3">
      <c r="A3" t="s">
        <v>7</v>
      </c>
      <c r="B3" t="s">
        <v>8</v>
      </c>
      <c r="C3" s="5">
        <v>0.36</v>
      </c>
      <c r="D3" s="5">
        <v>0.35</v>
      </c>
      <c r="E3">
        <v>4</v>
      </c>
      <c r="F3" s="3">
        <v>3.6624203821656049</v>
      </c>
      <c r="G3" s="3">
        <f>PI()*(F3/2)^2</f>
        <v>10.534799293005044</v>
      </c>
      <c r="H3" s="3">
        <f>0.0673 * ((D3 * F3^2 * E3)^0.976)</f>
        <v>1.1779084529054955</v>
      </c>
      <c r="I3" s="3">
        <f t="shared" si="0"/>
        <v>147.23855661318694</v>
      </c>
      <c r="J3" s="5">
        <f t="shared" ref="J3:J66" si="2">8.9857 + 0.0035 * F3^2 * E3</f>
        <v>9.1734865227798288</v>
      </c>
      <c r="K3" s="5">
        <f t="shared" si="1"/>
        <v>1146.6858153474786</v>
      </c>
      <c r="L3">
        <v>8</v>
      </c>
    </row>
    <row r="4" spans="1:14" x14ac:dyDescent="0.3">
      <c r="A4" t="s">
        <v>7</v>
      </c>
      <c r="B4" t="s">
        <v>8</v>
      </c>
      <c r="C4" s="5">
        <v>0.36</v>
      </c>
      <c r="D4" s="5">
        <v>0.35</v>
      </c>
      <c r="E4">
        <v>4</v>
      </c>
      <c r="F4" s="3">
        <v>3.9808917197452227</v>
      </c>
      <c r="G4" s="3">
        <f t="shared" ref="G4:G67" si="3">PI()*(F4/2)^2</f>
        <v>12.446596518200664</v>
      </c>
      <c r="H4" s="3">
        <f t="shared" ref="H4:H67" si="4">0.0673 * ((D4 * F4^2 * E4)^0.976)</f>
        <v>1.3861100085364575</v>
      </c>
      <c r="I4" s="3">
        <f t="shared" si="0"/>
        <v>173.2637510670572</v>
      </c>
      <c r="J4" s="5">
        <f t="shared" si="2"/>
        <v>9.2075649843807046</v>
      </c>
      <c r="K4" s="5">
        <f t="shared" si="1"/>
        <v>1150.945623047588</v>
      </c>
      <c r="L4">
        <v>8</v>
      </c>
    </row>
    <row r="5" spans="1:14" x14ac:dyDescent="0.3">
      <c r="A5" t="s">
        <v>7</v>
      </c>
      <c r="B5" t="s">
        <v>8</v>
      </c>
      <c r="C5" s="5">
        <v>0.36</v>
      </c>
      <c r="D5" s="5">
        <v>0.35</v>
      </c>
      <c r="E5" s="1">
        <v>2.5</v>
      </c>
      <c r="F5" s="3">
        <v>2.2292993630573248</v>
      </c>
      <c r="G5" s="3">
        <f t="shared" si="3"/>
        <v>3.9032526681077284</v>
      </c>
      <c r="H5" s="3">
        <f t="shared" si="4"/>
        <v>0.28251377288151469</v>
      </c>
      <c r="I5" s="3">
        <f t="shared" si="0"/>
        <v>35.314221610189335</v>
      </c>
      <c r="J5" s="5">
        <f t="shared" si="2"/>
        <v>9.029185536938618</v>
      </c>
      <c r="K5" s="5">
        <f t="shared" si="1"/>
        <v>1128.6481921173272</v>
      </c>
      <c r="L5">
        <v>8</v>
      </c>
    </row>
    <row r="6" spans="1:14" x14ac:dyDescent="0.3">
      <c r="A6" t="s">
        <v>7</v>
      </c>
      <c r="B6" t="s">
        <v>9</v>
      </c>
      <c r="C6" s="5">
        <v>0.766138345</v>
      </c>
      <c r="D6" s="5">
        <v>0.90500000000000003</v>
      </c>
      <c r="E6">
        <v>7</v>
      </c>
      <c r="F6" s="3">
        <v>5.5732484076433115</v>
      </c>
      <c r="G6" s="3">
        <f t="shared" si="3"/>
        <v>24.395329175673304</v>
      </c>
      <c r="H6" s="3">
        <f t="shared" si="4"/>
        <v>11.666037351206468</v>
      </c>
      <c r="I6" s="3">
        <f t="shared" si="0"/>
        <v>1458.2546689008084</v>
      </c>
      <c r="J6" s="5">
        <f t="shared" si="2"/>
        <v>9.7466968964258172</v>
      </c>
      <c r="K6" s="5">
        <f t="shared" si="1"/>
        <v>1218.3371120532272</v>
      </c>
      <c r="L6">
        <v>8</v>
      </c>
    </row>
    <row r="7" spans="1:14" x14ac:dyDescent="0.3">
      <c r="A7" t="s">
        <v>7</v>
      </c>
      <c r="B7" t="s">
        <v>9</v>
      </c>
      <c r="C7" s="5">
        <v>0.766138345</v>
      </c>
      <c r="D7" s="5">
        <v>0.90500000000000003</v>
      </c>
      <c r="E7">
        <v>6</v>
      </c>
      <c r="F7" s="3">
        <v>11.942675159235668</v>
      </c>
      <c r="G7" s="3">
        <f t="shared" si="3"/>
        <v>112.01936866380598</v>
      </c>
      <c r="H7" s="3">
        <f t="shared" si="4"/>
        <v>44.430587865108954</v>
      </c>
      <c r="I7" s="3">
        <f t="shared" si="0"/>
        <v>5553.8234831386189</v>
      </c>
      <c r="J7" s="5">
        <f t="shared" si="2"/>
        <v>11.980877289139517</v>
      </c>
      <c r="K7" s="5">
        <f t="shared" si="1"/>
        <v>1497.6096611424396</v>
      </c>
      <c r="L7">
        <v>8</v>
      </c>
    </row>
    <row r="8" spans="1:14" x14ac:dyDescent="0.3">
      <c r="A8" t="s">
        <v>7</v>
      </c>
      <c r="B8" t="s">
        <v>10</v>
      </c>
      <c r="C8" s="5">
        <v>0.47982689899999997</v>
      </c>
      <c r="D8" s="5">
        <v>0.51</v>
      </c>
      <c r="E8">
        <v>4</v>
      </c>
      <c r="F8" s="3">
        <v>1.910828025477707</v>
      </c>
      <c r="G8" s="3">
        <f t="shared" si="3"/>
        <v>2.8676958377934336</v>
      </c>
      <c r="H8" s="3">
        <f t="shared" si="4"/>
        <v>0.47770377728979629</v>
      </c>
      <c r="I8" s="3">
        <f t="shared" si="0"/>
        <v>59.712972161224535</v>
      </c>
      <c r="J8" s="5">
        <f t="shared" si="2"/>
        <v>9.0368176924013142</v>
      </c>
      <c r="K8" s="5">
        <f t="shared" si="1"/>
        <v>1129.6022115501642</v>
      </c>
      <c r="L8">
        <v>8</v>
      </c>
    </row>
    <row r="9" spans="1:14" x14ac:dyDescent="0.3">
      <c r="A9" t="s">
        <v>7</v>
      </c>
      <c r="B9" t="s">
        <v>10</v>
      </c>
      <c r="C9" s="5">
        <v>0.47982689899999997</v>
      </c>
      <c r="D9" s="5">
        <v>0.51</v>
      </c>
      <c r="E9">
        <v>3</v>
      </c>
      <c r="F9" s="3">
        <v>1.7515923566878979</v>
      </c>
      <c r="G9" s="3">
        <f t="shared" si="3"/>
        <v>2.4096610859236485</v>
      </c>
      <c r="H9" s="3">
        <f t="shared" si="4"/>
        <v>0.30440739427722058</v>
      </c>
      <c r="I9" s="3">
        <f t="shared" si="0"/>
        <v>38.050924284652574</v>
      </c>
      <c r="J9" s="5">
        <f t="shared" si="2"/>
        <v>9.0179147957320787</v>
      </c>
      <c r="K9" s="5">
        <f t="shared" si="1"/>
        <v>1127.2393494665098</v>
      </c>
      <c r="L9">
        <v>8</v>
      </c>
    </row>
    <row r="10" spans="1:14" x14ac:dyDescent="0.3">
      <c r="A10" t="s">
        <v>7</v>
      </c>
      <c r="B10" t="s">
        <v>11</v>
      </c>
      <c r="C10" s="5">
        <v>0.89361000000000002</v>
      </c>
      <c r="D10" s="5">
        <v>0.61247410899999999</v>
      </c>
      <c r="E10">
        <v>4</v>
      </c>
      <c r="F10" s="3">
        <v>4.4585987261146496</v>
      </c>
      <c r="G10" s="3">
        <f t="shared" si="3"/>
        <v>15.613010672430914</v>
      </c>
      <c r="H10" s="3">
        <f t="shared" si="4"/>
        <v>2.9857847622336413</v>
      </c>
      <c r="I10" s="3">
        <f t="shared" si="0"/>
        <v>373.22309527920515</v>
      </c>
      <c r="J10" s="5">
        <f t="shared" si="2"/>
        <v>9.2640074364071552</v>
      </c>
      <c r="K10" s="5">
        <f t="shared" si="1"/>
        <v>1158.0009295508944</v>
      </c>
      <c r="L10">
        <v>8</v>
      </c>
    </row>
    <row r="11" spans="1:14" x14ac:dyDescent="0.3">
      <c r="A11" t="s">
        <v>7</v>
      </c>
      <c r="B11" t="s">
        <v>12</v>
      </c>
      <c r="C11" s="5">
        <v>0.708787469</v>
      </c>
      <c r="D11" s="5">
        <v>0.80167708299999996</v>
      </c>
      <c r="E11">
        <v>9</v>
      </c>
      <c r="F11" s="3">
        <v>9.3949044585987256</v>
      </c>
      <c r="G11" s="3">
        <f t="shared" si="3"/>
        <v>69.322563967770421</v>
      </c>
      <c r="H11" s="3">
        <f t="shared" si="4"/>
        <v>36.706682659982548</v>
      </c>
      <c r="I11" s="3">
        <f t="shared" si="0"/>
        <v>4588.3353324978189</v>
      </c>
      <c r="J11" s="5">
        <f t="shared" si="2"/>
        <v>11.766023238265245</v>
      </c>
      <c r="K11" s="5">
        <f t="shared" si="1"/>
        <v>1470.7529047831556</v>
      </c>
      <c r="L11">
        <v>8</v>
      </c>
    </row>
    <row r="12" spans="1:14" x14ac:dyDescent="0.3">
      <c r="A12" t="s">
        <v>7</v>
      </c>
      <c r="B12" t="s">
        <v>12</v>
      </c>
      <c r="C12" s="5">
        <v>0.708787469</v>
      </c>
      <c r="D12" s="5">
        <v>0.80167708299999996</v>
      </c>
      <c r="E12">
        <v>9</v>
      </c>
      <c r="F12" s="3">
        <v>12.898089171974522</v>
      </c>
      <c r="G12" s="3">
        <f t="shared" si="3"/>
        <v>130.65939160946331</v>
      </c>
      <c r="H12" s="3">
        <f t="shared" si="4"/>
        <v>68.140413917417519</v>
      </c>
      <c r="I12" s="3">
        <f t="shared" si="0"/>
        <v>8517.5517396771902</v>
      </c>
      <c r="J12" s="5">
        <f t="shared" si="2"/>
        <v>14.226062185078501</v>
      </c>
      <c r="K12" s="5">
        <f t="shared" si="1"/>
        <v>1778.2577731348126</v>
      </c>
      <c r="L12">
        <v>8</v>
      </c>
    </row>
    <row r="13" spans="1:14" x14ac:dyDescent="0.3">
      <c r="A13" t="s">
        <v>7</v>
      </c>
      <c r="B13" t="s">
        <v>12</v>
      </c>
      <c r="C13" s="5">
        <v>0.708787469</v>
      </c>
      <c r="D13" s="5">
        <v>0.80167708299999996</v>
      </c>
      <c r="E13">
        <v>8</v>
      </c>
      <c r="F13" s="3">
        <v>4.2993630573248405</v>
      </c>
      <c r="G13" s="3">
        <f t="shared" si="3"/>
        <v>14.517710178829255</v>
      </c>
      <c r="H13" s="3">
        <f t="shared" si="4"/>
        <v>7.1144153482303318</v>
      </c>
      <c r="I13" s="3">
        <f t="shared" si="0"/>
        <v>889.30191852879148</v>
      </c>
      <c r="J13" s="5">
        <f t="shared" si="2"/>
        <v>9.5032666355633086</v>
      </c>
      <c r="K13" s="5">
        <f t="shared" si="1"/>
        <v>1187.9083294454135</v>
      </c>
      <c r="L13">
        <v>8</v>
      </c>
    </row>
    <row r="14" spans="1:14" x14ac:dyDescent="0.3">
      <c r="A14" t="s">
        <v>7</v>
      </c>
      <c r="B14" t="s">
        <v>12</v>
      </c>
      <c r="C14" s="5">
        <v>0.708787469</v>
      </c>
      <c r="D14" s="5">
        <v>0.80167708299999996</v>
      </c>
      <c r="E14">
        <v>7</v>
      </c>
      <c r="F14" s="3">
        <v>4.7770700636942669</v>
      </c>
      <c r="G14" s="3">
        <f t="shared" si="3"/>
        <v>17.923098986208956</v>
      </c>
      <c r="H14" s="3">
        <f t="shared" si="4"/>
        <v>7.6711009420756602</v>
      </c>
      <c r="I14" s="3">
        <f t="shared" si="0"/>
        <v>958.8876177594575</v>
      </c>
      <c r="J14" s="5">
        <f t="shared" si="2"/>
        <v>9.5447997606393766</v>
      </c>
      <c r="K14" s="5">
        <f t="shared" si="1"/>
        <v>1193.0999700799221</v>
      </c>
      <c r="L14">
        <v>8</v>
      </c>
    </row>
    <row r="15" spans="1:14" x14ac:dyDescent="0.3">
      <c r="A15" t="s">
        <v>7</v>
      </c>
      <c r="B15" t="s">
        <v>13</v>
      </c>
      <c r="C15" s="5">
        <v>0.45255480399999998</v>
      </c>
      <c r="D15" s="5">
        <v>0.57808694400000005</v>
      </c>
      <c r="E15">
        <v>9</v>
      </c>
      <c r="F15" s="3">
        <v>23.544585987261144</v>
      </c>
      <c r="G15" s="3">
        <f t="shared" si="3"/>
        <v>435.38353140519177</v>
      </c>
      <c r="H15" s="3">
        <f t="shared" si="4"/>
        <v>160.321742347585</v>
      </c>
      <c r="I15" s="3">
        <f t="shared" si="0"/>
        <v>20040.217793448126</v>
      </c>
      <c r="J15" s="5">
        <f t="shared" si="2"/>
        <v>26.447647173313314</v>
      </c>
      <c r="K15" s="5">
        <f t="shared" si="1"/>
        <v>3305.9558966641644</v>
      </c>
      <c r="L15">
        <v>8</v>
      </c>
    </row>
    <row r="16" spans="1:14" x14ac:dyDescent="0.3">
      <c r="A16" t="s">
        <v>7</v>
      </c>
      <c r="B16" t="s">
        <v>13</v>
      </c>
      <c r="C16" s="5">
        <v>0.45255480399999998</v>
      </c>
      <c r="D16" s="5">
        <v>0.57808694400000005</v>
      </c>
      <c r="E16">
        <v>9</v>
      </c>
      <c r="F16" s="3">
        <v>47.611464968152866</v>
      </c>
      <c r="G16" s="3">
        <f t="shared" si="3"/>
        <v>1780.3810805178525</v>
      </c>
      <c r="H16" s="3">
        <f t="shared" si="4"/>
        <v>633.80259590057665</v>
      </c>
      <c r="I16" s="3">
        <f t="shared" si="0"/>
        <v>79225.324487572085</v>
      </c>
      <c r="J16" s="5">
        <f t="shared" si="2"/>
        <v>80.391525287029893</v>
      </c>
      <c r="K16" s="5">
        <f t="shared" si="1"/>
        <v>10048.940660878736</v>
      </c>
      <c r="L16">
        <v>8</v>
      </c>
    </row>
    <row r="17" spans="1:12" x14ac:dyDescent="0.3">
      <c r="A17" t="s">
        <v>7</v>
      </c>
      <c r="B17" t="s">
        <v>13</v>
      </c>
      <c r="C17" s="5">
        <v>0.45255480399999998</v>
      </c>
      <c r="D17" s="5">
        <v>0.57808694400000005</v>
      </c>
      <c r="E17">
        <v>8</v>
      </c>
      <c r="F17" s="3">
        <v>13.535031847133757</v>
      </c>
      <c r="G17" s="3">
        <f t="shared" si="3"/>
        <v>143.88265575039969</v>
      </c>
      <c r="H17" s="3">
        <f t="shared" si="4"/>
        <v>48.500334635987954</v>
      </c>
      <c r="I17" s="3">
        <f t="shared" si="0"/>
        <v>6062.5418294984947</v>
      </c>
      <c r="J17" s="5">
        <f t="shared" si="2"/>
        <v>14.1152184388819</v>
      </c>
      <c r="K17" s="5">
        <f t="shared" si="1"/>
        <v>1764.4023048602376</v>
      </c>
      <c r="L17">
        <v>8</v>
      </c>
    </row>
    <row r="18" spans="1:12" x14ac:dyDescent="0.3">
      <c r="A18" t="s">
        <v>7</v>
      </c>
      <c r="B18" t="s">
        <v>13</v>
      </c>
      <c r="C18" s="5">
        <v>0.45255480399999998</v>
      </c>
      <c r="D18" s="5">
        <v>0.57808694400000005</v>
      </c>
      <c r="E18">
        <v>8</v>
      </c>
      <c r="F18" s="3">
        <v>49.044585987261144</v>
      </c>
      <c r="G18" s="3">
        <f t="shared" si="3"/>
        <v>1889.1742913641408</v>
      </c>
      <c r="H18" s="3">
        <f t="shared" si="4"/>
        <v>598.64587002559119</v>
      </c>
      <c r="I18" s="3">
        <f t="shared" si="0"/>
        <v>74830.733753198903</v>
      </c>
      <c r="J18" s="5">
        <f t="shared" si="2"/>
        <v>76.336099610531861</v>
      </c>
      <c r="K18" s="5">
        <f t="shared" si="1"/>
        <v>9542.0124513164828</v>
      </c>
      <c r="L18">
        <v>8</v>
      </c>
    </row>
    <row r="19" spans="1:12" x14ac:dyDescent="0.3">
      <c r="A19" t="s">
        <v>7</v>
      </c>
      <c r="B19" t="s">
        <v>14</v>
      </c>
      <c r="C19" s="5">
        <v>0.374</v>
      </c>
      <c r="D19" s="5">
        <v>0.47945833300000001</v>
      </c>
      <c r="E19">
        <v>6</v>
      </c>
      <c r="F19" s="3">
        <v>4.936305732484076</v>
      </c>
      <c r="G19" s="3">
        <f t="shared" si="3"/>
        <v>19.137886806385342</v>
      </c>
      <c r="H19" s="3">
        <f t="shared" si="4"/>
        <v>4.2601445623777083</v>
      </c>
      <c r="I19" s="3">
        <f t="shared" si="0"/>
        <v>532.51807029721351</v>
      </c>
      <c r="J19" s="5">
        <f t="shared" si="2"/>
        <v>9.4974093999756573</v>
      </c>
      <c r="K19" s="5">
        <f t="shared" si="1"/>
        <v>1187.1761749969571</v>
      </c>
      <c r="L19">
        <v>8</v>
      </c>
    </row>
    <row r="20" spans="1:12" x14ac:dyDescent="0.3">
      <c r="A20" t="s">
        <v>7</v>
      </c>
      <c r="B20" t="s">
        <v>14</v>
      </c>
      <c r="C20" s="5">
        <v>0.374</v>
      </c>
      <c r="D20" s="5">
        <v>0.47945833300000001</v>
      </c>
      <c r="E20">
        <v>5</v>
      </c>
      <c r="F20" s="3">
        <v>3.6624203821656049</v>
      </c>
      <c r="G20" s="3">
        <f t="shared" si="3"/>
        <v>10.534799293005044</v>
      </c>
      <c r="H20" s="3">
        <f t="shared" si="4"/>
        <v>1.9911232792925877</v>
      </c>
      <c r="I20" s="3">
        <f t="shared" si="0"/>
        <v>248.89040991157347</v>
      </c>
      <c r="J20" s="5">
        <f t="shared" si="2"/>
        <v>9.2204331534747848</v>
      </c>
      <c r="K20" s="5">
        <f t="shared" si="1"/>
        <v>1152.5541441843482</v>
      </c>
      <c r="L20">
        <v>8</v>
      </c>
    </row>
    <row r="21" spans="1:12" x14ac:dyDescent="0.3">
      <c r="A21" t="s">
        <v>7</v>
      </c>
      <c r="B21" t="s">
        <v>15</v>
      </c>
      <c r="C21" s="5">
        <v>0.74387999999999999</v>
      </c>
      <c r="D21" s="5">
        <v>0.59130000000000005</v>
      </c>
      <c r="E21">
        <v>6</v>
      </c>
      <c r="F21" s="3">
        <v>3.8216560509554141</v>
      </c>
      <c r="G21" s="3">
        <f t="shared" si="3"/>
        <v>11.470783351173734</v>
      </c>
      <c r="H21" s="3">
        <f t="shared" si="4"/>
        <v>3.1719789293523761</v>
      </c>
      <c r="I21" s="3">
        <f t="shared" si="0"/>
        <v>396.49736616904704</v>
      </c>
      <c r="J21" s="5">
        <f t="shared" si="2"/>
        <v>9.2924061544078871</v>
      </c>
      <c r="K21" s="5">
        <f t="shared" si="1"/>
        <v>1161.5507693009858</v>
      </c>
      <c r="L21">
        <v>8</v>
      </c>
    </row>
    <row r="22" spans="1:12" x14ac:dyDescent="0.3">
      <c r="A22" t="s">
        <v>7</v>
      </c>
      <c r="B22" t="s">
        <v>15</v>
      </c>
      <c r="C22" s="5">
        <v>0.74387999999999999</v>
      </c>
      <c r="D22" s="5">
        <v>0.59130000000000005</v>
      </c>
      <c r="E22" s="1">
        <v>10.1</v>
      </c>
      <c r="F22" s="3">
        <v>18.312101910828027</v>
      </c>
      <c r="G22" s="3">
        <f t="shared" si="3"/>
        <v>263.3699823251261</v>
      </c>
      <c r="H22" s="3">
        <f t="shared" si="4"/>
        <v>112.30062537116449</v>
      </c>
      <c r="I22" s="3">
        <f t="shared" si="0"/>
        <v>14037.57817139556</v>
      </c>
      <c r="J22" s="5">
        <f t="shared" si="2"/>
        <v>20.839724250476692</v>
      </c>
      <c r="K22" s="5">
        <f t="shared" si="1"/>
        <v>2604.9655313095864</v>
      </c>
      <c r="L22">
        <v>8</v>
      </c>
    </row>
    <row r="23" spans="1:12" x14ac:dyDescent="0.3">
      <c r="A23" t="s">
        <v>7</v>
      </c>
      <c r="B23" t="s">
        <v>16</v>
      </c>
      <c r="C23" s="5">
        <v>0.66608171000000005</v>
      </c>
      <c r="D23" s="5">
        <v>0.68661666700000001</v>
      </c>
      <c r="E23">
        <v>5</v>
      </c>
      <c r="F23" s="3">
        <v>2.7070063694267517</v>
      </c>
      <c r="G23" s="3">
        <f t="shared" si="3"/>
        <v>5.7553062300159885</v>
      </c>
      <c r="H23" s="3">
        <f t="shared" si="4"/>
        <v>1.5669749562967354</v>
      </c>
      <c r="I23" s="3">
        <f t="shared" si="0"/>
        <v>195.87186953709192</v>
      </c>
      <c r="J23" s="5">
        <f t="shared" si="2"/>
        <v>9.1139379609720468</v>
      </c>
      <c r="K23" s="5">
        <f t="shared" si="1"/>
        <v>1139.2422451215059</v>
      </c>
      <c r="L23">
        <v>8</v>
      </c>
    </row>
    <row r="24" spans="1:12" x14ac:dyDescent="0.3">
      <c r="A24" t="s">
        <v>7</v>
      </c>
      <c r="B24" t="s">
        <v>16</v>
      </c>
      <c r="C24" s="5">
        <v>0.66608171000000005</v>
      </c>
      <c r="D24" s="5">
        <v>0.68661666700000001</v>
      </c>
      <c r="E24">
        <v>5</v>
      </c>
      <c r="F24" s="3">
        <v>3.5031847133757958</v>
      </c>
      <c r="G24" s="3">
        <f t="shared" si="3"/>
        <v>9.6386443436945939</v>
      </c>
      <c r="H24" s="3">
        <f t="shared" si="4"/>
        <v>2.5919990258533456</v>
      </c>
      <c r="I24" s="3">
        <f t="shared" si="0"/>
        <v>323.99987823166822</v>
      </c>
      <c r="J24" s="5">
        <f t="shared" si="2"/>
        <v>9.2004653048805221</v>
      </c>
      <c r="K24" s="5">
        <f t="shared" si="1"/>
        <v>1150.0581631100652</v>
      </c>
      <c r="L24">
        <v>8</v>
      </c>
    </row>
    <row r="25" spans="1:12" x14ac:dyDescent="0.3">
      <c r="A25" t="s">
        <v>7</v>
      </c>
      <c r="B25" t="s">
        <v>16</v>
      </c>
      <c r="C25" s="5">
        <v>0.66608171000000005</v>
      </c>
      <c r="D25" s="5">
        <v>0.68661666700000001</v>
      </c>
      <c r="E25">
        <v>5</v>
      </c>
      <c r="F25" s="3">
        <v>6.2101910828025479</v>
      </c>
      <c r="G25" s="3">
        <f t="shared" si="3"/>
        <v>30.290037286693146</v>
      </c>
      <c r="H25" s="3">
        <f t="shared" si="4"/>
        <v>7.9247190414458375</v>
      </c>
      <c r="I25" s="3">
        <f t="shared" si="0"/>
        <v>990.58988018072966</v>
      </c>
      <c r="J25" s="5">
        <f t="shared" si="2"/>
        <v>9.6606132824861053</v>
      </c>
      <c r="K25" s="5">
        <f t="shared" si="1"/>
        <v>1207.5766603107631</v>
      </c>
      <c r="L25">
        <v>8</v>
      </c>
    </row>
    <row r="26" spans="1:12" x14ac:dyDescent="0.3">
      <c r="A26" t="s">
        <v>7</v>
      </c>
      <c r="B26" t="s">
        <v>16</v>
      </c>
      <c r="C26" s="5">
        <v>0.66608171000000005</v>
      </c>
      <c r="D26" s="5">
        <v>0.68661666700000001</v>
      </c>
      <c r="E26">
        <v>4</v>
      </c>
      <c r="F26" s="3">
        <v>3.3439490445859872</v>
      </c>
      <c r="G26" s="3">
        <f t="shared" si="3"/>
        <v>8.7823185032423901</v>
      </c>
      <c r="H26" s="3">
        <f t="shared" si="4"/>
        <v>1.9037663739053985</v>
      </c>
      <c r="I26" s="3">
        <f t="shared" si="0"/>
        <v>237.97079673817481</v>
      </c>
      <c r="J26" s="5">
        <f t="shared" si="2"/>
        <v>9.1422479329790249</v>
      </c>
      <c r="K26" s="5">
        <f t="shared" si="1"/>
        <v>1142.7809916223782</v>
      </c>
      <c r="L26">
        <v>8</v>
      </c>
    </row>
    <row r="27" spans="1:12" x14ac:dyDescent="0.3">
      <c r="A27" t="s">
        <v>7</v>
      </c>
      <c r="B27" t="s">
        <v>17</v>
      </c>
      <c r="C27" s="5">
        <v>0.43836446099999998</v>
      </c>
      <c r="D27" s="5">
        <v>0.58666666700000003</v>
      </c>
      <c r="E27">
        <v>7</v>
      </c>
      <c r="F27" s="3">
        <v>19.936305732484072</v>
      </c>
      <c r="G27" s="3">
        <f t="shared" si="3"/>
        <v>312.16143725864976</v>
      </c>
      <c r="H27" s="3">
        <f t="shared" si="4"/>
        <v>91.978684962229181</v>
      </c>
      <c r="I27" s="3">
        <f t="shared" si="0"/>
        <v>11497.335620278647</v>
      </c>
      <c r="J27" s="5">
        <f t="shared" si="2"/>
        <v>18.723379013347394</v>
      </c>
      <c r="K27" s="5">
        <f t="shared" si="1"/>
        <v>2340.422376668424</v>
      </c>
      <c r="L27">
        <v>8</v>
      </c>
    </row>
    <row r="28" spans="1:12" x14ac:dyDescent="0.3">
      <c r="A28" t="s">
        <v>7</v>
      </c>
      <c r="B28" t="s">
        <v>17</v>
      </c>
      <c r="C28" s="5">
        <v>0.43836446099999998</v>
      </c>
      <c r="D28" s="5">
        <v>0.58666666700000003</v>
      </c>
      <c r="E28">
        <v>7</v>
      </c>
      <c r="F28" s="3">
        <v>6.5286624203821653</v>
      </c>
      <c r="G28" s="3">
        <f t="shared" si="3"/>
        <v>33.476365995352509</v>
      </c>
      <c r="H28" s="3">
        <f t="shared" si="4"/>
        <v>10.40681021185018</v>
      </c>
      <c r="I28" s="3">
        <f t="shared" si="0"/>
        <v>1300.8512764812726</v>
      </c>
      <c r="J28" s="5">
        <f t="shared" si="2"/>
        <v>10.029974108483103</v>
      </c>
      <c r="K28" s="5">
        <f t="shared" si="1"/>
        <v>1253.7467635603878</v>
      </c>
      <c r="L28">
        <v>8</v>
      </c>
    </row>
    <row r="29" spans="1:12" x14ac:dyDescent="0.3">
      <c r="A29" t="s">
        <v>7</v>
      </c>
      <c r="B29" t="s">
        <v>17</v>
      </c>
      <c r="C29" s="5">
        <v>0.43836446099999998</v>
      </c>
      <c r="D29" s="5">
        <v>0.58666666700000003</v>
      </c>
      <c r="E29">
        <v>4</v>
      </c>
      <c r="F29" s="3">
        <v>10.764331210191081</v>
      </c>
      <c r="G29" s="3">
        <f t="shared" si="3"/>
        <v>91.004734248020256</v>
      </c>
      <c r="H29" s="3">
        <f t="shared" si="4"/>
        <v>15.9961092306367</v>
      </c>
      <c r="I29" s="3">
        <f t="shared" si="0"/>
        <v>1999.5136538295874</v>
      </c>
      <c r="J29" s="5">
        <f t="shared" si="2"/>
        <v>10.607891569637712</v>
      </c>
      <c r="K29" s="5">
        <f t="shared" si="1"/>
        <v>1325.986446204714</v>
      </c>
      <c r="L29">
        <v>8</v>
      </c>
    </row>
    <row r="30" spans="1:12" x14ac:dyDescent="0.3">
      <c r="A30" t="s">
        <v>7</v>
      </c>
      <c r="B30" t="s">
        <v>18</v>
      </c>
      <c r="C30" s="5">
        <v>0.76500000000000001</v>
      </c>
      <c r="D30" s="5">
        <v>0.61247410899999999</v>
      </c>
      <c r="E30">
        <v>10</v>
      </c>
      <c r="F30" s="3">
        <v>21.815286624203821</v>
      </c>
      <c r="G30" s="3">
        <f t="shared" si="3"/>
        <v>373.77627208017333</v>
      </c>
      <c r="H30" s="3">
        <f t="shared" si="4"/>
        <v>161.98470737818045</v>
      </c>
      <c r="I30" s="3">
        <f t="shared" si="0"/>
        <v>20248.088422272554</v>
      </c>
      <c r="J30" s="5">
        <f t="shared" si="2"/>
        <v>25.642435567365816</v>
      </c>
      <c r="K30" s="5">
        <f t="shared" si="1"/>
        <v>3205.3044459207267</v>
      </c>
      <c r="L30">
        <v>8</v>
      </c>
    </row>
    <row r="31" spans="1:12" x14ac:dyDescent="0.3">
      <c r="A31" t="s">
        <v>7</v>
      </c>
      <c r="B31" t="s">
        <v>18</v>
      </c>
      <c r="C31" s="5">
        <v>0.76500000000000001</v>
      </c>
      <c r="D31" s="5">
        <v>0.61247410899999999</v>
      </c>
      <c r="E31">
        <v>10</v>
      </c>
      <c r="F31" s="3">
        <v>21.592356687898086</v>
      </c>
      <c r="G31" s="3">
        <f t="shared" si="3"/>
        <v>366.17608152784345</v>
      </c>
      <c r="H31" s="3">
        <f t="shared" si="4"/>
        <v>158.76924609177664</v>
      </c>
      <c r="I31" s="3">
        <f t="shared" si="0"/>
        <v>19846.15576147208</v>
      </c>
      <c r="J31" s="5">
        <f t="shared" si="2"/>
        <v>25.3037453568096</v>
      </c>
      <c r="K31" s="5">
        <f t="shared" si="1"/>
        <v>3162.9681696011999</v>
      </c>
      <c r="L31">
        <v>8</v>
      </c>
    </row>
    <row r="32" spans="1:12" x14ac:dyDescent="0.3">
      <c r="A32" t="s">
        <v>7</v>
      </c>
      <c r="B32" t="s">
        <v>18</v>
      </c>
      <c r="C32" s="5">
        <v>0.76500000000000001</v>
      </c>
      <c r="D32" s="5">
        <v>0.61247410899999999</v>
      </c>
      <c r="E32">
        <v>10</v>
      </c>
      <c r="F32" s="3">
        <v>27.133757961783438</v>
      </c>
      <c r="G32" s="3">
        <f t="shared" si="3"/>
        <v>578.24218873266784</v>
      </c>
      <c r="H32" s="3">
        <f t="shared" si="4"/>
        <v>247.98425592077845</v>
      </c>
      <c r="I32" s="3">
        <f t="shared" si="0"/>
        <v>30998.031990097308</v>
      </c>
      <c r="J32" s="5">
        <f t="shared" si="2"/>
        <v>34.754128739502612</v>
      </c>
      <c r="K32" s="5">
        <f t="shared" si="1"/>
        <v>4344.266092437826</v>
      </c>
      <c r="L32">
        <v>8</v>
      </c>
    </row>
    <row r="33" spans="1:12" x14ac:dyDescent="0.3">
      <c r="A33" t="s">
        <v>7</v>
      </c>
      <c r="B33" t="s">
        <v>19</v>
      </c>
      <c r="C33" s="5">
        <v>0.41240947999999999</v>
      </c>
      <c r="D33" s="5">
        <v>0.52705000000000002</v>
      </c>
      <c r="E33">
        <v>9</v>
      </c>
      <c r="F33" s="3">
        <v>6.2101910828025479</v>
      </c>
      <c r="G33" s="3">
        <f t="shared" si="3"/>
        <v>30.290037286693146</v>
      </c>
      <c r="H33" s="3">
        <f t="shared" si="4"/>
        <v>10.864857029557426</v>
      </c>
      <c r="I33" s="3">
        <f t="shared" si="0"/>
        <v>1358.1071286946783</v>
      </c>
      <c r="J33" s="5">
        <f t="shared" si="2"/>
        <v>10.200543908474989</v>
      </c>
      <c r="K33" s="5">
        <f t="shared" si="1"/>
        <v>1275.0679885593736</v>
      </c>
      <c r="L33">
        <v>8</v>
      </c>
    </row>
    <row r="34" spans="1:12" x14ac:dyDescent="0.3">
      <c r="A34" t="s">
        <v>7</v>
      </c>
      <c r="B34" t="s">
        <v>19</v>
      </c>
      <c r="C34" s="5">
        <v>0.41240947999999999</v>
      </c>
      <c r="D34" s="5">
        <v>0.52705000000000002</v>
      </c>
      <c r="E34" s="1">
        <v>8.5</v>
      </c>
      <c r="F34" s="3">
        <v>7.484076433121019</v>
      </c>
      <c r="G34" s="3">
        <f t="shared" si="3"/>
        <v>43.991250733928432</v>
      </c>
      <c r="H34" s="3">
        <f t="shared" si="4"/>
        <v>14.790167889295736</v>
      </c>
      <c r="I34" s="3">
        <f t="shared" si="0"/>
        <v>1848.7709861619669</v>
      </c>
      <c r="J34" s="5">
        <f t="shared" si="2"/>
        <v>10.652039151689724</v>
      </c>
      <c r="K34" s="5">
        <f t="shared" si="1"/>
        <v>1331.5048939612154</v>
      </c>
      <c r="L34">
        <v>8</v>
      </c>
    </row>
    <row r="35" spans="1:12" x14ac:dyDescent="0.3">
      <c r="A35" t="s">
        <v>7</v>
      </c>
      <c r="B35" t="s">
        <v>19</v>
      </c>
      <c r="C35" s="5">
        <v>0.41240947999999999</v>
      </c>
      <c r="D35" s="5">
        <v>0.52705000000000002</v>
      </c>
      <c r="E35" s="1">
        <v>8.5</v>
      </c>
      <c r="F35" s="3">
        <v>5.5732484076433115</v>
      </c>
      <c r="G35" s="3">
        <f t="shared" si="3"/>
        <v>24.395329175673304</v>
      </c>
      <c r="H35" s="3">
        <f t="shared" si="4"/>
        <v>8.3187659930417581</v>
      </c>
      <c r="I35" s="3">
        <f t="shared" si="0"/>
        <v>1039.8457491302197</v>
      </c>
      <c r="J35" s="5">
        <f t="shared" si="2"/>
        <v>9.9097676599456364</v>
      </c>
      <c r="K35" s="5">
        <f t="shared" si="1"/>
        <v>1238.7209574932047</v>
      </c>
      <c r="L35">
        <v>8</v>
      </c>
    </row>
    <row r="36" spans="1:12" x14ac:dyDescent="0.3">
      <c r="A36" t="s">
        <v>7</v>
      </c>
      <c r="B36" t="s">
        <v>19</v>
      </c>
      <c r="C36" s="5">
        <v>0.41240947999999999</v>
      </c>
      <c r="D36" s="5">
        <v>0.52705000000000002</v>
      </c>
      <c r="E36">
        <v>4</v>
      </c>
      <c r="F36" s="3">
        <v>5.8917197452229297</v>
      </c>
      <c r="G36" s="3">
        <f t="shared" si="3"/>
        <v>27.263025013466741</v>
      </c>
      <c r="H36" s="3">
        <f t="shared" si="4"/>
        <v>4.4428896908761519</v>
      </c>
      <c r="I36" s="3">
        <f t="shared" si="0"/>
        <v>555.36121135951896</v>
      </c>
      <c r="J36" s="5">
        <f t="shared" si="2"/>
        <v>9.4716730617874951</v>
      </c>
      <c r="K36" s="5">
        <f t="shared" si="1"/>
        <v>1183.9591327234368</v>
      </c>
      <c r="L36">
        <v>8</v>
      </c>
    </row>
    <row r="37" spans="1:12" x14ac:dyDescent="0.3">
      <c r="A37" t="s">
        <v>7</v>
      </c>
      <c r="B37" t="s">
        <v>19</v>
      </c>
      <c r="C37" s="5">
        <v>0.41240947999999999</v>
      </c>
      <c r="D37" s="5">
        <v>0.52705000000000002</v>
      </c>
      <c r="E37" s="1">
        <v>2.7</v>
      </c>
      <c r="F37" s="3">
        <v>2.0700636942675157</v>
      </c>
      <c r="G37" s="3">
        <f t="shared" si="3"/>
        <v>3.3655596985214595</v>
      </c>
      <c r="H37" s="3">
        <f t="shared" si="4"/>
        <v>0.39296481920279069</v>
      </c>
      <c r="I37" s="3">
        <f t="shared" si="0"/>
        <v>49.120602400348837</v>
      </c>
      <c r="J37" s="5">
        <f t="shared" si="2"/>
        <v>9.0261947969491665</v>
      </c>
      <c r="K37" s="5">
        <f t="shared" si="1"/>
        <v>1128.2743496186458</v>
      </c>
      <c r="L37">
        <v>8</v>
      </c>
    </row>
    <row r="38" spans="1:12" x14ac:dyDescent="0.3">
      <c r="A38" t="s">
        <v>20</v>
      </c>
      <c r="B38" t="s">
        <v>21</v>
      </c>
      <c r="C38" s="5">
        <v>0.80908761900000004</v>
      </c>
      <c r="D38" s="5">
        <v>0.87473809499999999</v>
      </c>
      <c r="E38">
        <v>7</v>
      </c>
      <c r="F38" s="3">
        <v>5.8917197452229297</v>
      </c>
      <c r="G38" s="3">
        <f t="shared" si="3"/>
        <v>27.263025013466741</v>
      </c>
      <c r="H38" s="3">
        <f t="shared" si="4"/>
        <v>12.578135231310311</v>
      </c>
      <c r="I38" s="3">
        <f t="shared" si="0"/>
        <v>1572.2669039137888</v>
      </c>
      <c r="J38" s="5">
        <f t="shared" si="2"/>
        <v>9.8361528581281181</v>
      </c>
      <c r="K38" s="5">
        <f t="shared" si="1"/>
        <v>1229.5191072660148</v>
      </c>
      <c r="L38">
        <v>8</v>
      </c>
    </row>
    <row r="39" spans="1:12" x14ac:dyDescent="0.3">
      <c r="A39" t="s">
        <v>20</v>
      </c>
      <c r="B39" t="s">
        <v>8</v>
      </c>
      <c r="C39" s="5">
        <v>0.36</v>
      </c>
      <c r="D39" s="5">
        <v>0.35</v>
      </c>
      <c r="E39">
        <v>5</v>
      </c>
      <c r="F39" s="3">
        <v>5.5095541401273884</v>
      </c>
      <c r="G39" s="3">
        <f t="shared" si="3"/>
        <v>23.840907980366573</v>
      </c>
      <c r="H39" s="3">
        <f t="shared" si="4"/>
        <v>3.2499712566168633</v>
      </c>
      <c r="I39" s="3">
        <f t="shared" si="0"/>
        <v>406.2464070771079</v>
      </c>
      <c r="J39" s="5">
        <f t="shared" si="2"/>
        <v>9.5169157694024094</v>
      </c>
      <c r="K39" s="5">
        <f t="shared" si="1"/>
        <v>1189.6144711753011</v>
      </c>
      <c r="L39">
        <v>8</v>
      </c>
    </row>
    <row r="40" spans="1:12" x14ac:dyDescent="0.3">
      <c r="A40" t="s">
        <v>20</v>
      </c>
      <c r="B40" t="s">
        <v>8</v>
      </c>
      <c r="C40" s="5">
        <v>0.36</v>
      </c>
      <c r="D40" s="5">
        <v>0.35</v>
      </c>
      <c r="E40" s="1">
        <v>2.2999999999999998</v>
      </c>
      <c r="F40" s="3">
        <v>4.4585987261146496</v>
      </c>
      <c r="G40" s="3">
        <f t="shared" si="3"/>
        <v>15.613010672430914</v>
      </c>
      <c r="H40" s="3">
        <f t="shared" si="4"/>
        <v>1.0076439369639711</v>
      </c>
      <c r="I40" s="3">
        <f t="shared" si="0"/>
        <v>125.95549212049639</v>
      </c>
      <c r="J40" s="5">
        <f t="shared" si="2"/>
        <v>9.145726775934115</v>
      </c>
      <c r="K40" s="5">
        <f t="shared" si="1"/>
        <v>1143.2158469917645</v>
      </c>
      <c r="L40">
        <v>8</v>
      </c>
    </row>
    <row r="41" spans="1:12" x14ac:dyDescent="0.3">
      <c r="A41" t="s">
        <v>20</v>
      </c>
      <c r="B41" t="s">
        <v>9</v>
      </c>
      <c r="C41" s="5">
        <v>0.766138345</v>
      </c>
      <c r="D41" s="5">
        <v>0.90500000000000003</v>
      </c>
      <c r="E41">
        <v>7</v>
      </c>
      <c r="F41" s="3">
        <v>9.0764331210191074</v>
      </c>
      <c r="G41" s="3">
        <f t="shared" si="3"/>
        <v>64.702387340214344</v>
      </c>
      <c r="H41" s="3">
        <f t="shared" si="4"/>
        <v>30.225274816805985</v>
      </c>
      <c r="I41" s="3">
        <f t="shared" si="0"/>
        <v>3778.159352100748</v>
      </c>
      <c r="J41" s="5">
        <f t="shared" si="2"/>
        <v>11.00405013590815</v>
      </c>
      <c r="K41" s="5">
        <f t="shared" si="1"/>
        <v>1375.5062669885187</v>
      </c>
      <c r="L41">
        <v>8</v>
      </c>
    </row>
    <row r="42" spans="1:12" x14ac:dyDescent="0.3">
      <c r="A42" t="s">
        <v>20</v>
      </c>
      <c r="B42" t="s">
        <v>9</v>
      </c>
      <c r="C42" s="5">
        <v>0.766138345</v>
      </c>
      <c r="D42" s="5">
        <v>0.90500000000000003</v>
      </c>
      <c r="E42" s="1">
        <v>5.5</v>
      </c>
      <c r="F42" s="3">
        <v>8.7579617834394909</v>
      </c>
      <c r="G42" s="3">
        <f t="shared" si="3"/>
        <v>60.241527148091237</v>
      </c>
      <c r="H42" s="3">
        <f t="shared" si="4"/>
        <v>22.277620825237975</v>
      </c>
      <c r="I42" s="3">
        <f t="shared" si="0"/>
        <v>2784.7026031547466</v>
      </c>
      <c r="J42" s="5">
        <f t="shared" si="2"/>
        <v>10.462211471053593</v>
      </c>
      <c r="K42" s="5">
        <f t="shared" si="1"/>
        <v>1307.7764338816992</v>
      </c>
      <c r="L42">
        <v>8</v>
      </c>
    </row>
    <row r="43" spans="1:12" x14ac:dyDescent="0.3">
      <c r="A43" t="s">
        <v>20</v>
      </c>
      <c r="B43" t="s">
        <v>9</v>
      </c>
      <c r="C43" s="5">
        <v>0.766138345</v>
      </c>
      <c r="D43" s="5">
        <v>0.90500000000000003</v>
      </c>
      <c r="E43">
        <v>5</v>
      </c>
      <c r="F43" s="3">
        <v>4.936305732484076</v>
      </c>
      <c r="G43" s="3">
        <f t="shared" si="3"/>
        <v>19.137886806385342</v>
      </c>
      <c r="H43" s="3">
        <f t="shared" si="4"/>
        <v>6.6285662851316234</v>
      </c>
      <c r="I43" s="3">
        <f t="shared" si="0"/>
        <v>828.57078564145297</v>
      </c>
      <c r="J43" s="5">
        <f t="shared" si="2"/>
        <v>9.4121244999797149</v>
      </c>
      <c r="K43" s="5">
        <f t="shared" si="1"/>
        <v>1176.5155624974643</v>
      </c>
      <c r="L43">
        <v>8</v>
      </c>
    </row>
    <row r="44" spans="1:12" x14ac:dyDescent="0.3">
      <c r="A44" t="s">
        <v>20</v>
      </c>
      <c r="B44" t="s">
        <v>13</v>
      </c>
      <c r="C44" s="5">
        <v>0.45255480399999998</v>
      </c>
      <c r="D44" s="5">
        <v>0.57808694400000005</v>
      </c>
      <c r="E44">
        <v>9</v>
      </c>
      <c r="F44" s="3">
        <v>44.904458598726116</v>
      </c>
      <c r="G44" s="3">
        <f t="shared" si="3"/>
        <v>1583.6850264214238</v>
      </c>
      <c r="H44" s="3">
        <f t="shared" si="4"/>
        <v>565.36655473751841</v>
      </c>
      <c r="I44" s="3">
        <f t="shared" si="0"/>
        <v>70670.819342189803</v>
      </c>
      <c r="J44" s="5">
        <f t="shared" si="2"/>
        <v>72.502627664408294</v>
      </c>
      <c r="K44" s="5">
        <f t="shared" si="1"/>
        <v>9062.8284580510372</v>
      </c>
      <c r="L44">
        <v>8</v>
      </c>
    </row>
    <row r="45" spans="1:12" x14ac:dyDescent="0.3">
      <c r="A45" t="s">
        <v>20</v>
      </c>
      <c r="B45" t="s">
        <v>13</v>
      </c>
      <c r="C45" s="5">
        <v>0.45255480399999998</v>
      </c>
      <c r="D45" s="5">
        <v>0.57808694400000005</v>
      </c>
      <c r="E45">
        <v>8</v>
      </c>
      <c r="F45" s="3">
        <v>26.273885350318469</v>
      </c>
      <c r="G45" s="3">
        <f t="shared" si="3"/>
        <v>542.173744332821</v>
      </c>
      <c r="H45" s="3">
        <f t="shared" si="4"/>
        <v>177.03031870356764</v>
      </c>
      <c r="I45" s="3">
        <f t="shared" si="0"/>
        <v>22128.789837945955</v>
      </c>
      <c r="J45" s="5">
        <f t="shared" si="2"/>
        <v>28.314577439247024</v>
      </c>
      <c r="K45" s="5">
        <f t="shared" si="1"/>
        <v>3539.3221799058779</v>
      </c>
      <c r="L45">
        <v>8</v>
      </c>
    </row>
    <row r="46" spans="1:12" x14ac:dyDescent="0.3">
      <c r="A46" t="s">
        <v>20</v>
      </c>
      <c r="B46" t="s">
        <v>13</v>
      </c>
      <c r="C46" s="5">
        <v>0.45255480399999998</v>
      </c>
      <c r="D46" s="5">
        <v>0.57808694400000005</v>
      </c>
      <c r="E46">
        <v>7</v>
      </c>
      <c r="F46" s="3">
        <v>47.133757961783438</v>
      </c>
      <c r="G46" s="3">
        <f t="shared" si="3"/>
        <v>1744.8336008618714</v>
      </c>
      <c r="H46" s="3">
        <f t="shared" si="4"/>
        <v>486.27312935614452</v>
      </c>
      <c r="I46" s="3">
        <f t="shared" si="0"/>
        <v>60784.141169518065</v>
      </c>
      <c r="J46" s="5">
        <f t="shared" si="2"/>
        <v>63.414682920199603</v>
      </c>
      <c r="K46" s="5">
        <f t="shared" si="1"/>
        <v>7926.8353650249501</v>
      </c>
      <c r="L46">
        <v>8</v>
      </c>
    </row>
    <row r="47" spans="1:12" x14ac:dyDescent="0.3">
      <c r="A47" t="s">
        <v>20</v>
      </c>
      <c r="B47" t="s">
        <v>15</v>
      </c>
      <c r="C47" s="5">
        <v>0.74387999999999999</v>
      </c>
      <c r="D47" s="5">
        <v>0.59130000000000005</v>
      </c>
      <c r="E47">
        <v>7</v>
      </c>
      <c r="F47" s="3">
        <v>6.3694267515923562</v>
      </c>
      <c r="G47" s="3">
        <f t="shared" si="3"/>
        <v>31.863287086593701</v>
      </c>
      <c r="H47" s="3">
        <f t="shared" si="4"/>
        <v>9.993534582563397</v>
      </c>
      <c r="I47" s="3">
        <f t="shared" si="0"/>
        <v>1249.1918228204247</v>
      </c>
      <c r="J47" s="5">
        <f t="shared" si="2"/>
        <v>9.9796551300255576</v>
      </c>
      <c r="K47" s="5">
        <f t="shared" si="1"/>
        <v>1247.4568912531947</v>
      </c>
      <c r="L47">
        <v>8</v>
      </c>
    </row>
    <row r="48" spans="1:12" x14ac:dyDescent="0.3">
      <c r="A48" t="s">
        <v>20</v>
      </c>
      <c r="B48" t="s">
        <v>15</v>
      </c>
      <c r="C48" s="5">
        <v>0.74387999999999999</v>
      </c>
      <c r="D48" s="5">
        <v>0.59130000000000005</v>
      </c>
      <c r="E48">
        <v>6</v>
      </c>
      <c r="F48" s="3">
        <v>3.8216560509554141</v>
      </c>
      <c r="G48" s="3">
        <f t="shared" si="3"/>
        <v>11.470783351173734</v>
      </c>
      <c r="H48" s="3">
        <f t="shared" si="4"/>
        <v>3.1719789293523761</v>
      </c>
      <c r="I48" s="3">
        <f t="shared" si="0"/>
        <v>396.49736616904704</v>
      </c>
      <c r="J48" s="5">
        <f t="shared" si="2"/>
        <v>9.2924061544078871</v>
      </c>
      <c r="K48" s="5">
        <f t="shared" si="1"/>
        <v>1161.5507693009858</v>
      </c>
      <c r="L48">
        <v>8</v>
      </c>
    </row>
    <row r="49" spans="1:12" x14ac:dyDescent="0.3">
      <c r="A49" t="s">
        <v>20</v>
      </c>
      <c r="B49" t="s">
        <v>15</v>
      </c>
      <c r="C49" s="5">
        <v>0.74387999999999999</v>
      </c>
      <c r="D49" s="5">
        <v>0.59130000000000005</v>
      </c>
      <c r="E49">
        <v>5</v>
      </c>
      <c r="F49" s="3">
        <v>5.0955414012738851</v>
      </c>
      <c r="G49" s="3">
        <f t="shared" si="3"/>
        <v>20.392503735419968</v>
      </c>
      <c r="H49" s="3">
        <f t="shared" si="4"/>
        <v>4.6551085387138649</v>
      </c>
      <c r="I49" s="3">
        <f t="shared" si="0"/>
        <v>581.88856733923308</v>
      </c>
      <c r="J49" s="5">
        <f t="shared" si="2"/>
        <v>9.4400794880116834</v>
      </c>
      <c r="K49" s="5">
        <f t="shared" si="1"/>
        <v>1180.0099360014603</v>
      </c>
      <c r="L49">
        <v>8</v>
      </c>
    </row>
    <row r="50" spans="1:12" x14ac:dyDescent="0.3">
      <c r="A50" t="s">
        <v>20</v>
      </c>
      <c r="B50" t="s">
        <v>15</v>
      </c>
      <c r="C50" s="5">
        <v>0.74387999999999999</v>
      </c>
      <c r="D50" s="5">
        <v>0.59130000000000005</v>
      </c>
      <c r="E50">
        <v>5</v>
      </c>
      <c r="F50" s="3">
        <v>3.3757961783439487</v>
      </c>
      <c r="G50" s="3">
        <f t="shared" si="3"/>
        <v>8.9503973426241696</v>
      </c>
      <c r="H50" s="3">
        <f t="shared" si="4"/>
        <v>2.0839373299017248</v>
      </c>
      <c r="I50" s="3">
        <f t="shared" si="0"/>
        <v>260.49216623771559</v>
      </c>
      <c r="J50" s="5">
        <f t="shared" si="2"/>
        <v>9.1851299971601286</v>
      </c>
      <c r="K50" s="5">
        <f t="shared" si="1"/>
        <v>1148.1412496450162</v>
      </c>
      <c r="L50">
        <v>8</v>
      </c>
    </row>
    <row r="51" spans="1:12" x14ac:dyDescent="0.3">
      <c r="A51" t="s">
        <v>20</v>
      </c>
      <c r="B51" t="s">
        <v>22</v>
      </c>
      <c r="C51" s="5">
        <v>0.50857142899999996</v>
      </c>
      <c r="D51" s="5">
        <v>0.49666666700000001</v>
      </c>
      <c r="E51">
        <v>10</v>
      </c>
      <c r="F51" s="3">
        <v>6.5286624203821653</v>
      </c>
      <c r="G51" s="3">
        <f t="shared" si="3"/>
        <v>33.476365995352509</v>
      </c>
      <c r="H51" s="3">
        <f t="shared" si="4"/>
        <v>12.528854958499005</v>
      </c>
      <c r="I51" s="3">
        <f t="shared" si="0"/>
        <v>1566.1068698123756</v>
      </c>
      <c r="J51" s="5">
        <f t="shared" si="2"/>
        <v>10.47752015497586</v>
      </c>
      <c r="K51" s="5">
        <f t="shared" si="1"/>
        <v>1309.6900193719825</v>
      </c>
      <c r="L51">
        <v>8</v>
      </c>
    </row>
    <row r="52" spans="1:12" x14ac:dyDescent="0.3">
      <c r="A52" t="s">
        <v>20</v>
      </c>
      <c r="B52" t="s">
        <v>22</v>
      </c>
      <c r="C52" s="5">
        <v>0.50857142899999996</v>
      </c>
      <c r="D52" s="5">
        <v>0.49666666700000001</v>
      </c>
      <c r="E52">
        <v>9</v>
      </c>
      <c r="F52" s="3">
        <v>8.9171974522292992</v>
      </c>
      <c r="G52" s="3">
        <f t="shared" si="3"/>
        <v>62.452042689723655</v>
      </c>
      <c r="H52" s="3">
        <f t="shared" si="4"/>
        <v>20.775955730534701</v>
      </c>
      <c r="I52" s="3">
        <f t="shared" si="0"/>
        <v>2596.9944663168376</v>
      </c>
      <c r="J52" s="5">
        <f t="shared" si="2"/>
        <v>11.490466927664407</v>
      </c>
      <c r="K52" s="5">
        <f t="shared" si="1"/>
        <v>1436.3083659580509</v>
      </c>
      <c r="L52">
        <v>8</v>
      </c>
    </row>
    <row r="53" spans="1:12" x14ac:dyDescent="0.3">
      <c r="A53" t="s">
        <v>20</v>
      </c>
      <c r="B53" t="s">
        <v>22</v>
      </c>
      <c r="C53" s="5">
        <v>0.50857142899999996</v>
      </c>
      <c r="D53" s="5">
        <v>0.49666666700000001</v>
      </c>
      <c r="E53">
        <v>9</v>
      </c>
      <c r="F53" s="3">
        <v>7.1656050955414008</v>
      </c>
      <c r="G53" s="3">
        <f t="shared" si="3"/>
        <v>40.326972718970154</v>
      </c>
      <c r="H53" s="3">
        <f t="shared" si="4"/>
        <v>13.557162741635373</v>
      </c>
      <c r="I53" s="3">
        <f t="shared" si="0"/>
        <v>1694.6453427044216</v>
      </c>
      <c r="J53" s="5">
        <f t="shared" si="2"/>
        <v>10.603095736135339</v>
      </c>
      <c r="K53" s="5">
        <f t="shared" si="1"/>
        <v>1325.3869670169174</v>
      </c>
      <c r="L53">
        <v>8</v>
      </c>
    </row>
    <row r="54" spans="1:12" x14ac:dyDescent="0.3">
      <c r="A54" t="s">
        <v>20</v>
      </c>
      <c r="B54" t="s">
        <v>23</v>
      </c>
      <c r="C54" s="5">
        <v>0.48464433800000001</v>
      </c>
      <c r="D54" s="5">
        <v>0.62688577999999995</v>
      </c>
      <c r="E54">
        <v>5</v>
      </c>
      <c r="F54" s="3">
        <v>2.5477707006369426</v>
      </c>
      <c r="G54" s="3">
        <f t="shared" si="3"/>
        <v>5.098125933854992</v>
      </c>
      <c r="H54" s="3">
        <f t="shared" si="4"/>
        <v>1.273768974860543</v>
      </c>
      <c r="I54" s="3">
        <f t="shared" si="0"/>
        <v>159.22112185756788</v>
      </c>
      <c r="J54" s="5">
        <f t="shared" si="2"/>
        <v>9.0992948720029201</v>
      </c>
      <c r="K54" s="5">
        <f t="shared" si="1"/>
        <v>1137.411859000365</v>
      </c>
      <c r="L54">
        <v>8</v>
      </c>
    </row>
    <row r="55" spans="1:12" x14ac:dyDescent="0.3">
      <c r="A55" t="s">
        <v>20</v>
      </c>
      <c r="B55" t="s">
        <v>16</v>
      </c>
      <c r="C55" s="5">
        <v>0.66608171000000005</v>
      </c>
      <c r="D55" s="5">
        <v>0.68661666700000001</v>
      </c>
      <c r="E55">
        <v>5</v>
      </c>
      <c r="F55" s="3">
        <v>4.2993630573248405</v>
      </c>
      <c r="G55" s="3">
        <f t="shared" si="3"/>
        <v>14.517710178829255</v>
      </c>
      <c r="H55" s="3">
        <f t="shared" si="4"/>
        <v>3.8658751895990231</v>
      </c>
      <c r="I55" s="3">
        <f t="shared" si="0"/>
        <v>483.23439869987789</v>
      </c>
      <c r="J55" s="5">
        <f t="shared" si="2"/>
        <v>9.3091791472270682</v>
      </c>
      <c r="K55" s="5">
        <f t="shared" si="1"/>
        <v>1163.6473934033836</v>
      </c>
      <c r="L55">
        <v>8</v>
      </c>
    </row>
    <row r="56" spans="1:12" x14ac:dyDescent="0.3">
      <c r="A56" t="s">
        <v>20</v>
      </c>
      <c r="B56" t="s">
        <v>16</v>
      </c>
      <c r="C56" s="5">
        <v>0.66608171000000005</v>
      </c>
      <c r="D56" s="5">
        <v>0.68661666700000001</v>
      </c>
      <c r="E56" s="1">
        <v>3.5</v>
      </c>
      <c r="F56" s="3">
        <v>2.8025477707006372</v>
      </c>
      <c r="G56" s="3">
        <f t="shared" si="3"/>
        <v>6.1687323799645428</v>
      </c>
      <c r="H56" s="3">
        <f t="shared" si="4"/>
        <v>1.1838104671321783</v>
      </c>
      <c r="I56" s="3">
        <f t="shared" si="0"/>
        <v>147.97630839152228</v>
      </c>
      <c r="J56" s="5">
        <f t="shared" si="2"/>
        <v>9.081914856586474</v>
      </c>
      <c r="K56" s="5">
        <f t="shared" si="1"/>
        <v>1135.2393570733093</v>
      </c>
      <c r="L56">
        <v>8</v>
      </c>
    </row>
    <row r="57" spans="1:12" x14ac:dyDescent="0.3">
      <c r="A57" t="s">
        <v>20</v>
      </c>
      <c r="B57" t="s">
        <v>17</v>
      </c>
      <c r="C57" s="5">
        <v>0.43836446099999998</v>
      </c>
      <c r="D57" s="5">
        <v>0.58666666700000003</v>
      </c>
      <c r="E57">
        <v>8</v>
      </c>
      <c r="F57" s="3">
        <v>3.5031847133757958</v>
      </c>
      <c r="G57" s="3">
        <f t="shared" si="3"/>
        <v>9.6386443436945939</v>
      </c>
      <c r="H57" s="3">
        <f t="shared" si="4"/>
        <v>3.5170031665739172</v>
      </c>
      <c r="I57" s="3">
        <f t="shared" si="0"/>
        <v>439.62539582173963</v>
      </c>
      <c r="J57" s="5">
        <f t="shared" si="2"/>
        <v>9.3293244878088348</v>
      </c>
      <c r="K57" s="5">
        <f t="shared" si="1"/>
        <v>1166.1655609761044</v>
      </c>
      <c r="L57">
        <v>8</v>
      </c>
    </row>
    <row r="58" spans="1:12" x14ac:dyDescent="0.3">
      <c r="A58" t="s">
        <v>20</v>
      </c>
      <c r="B58" t="s">
        <v>17</v>
      </c>
      <c r="C58" s="5">
        <v>0.43836446099999998</v>
      </c>
      <c r="D58" s="5">
        <v>0.58666666700000003</v>
      </c>
      <c r="E58">
        <v>7</v>
      </c>
      <c r="F58" s="3">
        <v>14.936305732484076</v>
      </c>
      <c r="G58" s="3">
        <f t="shared" si="3"/>
        <v>175.21701227135594</v>
      </c>
      <c r="H58" s="3">
        <f t="shared" si="4"/>
        <v>52.348408967166279</v>
      </c>
      <c r="I58" s="3">
        <f t="shared" si="0"/>
        <v>6543.5511208957851</v>
      </c>
      <c r="J58" s="5">
        <f t="shared" si="2"/>
        <v>14.451484108888799</v>
      </c>
      <c r="K58" s="5">
        <f t="shared" si="1"/>
        <v>1806.4355136110999</v>
      </c>
      <c r="L58">
        <v>8</v>
      </c>
    </row>
    <row r="59" spans="1:12" x14ac:dyDescent="0.3">
      <c r="A59" t="s">
        <v>20</v>
      </c>
      <c r="B59" t="s">
        <v>17</v>
      </c>
      <c r="C59" s="5">
        <v>0.43836446099999998</v>
      </c>
      <c r="D59" s="5">
        <v>0.58666666700000003</v>
      </c>
      <c r="E59" s="1">
        <v>6.5</v>
      </c>
      <c r="F59" s="3">
        <v>15.445859872611464</v>
      </c>
      <c r="G59" s="3">
        <f t="shared" si="3"/>
        <v>187.37604262360011</v>
      </c>
      <c r="H59" s="3">
        <f t="shared" si="4"/>
        <v>51.991185516408244</v>
      </c>
      <c r="I59" s="3">
        <f t="shared" si="0"/>
        <v>6498.8981895510306</v>
      </c>
      <c r="J59" s="5">
        <f t="shared" si="2"/>
        <v>14.413271858898941</v>
      </c>
      <c r="K59" s="5">
        <f t="shared" si="1"/>
        <v>1801.6589823623676</v>
      </c>
      <c r="L59">
        <v>8</v>
      </c>
    </row>
    <row r="60" spans="1:12" x14ac:dyDescent="0.3">
      <c r="A60" t="s">
        <v>20</v>
      </c>
      <c r="B60" t="s">
        <v>18</v>
      </c>
      <c r="C60" s="5">
        <v>0.76500000000000001</v>
      </c>
      <c r="D60" s="5">
        <v>0.61247410899999999</v>
      </c>
      <c r="E60">
        <v>8</v>
      </c>
      <c r="F60" s="3">
        <v>10.19108280254777</v>
      </c>
      <c r="G60" s="3">
        <f t="shared" si="3"/>
        <v>81.570014941679872</v>
      </c>
      <c r="H60" s="3">
        <f t="shared" si="4"/>
        <v>29.489988630667401</v>
      </c>
      <c r="I60" s="3">
        <f t="shared" si="0"/>
        <v>3686.2485788334252</v>
      </c>
      <c r="J60" s="5">
        <f t="shared" si="2"/>
        <v>11.893728723274776</v>
      </c>
      <c r="K60" s="5">
        <f t="shared" si="1"/>
        <v>1486.7160904093471</v>
      </c>
      <c r="L60">
        <v>8</v>
      </c>
    </row>
    <row r="61" spans="1:12" x14ac:dyDescent="0.3">
      <c r="A61" t="s">
        <v>20</v>
      </c>
      <c r="B61" t="s">
        <v>19</v>
      </c>
      <c r="C61" s="5">
        <v>0.41240947999999999</v>
      </c>
      <c r="D61" s="5">
        <v>0.52705000000000002</v>
      </c>
      <c r="E61" s="1">
        <v>6.5</v>
      </c>
      <c r="F61" s="3">
        <v>4.7770700636942669</v>
      </c>
      <c r="G61" s="3">
        <f t="shared" si="3"/>
        <v>17.923098986208956</v>
      </c>
      <c r="H61" s="3">
        <f t="shared" si="4"/>
        <v>4.7388104663678314</v>
      </c>
      <c r="I61" s="3">
        <f t="shared" si="0"/>
        <v>592.35130829597892</v>
      </c>
      <c r="J61" s="5">
        <f t="shared" si="2"/>
        <v>9.5048640634508494</v>
      </c>
      <c r="K61" s="5">
        <f t="shared" si="1"/>
        <v>1188.1080079313563</v>
      </c>
      <c r="L61">
        <v>8</v>
      </c>
    </row>
    <row r="62" spans="1:12" x14ac:dyDescent="0.3">
      <c r="A62" t="s">
        <v>20</v>
      </c>
      <c r="B62" t="s">
        <v>19</v>
      </c>
      <c r="C62" s="5">
        <v>0.41240947999999999</v>
      </c>
      <c r="D62" s="5">
        <v>0.52705000000000002</v>
      </c>
      <c r="E62">
        <v>6</v>
      </c>
      <c r="F62" s="3">
        <v>4.0764331210191083</v>
      </c>
      <c r="G62" s="3">
        <f t="shared" si="3"/>
        <v>13.051202390668783</v>
      </c>
      <c r="H62" s="3">
        <f t="shared" si="4"/>
        <v>3.2157719770855806</v>
      </c>
      <c r="I62" s="3">
        <f t="shared" si="0"/>
        <v>401.97149713569758</v>
      </c>
      <c r="J62" s="5">
        <f t="shared" si="2"/>
        <v>9.3346634467929732</v>
      </c>
      <c r="K62" s="5">
        <f t="shared" si="1"/>
        <v>1166.8329308491216</v>
      </c>
      <c r="L62">
        <v>8</v>
      </c>
    </row>
    <row r="63" spans="1:12" x14ac:dyDescent="0.3">
      <c r="A63" t="s">
        <v>20</v>
      </c>
      <c r="B63" t="s">
        <v>19</v>
      </c>
      <c r="C63" s="5">
        <v>0.41240947999999999</v>
      </c>
      <c r="D63" s="5">
        <v>0.52705000000000002</v>
      </c>
      <c r="E63" s="1">
        <v>4.5</v>
      </c>
      <c r="F63" s="3">
        <v>4.3949044585987265</v>
      </c>
      <c r="G63" s="3">
        <f t="shared" si="3"/>
        <v>15.170110981927266</v>
      </c>
      <c r="H63" s="3">
        <f t="shared" si="4"/>
        <v>2.812646518663243</v>
      </c>
      <c r="I63" s="3">
        <f t="shared" si="0"/>
        <v>351.58081483290539</v>
      </c>
      <c r="J63" s="5">
        <f t="shared" si="2"/>
        <v>9.2899141669033227</v>
      </c>
      <c r="K63" s="5">
        <f t="shared" si="1"/>
        <v>1161.2392708629154</v>
      </c>
      <c r="L63">
        <v>8</v>
      </c>
    </row>
    <row r="64" spans="1:12" x14ac:dyDescent="0.3">
      <c r="A64" t="s">
        <v>24</v>
      </c>
      <c r="B64" t="s">
        <v>8</v>
      </c>
      <c r="C64" s="5">
        <v>0.36</v>
      </c>
      <c r="D64" s="5">
        <v>0.35</v>
      </c>
      <c r="E64">
        <v>4</v>
      </c>
      <c r="F64" s="3">
        <v>3.1847133757961781</v>
      </c>
      <c r="G64" s="3">
        <f t="shared" si="3"/>
        <v>7.9658217716484252</v>
      </c>
      <c r="H64" s="3">
        <f t="shared" si="4"/>
        <v>0.8966632160717094</v>
      </c>
      <c r="I64" s="3">
        <f t="shared" si="0"/>
        <v>112.08290200896367</v>
      </c>
      <c r="J64" s="5">
        <f t="shared" si="2"/>
        <v>9.1276935900036502</v>
      </c>
      <c r="K64" s="5">
        <f t="shared" si="1"/>
        <v>1140.9616987504562</v>
      </c>
      <c r="L64">
        <v>8</v>
      </c>
    </row>
    <row r="65" spans="1:12" x14ac:dyDescent="0.3">
      <c r="A65" t="s">
        <v>24</v>
      </c>
      <c r="B65" t="s">
        <v>9</v>
      </c>
      <c r="C65" s="5">
        <v>0.766138345</v>
      </c>
      <c r="D65" s="5">
        <v>0.90500000000000003</v>
      </c>
      <c r="E65">
        <v>6</v>
      </c>
      <c r="F65" s="3">
        <v>6.7515923566878975</v>
      </c>
      <c r="G65" s="3">
        <f t="shared" si="3"/>
        <v>35.801589370496679</v>
      </c>
      <c r="H65" s="3">
        <f t="shared" si="4"/>
        <v>14.594211151131432</v>
      </c>
      <c r="I65" s="3">
        <f t="shared" si="0"/>
        <v>1824.2763938914291</v>
      </c>
      <c r="J65" s="5">
        <f t="shared" si="2"/>
        <v>9.9429639863686141</v>
      </c>
      <c r="K65" s="5">
        <f t="shared" si="1"/>
        <v>1242.8704982960767</v>
      </c>
      <c r="L65">
        <v>8</v>
      </c>
    </row>
    <row r="66" spans="1:12" x14ac:dyDescent="0.3">
      <c r="A66" t="s">
        <v>24</v>
      </c>
      <c r="B66" t="s">
        <v>12</v>
      </c>
      <c r="C66" s="5">
        <v>0.708787469</v>
      </c>
      <c r="D66" s="5">
        <v>0.80167708299999996</v>
      </c>
      <c r="E66">
        <v>7</v>
      </c>
      <c r="F66" s="3">
        <v>8.9171974522292992</v>
      </c>
      <c r="G66" s="3">
        <f t="shared" si="3"/>
        <v>62.452042689723655</v>
      </c>
      <c r="H66" s="3">
        <f t="shared" si="4"/>
        <v>25.94060119844589</v>
      </c>
      <c r="I66" s="3">
        <f t="shared" ref="I66:I129" si="5">(H66*1000)/L66</f>
        <v>3242.5751498057361</v>
      </c>
      <c r="J66" s="5">
        <f t="shared" si="2"/>
        <v>10.933852054850094</v>
      </c>
      <c r="K66" s="5">
        <f t="shared" ref="K66:K129" si="6">(J66*1000)/L66</f>
        <v>1366.7315068562618</v>
      </c>
      <c r="L66">
        <v>8</v>
      </c>
    </row>
    <row r="67" spans="1:12" x14ac:dyDescent="0.3">
      <c r="A67" t="s">
        <v>24</v>
      </c>
      <c r="B67" t="s">
        <v>13</v>
      </c>
      <c r="C67" s="5">
        <v>0.45255480399999998</v>
      </c>
      <c r="D67" s="5">
        <v>0.57808694400000005</v>
      </c>
      <c r="E67">
        <v>8</v>
      </c>
      <c r="F67" s="3">
        <v>30.573248407643312</v>
      </c>
      <c r="G67" s="3">
        <f t="shared" si="3"/>
        <v>734.13013447511901</v>
      </c>
      <c r="H67" s="3">
        <f t="shared" si="4"/>
        <v>237.97042735965869</v>
      </c>
      <c r="I67" s="3">
        <f t="shared" si="5"/>
        <v>29746.303419957334</v>
      </c>
      <c r="J67" s="5">
        <f t="shared" ref="J67:J130" si="7">8.9857 + 0.0035 * F67^2 * E67</f>
        <v>35.157958509472998</v>
      </c>
      <c r="K67" s="5">
        <f t="shared" si="6"/>
        <v>4394.7448136841249</v>
      </c>
      <c r="L67">
        <v>8</v>
      </c>
    </row>
    <row r="68" spans="1:12" x14ac:dyDescent="0.3">
      <c r="A68" t="s">
        <v>24</v>
      </c>
      <c r="B68" t="s">
        <v>13</v>
      </c>
      <c r="C68" s="5">
        <v>0.45255480399999998</v>
      </c>
      <c r="D68" s="5">
        <v>0.57808694400000005</v>
      </c>
      <c r="E68">
        <v>7</v>
      </c>
      <c r="F68" s="3">
        <v>25.796178343949045</v>
      </c>
      <c r="G68" s="3">
        <f t="shared" ref="G68:G131" si="8">PI()*(F68/2)^2</f>
        <v>522.63756643785325</v>
      </c>
      <c r="H68" s="3">
        <f t="shared" ref="H68:H131" si="9">0.0673 * ((D68 * F68^2 * E68)^0.976)</f>
        <v>149.93124946588696</v>
      </c>
      <c r="I68" s="3">
        <f t="shared" si="5"/>
        <v>18741.406183235871</v>
      </c>
      <c r="J68" s="5">
        <f t="shared" si="7"/>
        <v>25.289049020244228</v>
      </c>
      <c r="K68" s="5">
        <f t="shared" si="6"/>
        <v>3161.1311275305284</v>
      </c>
      <c r="L68">
        <v>8</v>
      </c>
    </row>
    <row r="69" spans="1:12" x14ac:dyDescent="0.3">
      <c r="A69" t="s">
        <v>24</v>
      </c>
      <c r="B69" t="s">
        <v>13</v>
      </c>
      <c r="C69" s="5">
        <v>0.45255480399999998</v>
      </c>
      <c r="D69" s="5">
        <v>0.57808694400000005</v>
      </c>
      <c r="E69">
        <v>5</v>
      </c>
      <c r="F69" s="3">
        <v>5.7324840764331206</v>
      </c>
      <c r="G69" s="3">
        <f t="shared" si="8"/>
        <v>25.809262540140899</v>
      </c>
      <c r="H69" s="3">
        <f t="shared" si="9"/>
        <v>5.7306036297489085</v>
      </c>
      <c r="I69" s="3">
        <f t="shared" si="5"/>
        <v>716.32545371861352</v>
      </c>
      <c r="J69" s="5">
        <f t="shared" si="7"/>
        <v>9.5607740395147864</v>
      </c>
      <c r="K69" s="5">
        <f t="shared" si="6"/>
        <v>1195.0967549393483</v>
      </c>
      <c r="L69">
        <v>8</v>
      </c>
    </row>
    <row r="70" spans="1:12" x14ac:dyDescent="0.3">
      <c r="A70" t="s">
        <v>24</v>
      </c>
      <c r="B70" t="s">
        <v>25</v>
      </c>
      <c r="C70" s="5">
        <v>0.372</v>
      </c>
      <c r="D70" s="5">
        <v>0.73247777800000002</v>
      </c>
      <c r="E70">
        <v>6</v>
      </c>
      <c r="F70" s="3">
        <v>4.0445859872611463</v>
      </c>
      <c r="G70" s="3">
        <f t="shared" si="8"/>
        <v>12.848073935491747</v>
      </c>
      <c r="H70" s="3">
        <f t="shared" si="9"/>
        <v>4.3666487754235765</v>
      </c>
      <c r="I70" s="3">
        <f t="shared" si="5"/>
        <v>545.8310969279471</v>
      </c>
      <c r="J70" s="5">
        <f t="shared" si="7"/>
        <v>9.3292321919753327</v>
      </c>
      <c r="K70" s="5">
        <f t="shared" si="6"/>
        <v>1166.1540239969165</v>
      </c>
      <c r="L70">
        <v>8</v>
      </c>
    </row>
    <row r="71" spans="1:12" x14ac:dyDescent="0.3">
      <c r="A71" t="s">
        <v>24</v>
      </c>
      <c r="B71" t="s">
        <v>26</v>
      </c>
      <c r="C71" s="5">
        <v>0.63400000000000001</v>
      </c>
      <c r="D71" s="5">
        <v>0.73247777800000002</v>
      </c>
      <c r="E71">
        <v>6</v>
      </c>
      <c r="F71" s="3">
        <v>4.3949044585987265</v>
      </c>
      <c r="G71" s="3">
        <f t="shared" si="8"/>
        <v>15.170110981927266</v>
      </c>
      <c r="H71" s="3">
        <f t="shared" si="9"/>
        <v>5.135318387975941</v>
      </c>
      <c r="I71" s="3">
        <f t="shared" si="5"/>
        <v>641.9147984969926</v>
      </c>
      <c r="J71" s="5">
        <f t="shared" si="7"/>
        <v>9.3913188892044293</v>
      </c>
      <c r="K71" s="5">
        <f t="shared" si="6"/>
        <v>1173.9148611505536</v>
      </c>
      <c r="L71">
        <v>8</v>
      </c>
    </row>
    <row r="72" spans="1:12" x14ac:dyDescent="0.3">
      <c r="A72" t="s">
        <v>24</v>
      </c>
      <c r="B72" t="s">
        <v>26</v>
      </c>
      <c r="C72" s="5">
        <v>0.63400000000000001</v>
      </c>
      <c r="D72" s="5">
        <v>0.73247777800000002</v>
      </c>
      <c r="E72">
        <v>5</v>
      </c>
      <c r="F72" s="3">
        <v>5.8280254777070066</v>
      </c>
      <c r="G72" s="3">
        <f t="shared" si="8"/>
        <v>26.676740531073417</v>
      </c>
      <c r="H72" s="3">
        <f t="shared" si="9"/>
        <v>7.4567061543982396</v>
      </c>
      <c r="I72" s="3">
        <f t="shared" si="5"/>
        <v>932.08826929977999</v>
      </c>
      <c r="J72" s="5">
        <f t="shared" si="7"/>
        <v>9.5801029169540346</v>
      </c>
      <c r="K72" s="5">
        <f t="shared" si="6"/>
        <v>1197.5128646192543</v>
      </c>
      <c r="L72">
        <v>8</v>
      </c>
    </row>
    <row r="73" spans="1:12" x14ac:dyDescent="0.3">
      <c r="A73" t="s">
        <v>24</v>
      </c>
      <c r="B73" t="s">
        <v>15</v>
      </c>
      <c r="C73" s="5">
        <v>0.74387999999999999</v>
      </c>
      <c r="D73" s="5">
        <v>0.59130000000000005</v>
      </c>
      <c r="E73">
        <v>9</v>
      </c>
      <c r="F73" s="3">
        <v>9.872611464968152</v>
      </c>
      <c r="G73" s="3">
        <f t="shared" si="8"/>
        <v>76.55154722554137</v>
      </c>
      <c r="H73" s="3">
        <f t="shared" si="9"/>
        <v>30.044957683030223</v>
      </c>
      <c r="I73" s="3">
        <f t="shared" si="5"/>
        <v>3755.6197103787777</v>
      </c>
      <c r="J73" s="5">
        <f t="shared" si="7"/>
        <v>12.055956399853949</v>
      </c>
      <c r="K73" s="5">
        <f t="shared" si="6"/>
        <v>1506.9945499817436</v>
      </c>
      <c r="L73">
        <v>8</v>
      </c>
    </row>
    <row r="74" spans="1:12" x14ac:dyDescent="0.3">
      <c r="A74" t="s">
        <v>24</v>
      </c>
      <c r="B74" t="s">
        <v>15</v>
      </c>
      <c r="C74" s="5">
        <v>0.74387999999999999</v>
      </c>
      <c r="D74" s="5">
        <v>0.59130000000000005</v>
      </c>
      <c r="E74">
        <v>8</v>
      </c>
      <c r="F74" s="3">
        <v>5.7324840764331206</v>
      </c>
      <c r="G74" s="3">
        <f t="shared" si="8"/>
        <v>25.809262540140899</v>
      </c>
      <c r="H74" s="3">
        <f t="shared" si="9"/>
        <v>9.2683118569447167</v>
      </c>
      <c r="I74" s="3">
        <f t="shared" si="5"/>
        <v>1158.5389821180895</v>
      </c>
      <c r="J74" s="5">
        <f t="shared" si="7"/>
        <v>9.9058184632236603</v>
      </c>
      <c r="K74" s="5">
        <f t="shared" si="6"/>
        <v>1238.2273079029576</v>
      </c>
      <c r="L74">
        <v>8</v>
      </c>
    </row>
    <row r="75" spans="1:12" x14ac:dyDescent="0.3">
      <c r="A75" t="s">
        <v>24</v>
      </c>
      <c r="B75" t="s">
        <v>15</v>
      </c>
      <c r="C75" s="5">
        <v>0.74387999999999999</v>
      </c>
      <c r="D75" s="5">
        <v>0.59130000000000005</v>
      </c>
      <c r="E75">
        <v>6</v>
      </c>
      <c r="F75" s="3">
        <v>9.5541401273885338</v>
      </c>
      <c r="G75" s="3">
        <f t="shared" si="8"/>
        <v>71.692395944835823</v>
      </c>
      <c r="H75" s="3">
        <f t="shared" si="9"/>
        <v>18.97182852524687</v>
      </c>
      <c r="I75" s="3">
        <f t="shared" si="5"/>
        <v>2371.4785656558588</v>
      </c>
      <c r="J75" s="5">
        <f t="shared" si="7"/>
        <v>10.902613465049292</v>
      </c>
      <c r="K75" s="5">
        <f t="shared" si="6"/>
        <v>1362.8266831311614</v>
      </c>
      <c r="L75">
        <v>8</v>
      </c>
    </row>
    <row r="76" spans="1:12" x14ac:dyDescent="0.3">
      <c r="A76" t="s">
        <v>24</v>
      </c>
      <c r="B76" t="s">
        <v>27</v>
      </c>
      <c r="C76" s="5">
        <v>0.65716857299999998</v>
      </c>
      <c r="D76" s="5">
        <v>0.85527777800000004</v>
      </c>
      <c r="E76">
        <v>6</v>
      </c>
      <c r="F76" s="3">
        <v>12.961783439490446</v>
      </c>
      <c r="G76" s="3">
        <f t="shared" si="8"/>
        <v>131.95304106517904</v>
      </c>
      <c r="H76" s="3">
        <f t="shared" si="9"/>
        <v>49.334293602440439</v>
      </c>
      <c r="I76" s="3">
        <f t="shared" si="5"/>
        <v>6166.7867003050551</v>
      </c>
      <c r="J76" s="5">
        <f t="shared" si="7"/>
        <v>12.513864428577225</v>
      </c>
      <c r="K76" s="5">
        <f t="shared" si="6"/>
        <v>1564.233053572153</v>
      </c>
      <c r="L76">
        <v>8</v>
      </c>
    </row>
    <row r="77" spans="1:12" x14ac:dyDescent="0.3">
      <c r="A77" t="s">
        <v>24</v>
      </c>
      <c r="B77" t="s">
        <v>23</v>
      </c>
      <c r="C77" s="5">
        <v>0.48464433800000001</v>
      </c>
      <c r="D77" s="5">
        <v>0.62688577999999995</v>
      </c>
      <c r="E77" s="1">
        <v>3.5</v>
      </c>
      <c r="F77" s="3">
        <v>2.2292993630573248</v>
      </c>
      <c r="G77" s="3">
        <f t="shared" si="8"/>
        <v>3.9032526681077284</v>
      </c>
      <c r="H77" s="3">
        <f t="shared" si="9"/>
        <v>0.69295666002449408</v>
      </c>
      <c r="I77" s="3">
        <f t="shared" si="5"/>
        <v>86.619582503061764</v>
      </c>
      <c r="J77" s="5">
        <f t="shared" si="7"/>
        <v>9.0465797517140647</v>
      </c>
      <c r="K77" s="5">
        <f t="shared" si="6"/>
        <v>1130.8224689642582</v>
      </c>
      <c r="L77">
        <v>8</v>
      </c>
    </row>
    <row r="78" spans="1:12" x14ac:dyDescent="0.3">
      <c r="A78" t="s">
        <v>24</v>
      </c>
      <c r="B78" t="s">
        <v>28</v>
      </c>
      <c r="C78" s="5">
        <v>0.69835862100000001</v>
      </c>
      <c r="D78" s="5">
        <v>0.69262500000000005</v>
      </c>
      <c r="E78">
        <v>8</v>
      </c>
      <c r="F78" s="3">
        <v>8.4394904458598727</v>
      </c>
      <c r="G78" s="3">
        <f t="shared" si="8"/>
        <v>55.939983391401071</v>
      </c>
      <c r="H78" s="3">
        <f t="shared" si="9"/>
        <v>23.010516743806956</v>
      </c>
      <c r="I78" s="3">
        <f t="shared" si="5"/>
        <v>2876.3145929758693</v>
      </c>
      <c r="J78" s="5">
        <f t="shared" si="7"/>
        <v>10.979999971601281</v>
      </c>
      <c r="K78" s="5">
        <f t="shared" si="6"/>
        <v>1372.4999964501601</v>
      </c>
      <c r="L78">
        <v>8</v>
      </c>
    </row>
    <row r="79" spans="1:12" x14ac:dyDescent="0.3">
      <c r="A79" t="s">
        <v>24</v>
      </c>
      <c r="B79" t="s">
        <v>29</v>
      </c>
      <c r="C79" s="5">
        <v>0.54326798300000001</v>
      </c>
      <c r="D79" s="5">
        <v>0.61247410899999999</v>
      </c>
      <c r="E79">
        <v>8</v>
      </c>
      <c r="F79" s="3">
        <v>14.968152866242038</v>
      </c>
      <c r="G79" s="3">
        <f t="shared" si="8"/>
        <v>175.96500293571373</v>
      </c>
      <c r="H79" s="3">
        <f t="shared" si="9"/>
        <v>62.45351209919788</v>
      </c>
      <c r="I79" s="3">
        <f t="shared" si="5"/>
        <v>7806.6890123997346</v>
      </c>
      <c r="J79" s="5">
        <f t="shared" si="7"/>
        <v>15.258976806361312</v>
      </c>
      <c r="K79" s="5">
        <f t="shared" si="6"/>
        <v>1907.372100795164</v>
      </c>
      <c r="L79">
        <v>8</v>
      </c>
    </row>
    <row r="80" spans="1:12" x14ac:dyDescent="0.3">
      <c r="A80" t="s">
        <v>24</v>
      </c>
      <c r="B80" t="s">
        <v>29</v>
      </c>
      <c r="C80" s="5">
        <v>0.54326798300000001</v>
      </c>
      <c r="D80" s="5">
        <v>0.61247410899999999</v>
      </c>
      <c r="E80" s="1">
        <v>5.5</v>
      </c>
      <c r="F80" s="3">
        <v>5.2547770700636942</v>
      </c>
      <c r="G80" s="3">
        <f t="shared" si="8"/>
        <v>21.68694977331284</v>
      </c>
      <c r="H80" s="3">
        <f t="shared" si="9"/>
        <v>5.6147272507820185</v>
      </c>
      <c r="I80" s="3">
        <f t="shared" si="5"/>
        <v>701.84090634775237</v>
      </c>
      <c r="J80" s="5">
        <f t="shared" si="7"/>
        <v>9.5172441295792929</v>
      </c>
      <c r="K80" s="5">
        <f t="shared" si="6"/>
        <v>1189.6555161974115</v>
      </c>
      <c r="L80">
        <v>8</v>
      </c>
    </row>
    <row r="81" spans="1:12" x14ac:dyDescent="0.3">
      <c r="A81" t="s">
        <v>24</v>
      </c>
      <c r="B81" t="s">
        <v>17</v>
      </c>
      <c r="C81" s="5">
        <v>0.43836446099999998</v>
      </c>
      <c r="D81" s="5">
        <v>0.58666666700000003</v>
      </c>
      <c r="E81">
        <v>9</v>
      </c>
      <c r="F81" s="3">
        <v>10.828025477707007</v>
      </c>
      <c r="G81" s="3">
        <f t="shared" si="8"/>
        <v>92.084899680255816</v>
      </c>
      <c r="H81" s="3">
        <f t="shared" si="9"/>
        <v>35.70639013702214</v>
      </c>
      <c r="I81" s="3">
        <f t="shared" si="5"/>
        <v>4463.2987671277679</v>
      </c>
      <c r="J81" s="5">
        <f t="shared" si="7"/>
        <v>12.678953275994969</v>
      </c>
      <c r="K81" s="5">
        <f t="shared" si="6"/>
        <v>1584.8691594993711</v>
      </c>
      <c r="L81">
        <v>8</v>
      </c>
    </row>
    <row r="82" spans="1:12" x14ac:dyDescent="0.3">
      <c r="A82" t="s">
        <v>24</v>
      </c>
      <c r="B82" t="s">
        <v>17</v>
      </c>
      <c r="C82" s="5">
        <v>0.43836446099999998</v>
      </c>
      <c r="D82" s="5">
        <v>0.58666666700000003</v>
      </c>
      <c r="E82">
        <v>8</v>
      </c>
      <c r="F82" s="3">
        <v>13.152866242038215</v>
      </c>
      <c r="G82" s="3">
        <f t="shared" si="8"/>
        <v>135.87222537683002</v>
      </c>
      <c r="H82" s="3">
        <f t="shared" si="9"/>
        <v>46.527395110886523</v>
      </c>
      <c r="I82" s="3">
        <f t="shared" si="5"/>
        <v>5815.9243888608153</v>
      </c>
      <c r="J82" s="5">
        <f t="shared" si="7"/>
        <v>13.829640930666557</v>
      </c>
      <c r="K82" s="5">
        <f t="shared" si="6"/>
        <v>1728.7051163333197</v>
      </c>
      <c r="L82">
        <v>8</v>
      </c>
    </row>
    <row r="83" spans="1:12" x14ac:dyDescent="0.3">
      <c r="A83" t="s">
        <v>24</v>
      </c>
      <c r="B83" t="s">
        <v>17</v>
      </c>
      <c r="C83" s="5">
        <v>0.43836446099999998</v>
      </c>
      <c r="D83" s="5">
        <v>0.58666666700000003</v>
      </c>
      <c r="E83">
        <v>8</v>
      </c>
      <c r="F83" s="3">
        <v>13.343949044585989</v>
      </c>
      <c r="G83" s="3">
        <f t="shared" si="8"/>
        <v>139.84876360523697</v>
      </c>
      <c r="H83" s="3">
        <f t="shared" si="9"/>
        <v>47.855957581765985</v>
      </c>
      <c r="I83" s="3">
        <f t="shared" si="5"/>
        <v>5981.9946977207483</v>
      </c>
      <c r="J83" s="5">
        <f t="shared" si="7"/>
        <v>13.971407330926205</v>
      </c>
      <c r="K83" s="5">
        <f t="shared" si="6"/>
        <v>1746.4259163657755</v>
      </c>
      <c r="L83">
        <v>8</v>
      </c>
    </row>
    <row r="84" spans="1:12" x14ac:dyDescent="0.3">
      <c r="A84" t="s">
        <v>24</v>
      </c>
      <c r="B84" t="s">
        <v>17</v>
      </c>
      <c r="C84" s="5">
        <v>0.43836446099999998</v>
      </c>
      <c r="D84" s="5">
        <v>0.58666666700000003</v>
      </c>
      <c r="E84" s="1">
        <v>6.5</v>
      </c>
      <c r="F84" s="3">
        <v>39.36305732484076</v>
      </c>
      <c r="G84" s="3">
        <f t="shared" si="8"/>
        <v>1216.9354057260214</v>
      </c>
      <c r="H84" s="3">
        <f t="shared" si="9"/>
        <v>322.83595831306661</v>
      </c>
      <c r="I84" s="3">
        <f t="shared" si="5"/>
        <v>40354.494789133329</v>
      </c>
      <c r="J84" s="5">
        <f t="shared" si="7"/>
        <v>44.235693914560422</v>
      </c>
      <c r="K84" s="5">
        <f t="shared" si="6"/>
        <v>5529.4617393200524</v>
      </c>
      <c r="L84">
        <v>8</v>
      </c>
    </row>
    <row r="85" spans="1:12" x14ac:dyDescent="0.3">
      <c r="A85" t="s">
        <v>24</v>
      </c>
      <c r="B85" t="s">
        <v>17</v>
      </c>
      <c r="C85" s="5">
        <v>0.43836446099999998</v>
      </c>
      <c r="D85" s="5">
        <v>0.58666666700000003</v>
      </c>
      <c r="E85">
        <v>6</v>
      </c>
      <c r="F85" s="3">
        <v>10.987261146496815</v>
      </c>
      <c r="G85" s="3">
        <f t="shared" si="8"/>
        <v>94.813193637045387</v>
      </c>
      <c r="H85" s="3">
        <f t="shared" si="9"/>
        <v>24.73186712676727</v>
      </c>
      <c r="I85" s="3">
        <f t="shared" si="5"/>
        <v>3091.4833908459086</v>
      </c>
      <c r="J85" s="5">
        <f t="shared" si="7"/>
        <v>11.520818057527688</v>
      </c>
      <c r="K85" s="5">
        <f t="shared" si="6"/>
        <v>1440.1022571909609</v>
      </c>
      <c r="L85">
        <v>8</v>
      </c>
    </row>
    <row r="86" spans="1:12" x14ac:dyDescent="0.3">
      <c r="A86" t="s">
        <v>24</v>
      </c>
      <c r="B86" t="s">
        <v>18</v>
      </c>
      <c r="C86" s="5">
        <v>0.76500000000000001</v>
      </c>
      <c r="D86" s="5">
        <v>0.61247410899999999</v>
      </c>
      <c r="E86">
        <v>9</v>
      </c>
      <c r="F86" s="3">
        <v>28.980891719745223</v>
      </c>
      <c r="G86" s="3">
        <f t="shared" si="8"/>
        <v>659.64970091020621</v>
      </c>
      <c r="H86" s="3">
        <f t="shared" si="9"/>
        <v>254.44592921854627</v>
      </c>
      <c r="I86" s="3">
        <f t="shared" si="5"/>
        <v>31805.741152318282</v>
      </c>
      <c r="J86" s="5">
        <f t="shared" si="7"/>
        <v>35.442300673455314</v>
      </c>
      <c r="K86" s="5">
        <f t="shared" si="6"/>
        <v>4430.2875841819141</v>
      </c>
      <c r="L86">
        <v>8</v>
      </c>
    </row>
    <row r="87" spans="1:12" x14ac:dyDescent="0.3">
      <c r="A87" t="s">
        <v>24</v>
      </c>
      <c r="B87" t="s">
        <v>18</v>
      </c>
      <c r="C87" s="5">
        <v>0.76500000000000001</v>
      </c>
      <c r="D87" s="5">
        <v>0.61247410899999999</v>
      </c>
      <c r="E87" s="1">
        <v>10.4</v>
      </c>
      <c r="F87" s="3">
        <v>13.503184713375795</v>
      </c>
      <c r="G87" s="3">
        <f t="shared" si="8"/>
        <v>143.20635748198671</v>
      </c>
      <c r="H87" s="3">
        <f t="shared" si="9"/>
        <v>65.985530308408244</v>
      </c>
      <c r="I87" s="3">
        <f t="shared" si="5"/>
        <v>8248.1912885510301</v>
      </c>
      <c r="J87" s="5">
        <f t="shared" si="7"/>
        <v>15.622730305489066</v>
      </c>
      <c r="K87" s="5">
        <f t="shared" si="6"/>
        <v>1952.8412881861332</v>
      </c>
      <c r="L87">
        <v>8</v>
      </c>
    </row>
    <row r="88" spans="1:12" x14ac:dyDescent="0.3">
      <c r="A88" t="s">
        <v>24</v>
      </c>
      <c r="B88" t="s">
        <v>18</v>
      </c>
      <c r="C88" s="5">
        <v>0.76500000000000001</v>
      </c>
      <c r="D88" s="5">
        <v>0.61247410899999999</v>
      </c>
      <c r="E88" s="1">
        <v>9.1</v>
      </c>
      <c r="F88" s="3">
        <v>14.872611464968154</v>
      </c>
      <c r="G88" s="3">
        <f t="shared" si="8"/>
        <v>173.72581043570338</v>
      </c>
      <c r="H88" s="3">
        <f t="shared" si="9"/>
        <v>69.941826560040184</v>
      </c>
      <c r="I88" s="3">
        <f t="shared" si="5"/>
        <v>8742.7283200050224</v>
      </c>
      <c r="J88" s="5">
        <f t="shared" si="7"/>
        <v>16.030747111444683</v>
      </c>
      <c r="K88" s="5">
        <f t="shared" si="6"/>
        <v>2003.8433889305854</v>
      </c>
      <c r="L88">
        <v>8</v>
      </c>
    </row>
    <row r="89" spans="1:12" x14ac:dyDescent="0.3">
      <c r="A89" t="s">
        <v>24</v>
      </c>
      <c r="B89" t="s">
        <v>19</v>
      </c>
      <c r="C89" s="5">
        <v>0.41240947999999999</v>
      </c>
      <c r="D89" s="5">
        <v>0.52705000000000002</v>
      </c>
      <c r="E89">
        <v>6</v>
      </c>
      <c r="F89" s="3">
        <v>4.3949044585987265</v>
      </c>
      <c r="G89" s="3">
        <f t="shared" si="8"/>
        <v>15.170110981927266</v>
      </c>
      <c r="H89" s="3">
        <f t="shared" si="9"/>
        <v>3.7243918040162489</v>
      </c>
      <c r="I89" s="3">
        <f t="shared" si="5"/>
        <v>465.54897550203111</v>
      </c>
      <c r="J89" s="5">
        <f t="shared" si="7"/>
        <v>9.3913188892044293</v>
      </c>
      <c r="K89" s="5">
        <f t="shared" si="6"/>
        <v>1173.9148611505536</v>
      </c>
      <c r="L89">
        <v>8</v>
      </c>
    </row>
    <row r="90" spans="1:12" x14ac:dyDescent="0.3">
      <c r="A90" t="s">
        <v>30</v>
      </c>
      <c r="B90" t="s">
        <v>8</v>
      </c>
      <c r="C90" s="5">
        <v>0.36</v>
      </c>
      <c r="D90" s="5">
        <v>0.35</v>
      </c>
      <c r="E90" s="1">
        <v>4.5</v>
      </c>
      <c r="F90" s="3">
        <v>16.464968152866241</v>
      </c>
      <c r="G90" s="3">
        <f t="shared" si="8"/>
        <v>212.91765355221364</v>
      </c>
      <c r="H90" s="3">
        <f t="shared" si="9"/>
        <v>24.847789316616161</v>
      </c>
      <c r="I90" s="3">
        <f t="shared" si="5"/>
        <v>3105.9736645770204</v>
      </c>
      <c r="J90" s="5">
        <f t="shared" si="7"/>
        <v>13.255449026329668</v>
      </c>
      <c r="K90" s="5">
        <f t="shared" si="6"/>
        <v>1656.9311282912086</v>
      </c>
      <c r="L90">
        <v>8</v>
      </c>
    </row>
    <row r="91" spans="1:12" x14ac:dyDescent="0.3">
      <c r="A91" t="s">
        <v>30</v>
      </c>
      <c r="B91" t="s">
        <v>8</v>
      </c>
      <c r="C91" s="5">
        <v>0.36</v>
      </c>
      <c r="D91" s="5">
        <v>0.35</v>
      </c>
      <c r="E91">
        <v>4</v>
      </c>
      <c r="F91" s="3">
        <v>4.4585987261146496</v>
      </c>
      <c r="G91" s="3">
        <f t="shared" si="8"/>
        <v>15.613010672430914</v>
      </c>
      <c r="H91" s="3">
        <f t="shared" si="9"/>
        <v>1.729303735682749</v>
      </c>
      <c r="I91" s="3">
        <f t="shared" si="5"/>
        <v>216.16296696034362</v>
      </c>
      <c r="J91" s="5">
        <f t="shared" si="7"/>
        <v>9.2640074364071552</v>
      </c>
      <c r="K91" s="5">
        <f t="shared" si="6"/>
        <v>1158.0009295508944</v>
      </c>
      <c r="L91">
        <v>8</v>
      </c>
    </row>
    <row r="92" spans="1:12" x14ac:dyDescent="0.3">
      <c r="A92" t="s">
        <v>30</v>
      </c>
      <c r="B92" t="s">
        <v>8</v>
      </c>
      <c r="C92" s="5">
        <v>0.36</v>
      </c>
      <c r="D92" s="5">
        <v>0.35</v>
      </c>
      <c r="E92" s="1">
        <v>3.2</v>
      </c>
      <c r="F92" s="3">
        <v>5.4140127388535033</v>
      </c>
      <c r="G92" s="3">
        <f t="shared" si="8"/>
        <v>23.021224920063954</v>
      </c>
      <c r="H92" s="3">
        <f t="shared" si="9"/>
        <v>2.0318024320791621</v>
      </c>
      <c r="I92" s="3">
        <f t="shared" si="5"/>
        <v>253.97530400989527</v>
      </c>
      <c r="J92" s="5">
        <f t="shared" si="7"/>
        <v>9.3139891800884413</v>
      </c>
      <c r="K92" s="5">
        <f t="shared" si="6"/>
        <v>1164.2486475110552</v>
      </c>
      <c r="L92">
        <v>8</v>
      </c>
    </row>
    <row r="93" spans="1:12" x14ac:dyDescent="0.3">
      <c r="A93" t="s">
        <v>30</v>
      </c>
      <c r="B93" t="s">
        <v>31</v>
      </c>
      <c r="C93" s="5">
        <v>0.86599999999999999</v>
      </c>
      <c r="D93" s="5">
        <v>0.73582777799999999</v>
      </c>
      <c r="E93">
        <v>9</v>
      </c>
      <c r="F93" s="3">
        <v>17.038216560509554</v>
      </c>
      <c r="G93" s="3">
        <f t="shared" si="8"/>
        <v>228.0017336590071</v>
      </c>
      <c r="H93" s="3">
        <f t="shared" si="9"/>
        <v>107.91186872235879</v>
      </c>
      <c r="I93" s="3">
        <f t="shared" si="5"/>
        <v>13488.983590294849</v>
      </c>
      <c r="J93" s="5">
        <f t="shared" si="7"/>
        <v>18.130175942228895</v>
      </c>
      <c r="K93" s="5">
        <f t="shared" si="6"/>
        <v>2266.271992778612</v>
      </c>
      <c r="L93">
        <v>8</v>
      </c>
    </row>
    <row r="94" spans="1:12" x14ac:dyDescent="0.3">
      <c r="A94" t="s">
        <v>30</v>
      </c>
      <c r="B94" t="s">
        <v>32</v>
      </c>
      <c r="C94" s="5">
        <v>0.39790071399999999</v>
      </c>
      <c r="D94" s="5">
        <v>0.50565277799999997</v>
      </c>
      <c r="E94">
        <v>7</v>
      </c>
      <c r="F94" s="3">
        <v>11.305732484076433</v>
      </c>
      <c r="G94" s="3">
        <f t="shared" si="8"/>
        <v>100.3892688771993</v>
      </c>
      <c r="H94" s="3">
        <f t="shared" si="9"/>
        <v>26.292371703565664</v>
      </c>
      <c r="I94" s="3">
        <f t="shared" si="5"/>
        <v>3286.5464629457078</v>
      </c>
      <c r="J94" s="5">
        <f t="shared" si="7"/>
        <v>12.117279881536776</v>
      </c>
      <c r="K94" s="5">
        <f t="shared" si="6"/>
        <v>1514.6599851920969</v>
      </c>
      <c r="L94">
        <v>8</v>
      </c>
    </row>
    <row r="95" spans="1:12" x14ac:dyDescent="0.3">
      <c r="A95" t="s">
        <v>30</v>
      </c>
      <c r="B95" t="s">
        <v>13</v>
      </c>
      <c r="C95" s="5">
        <v>0.45255480399999998</v>
      </c>
      <c r="D95" s="5">
        <v>0.57808694400000005</v>
      </c>
      <c r="E95">
        <v>8</v>
      </c>
      <c r="F95" s="3">
        <v>36.783439490445858</v>
      </c>
      <c r="G95" s="3">
        <f t="shared" si="8"/>
        <v>1062.6605388923292</v>
      </c>
      <c r="H95" s="3">
        <f t="shared" si="9"/>
        <v>341.42048650594387</v>
      </c>
      <c r="I95" s="3">
        <f t="shared" si="5"/>
        <v>42677.560813242984</v>
      </c>
      <c r="J95" s="5">
        <f t="shared" si="7"/>
        <v>46.870299780924171</v>
      </c>
      <c r="K95" s="5">
        <f t="shared" si="6"/>
        <v>5858.7874726155214</v>
      </c>
      <c r="L95">
        <v>8</v>
      </c>
    </row>
    <row r="96" spans="1:12" x14ac:dyDescent="0.3">
      <c r="A96" t="s">
        <v>30</v>
      </c>
      <c r="B96" t="s">
        <v>13</v>
      </c>
      <c r="C96" s="5">
        <v>0.45255480399999998</v>
      </c>
      <c r="D96" s="5">
        <v>0.57808694400000005</v>
      </c>
      <c r="E96" s="1">
        <v>6.1</v>
      </c>
      <c r="F96" s="3">
        <v>48.152866242038208</v>
      </c>
      <c r="G96" s="3">
        <f t="shared" si="8"/>
        <v>1821.1015648323414</v>
      </c>
      <c r="H96" s="3">
        <f t="shared" si="9"/>
        <v>443.28264819723927</v>
      </c>
      <c r="I96" s="3">
        <f t="shared" si="5"/>
        <v>55410.331024654908</v>
      </c>
      <c r="J96" s="5">
        <f t="shared" si="7"/>
        <v>58.489913558359348</v>
      </c>
      <c r="K96" s="5">
        <f t="shared" si="6"/>
        <v>7311.2391947949181</v>
      </c>
      <c r="L96">
        <v>8</v>
      </c>
    </row>
    <row r="97" spans="1:12" x14ac:dyDescent="0.3">
      <c r="A97" t="s">
        <v>30</v>
      </c>
      <c r="B97" t="s">
        <v>33</v>
      </c>
      <c r="C97" s="5">
        <v>1082380952</v>
      </c>
      <c r="D97" s="5">
        <v>0.61247410899999999</v>
      </c>
      <c r="E97">
        <v>8</v>
      </c>
      <c r="F97" s="3">
        <v>15.764331210191083</v>
      </c>
      <c r="G97" s="3">
        <f t="shared" si="8"/>
        <v>195.18254795981557</v>
      </c>
      <c r="H97" s="3">
        <f t="shared" si="9"/>
        <v>69.102092052572189</v>
      </c>
      <c r="I97" s="3">
        <f t="shared" si="5"/>
        <v>8637.7615065715236</v>
      </c>
      <c r="J97" s="5">
        <f t="shared" si="7"/>
        <v>15.94409587812893</v>
      </c>
      <c r="K97" s="5">
        <f t="shared" si="6"/>
        <v>1993.0119847661163</v>
      </c>
      <c r="L97">
        <v>8</v>
      </c>
    </row>
    <row r="98" spans="1:12" x14ac:dyDescent="0.3">
      <c r="A98" t="s">
        <v>30</v>
      </c>
      <c r="B98" t="s">
        <v>25</v>
      </c>
      <c r="C98" s="5">
        <v>0.372</v>
      </c>
      <c r="D98" s="5">
        <v>0.73247777800000002</v>
      </c>
      <c r="E98">
        <v>6</v>
      </c>
      <c r="F98" s="3">
        <v>9.3949044585987256</v>
      </c>
      <c r="G98" s="3">
        <f t="shared" si="8"/>
        <v>69.322563967770421</v>
      </c>
      <c r="H98" s="3">
        <f t="shared" si="9"/>
        <v>22.626426721406872</v>
      </c>
      <c r="I98" s="3">
        <f t="shared" si="5"/>
        <v>2828.3033401758589</v>
      </c>
      <c r="J98" s="5">
        <f t="shared" si="7"/>
        <v>10.839248825510163</v>
      </c>
      <c r="K98" s="5">
        <f t="shared" si="6"/>
        <v>1354.9061031887704</v>
      </c>
      <c r="L98">
        <v>8</v>
      </c>
    </row>
    <row r="99" spans="1:12" x14ac:dyDescent="0.3">
      <c r="A99" t="s">
        <v>30</v>
      </c>
      <c r="B99" t="s">
        <v>25</v>
      </c>
      <c r="C99" s="5">
        <v>0.372</v>
      </c>
      <c r="D99" s="5">
        <v>0.73247777800000002</v>
      </c>
      <c r="E99" s="1">
        <v>5.5</v>
      </c>
      <c r="F99" s="3">
        <v>10.668789808917197</v>
      </c>
      <c r="G99" s="3">
        <f t="shared" si="8"/>
        <v>89.396434832324445</v>
      </c>
      <c r="H99" s="3">
        <f t="shared" si="9"/>
        <v>26.639693642844531</v>
      </c>
      <c r="I99" s="3">
        <f t="shared" si="5"/>
        <v>3329.9617053555662</v>
      </c>
      <c r="J99" s="5">
        <f t="shared" si="7"/>
        <v>11.176794212746966</v>
      </c>
      <c r="K99" s="5">
        <f t="shared" si="6"/>
        <v>1397.0992765933706</v>
      </c>
      <c r="L99">
        <v>8</v>
      </c>
    </row>
    <row r="100" spans="1:12" x14ac:dyDescent="0.3">
      <c r="A100" t="s">
        <v>30</v>
      </c>
      <c r="B100" t="s">
        <v>14</v>
      </c>
      <c r="C100" s="5">
        <v>0.374</v>
      </c>
      <c r="D100" s="5">
        <v>0.47945833300000001</v>
      </c>
      <c r="E100">
        <v>5</v>
      </c>
      <c r="F100" s="3">
        <v>4.1401273885350314</v>
      </c>
      <c r="G100" s="3">
        <f t="shared" si="8"/>
        <v>13.462238794085838</v>
      </c>
      <c r="H100" s="3">
        <f t="shared" si="9"/>
        <v>2.5294924606293905</v>
      </c>
      <c r="I100" s="3">
        <f t="shared" si="5"/>
        <v>316.18655757867378</v>
      </c>
      <c r="J100" s="5">
        <f t="shared" si="7"/>
        <v>9.2856614588827124</v>
      </c>
      <c r="K100" s="5">
        <f t="shared" si="6"/>
        <v>1160.707682360339</v>
      </c>
      <c r="L100">
        <v>8</v>
      </c>
    </row>
    <row r="101" spans="1:12" x14ac:dyDescent="0.3">
      <c r="A101" t="s">
        <v>30</v>
      </c>
      <c r="B101" t="s">
        <v>15</v>
      </c>
      <c r="C101" s="5">
        <v>0.74387999999999999</v>
      </c>
      <c r="D101" s="5">
        <v>0.59130000000000005</v>
      </c>
      <c r="E101">
        <v>12</v>
      </c>
      <c r="F101" s="3">
        <v>16.242038216560509</v>
      </c>
      <c r="G101" s="3">
        <f t="shared" si="8"/>
        <v>207.19102428057556</v>
      </c>
      <c r="H101" s="3">
        <f t="shared" si="9"/>
        <v>105.13583323469436</v>
      </c>
      <c r="I101" s="3">
        <f t="shared" si="5"/>
        <v>13141.979154336796</v>
      </c>
      <c r="J101" s="5">
        <f t="shared" si="7"/>
        <v>20.065459827984906</v>
      </c>
      <c r="K101" s="5">
        <f t="shared" si="6"/>
        <v>2508.1824784981131</v>
      </c>
      <c r="L101">
        <v>8</v>
      </c>
    </row>
    <row r="102" spans="1:12" x14ac:dyDescent="0.3">
      <c r="A102" t="s">
        <v>30</v>
      </c>
      <c r="B102" t="s">
        <v>15</v>
      </c>
      <c r="C102" s="5">
        <v>0.74387999999999999</v>
      </c>
      <c r="D102" s="5">
        <v>0.59130000000000005</v>
      </c>
      <c r="E102">
        <v>9</v>
      </c>
      <c r="F102" s="3">
        <v>9.4585987261146496</v>
      </c>
      <c r="G102" s="3">
        <f t="shared" si="8"/>
        <v>70.26571726553361</v>
      </c>
      <c r="H102" s="3">
        <f t="shared" si="9"/>
        <v>27.634662145127106</v>
      </c>
      <c r="I102" s="3">
        <f t="shared" si="5"/>
        <v>3454.3327681408882</v>
      </c>
      <c r="J102" s="5">
        <f t="shared" si="7"/>
        <v>11.803850330642216</v>
      </c>
      <c r="K102" s="5">
        <f t="shared" si="6"/>
        <v>1475.4812913302771</v>
      </c>
      <c r="L102">
        <v>8</v>
      </c>
    </row>
    <row r="103" spans="1:12" x14ac:dyDescent="0.3">
      <c r="A103" t="s">
        <v>30</v>
      </c>
      <c r="B103" t="s">
        <v>15</v>
      </c>
      <c r="C103" s="5">
        <v>0.74387999999999999</v>
      </c>
      <c r="D103" s="5">
        <v>0.59130000000000005</v>
      </c>
      <c r="E103">
        <v>7</v>
      </c>
      <c r="F103" s="3">
        <v>10.350318471337578</v>
      </c>
      <c r="G103" s="3">
        <f t="shared" si="8"/>
        <v>84.138992463036487</v>
      </c>
      <c r="H103" s="3">
        <f t="shared" si="9"/>
        <v>25.781304527996088</v>
      </c>
      <c r="I103" s="3">
        <f t="shared" si="5"/>
        <v>3222.6630659995112</v>
      </c>
      <c r="J103" s="5">
        <f t="shared" si="7"/>
        <v>11.610362765223741</v>
      </c>
      <c r="K103" s="5">
        <f t="shared" si="6"/>
        <v>1451.2953456529676</v>
      </c>
      <c r="L103">
        <v>8</v>
      </c>
    </row>
    <row r="104" spans="1:12" x14ac:dyDescent="0.3">
      <c r="A104" t="s">
        <v>30</v>
      </c>
      <c r="B104" t="s">
        <v>34</v>
      </c>
      <c r="C104" s="5">
        <v>0.590536375</v>
      </c>
      <c r="D104" s="5">
        <v>0.61247410899999999</v>
      </c>
      <c r="E104">
        <v>9</v>
      </c>
      <c r="F104" s="3">
        <v>27.866242038216559</v>
      </c>
      <c r="G104" s="3">
        <f t="shared" si="8"/>
        <v>609.88322939183263</v>
      </c>
      <c r="H104" s="3">
        <f t="shared" si="9"/>
        <v>235.69286135248356</v>
      </c>
      <c r="I104" s="3">
        <f t="shared" si="5"/>
        <v>29461.607669060446</v>
      </c>
      <c r="J104" s="5">
        <f t="shared" si="7"/>
        <v>33.446314527972739</v>
      </c>
      <c r="K104" s="5">
        <f t="shared" si="6"/>
        <v>4180.7893159965924</v>
      </c>
      <c r="L104">
        <v>8</v>
      </c>
    </row>
    <row r="105" spans="1:12" x14ac:dyDescent="0.3">
      <c r="A105" t="s">
        <v>30</v>
      </c>
      <c r="B105" t="s">
        <v>34</v>
      </c>
      <c r="C105" s="5">
        <v>0.590536375</v>
      </c>
      <c r="D105" s="5">
        <v>0.61247410899999999</v>
      </c>
      <c r="E105" s="1">
        <v>8.5</v>
      </c>
      <c r="F105" s="3">
        <v>56.050955414012734</v>
      </c>
      <c r="G105" s="3">
        <f t="shared" si="8"/>
        <v>2467.492951985816</v>
      </c>
      <c r="H105" s="3">
        <f t="shared" si="9"/>
        <v>872.08661162760143</v>
      </c>
      <c r="I105" s="3">
        <f t="shared" si="5"/>
        <v>109010.82645345018</v>
      </c>
      <c r="J105" s="5">
        <f t="shared" si="7"/>
        <v>102.45156068400338</v>
      </c>
      <c r="K105" s="5">
        <f t="shared" si="6"/>
        <v>12806.445085500423</v>
      </c>
      <c r="L105">
        <v>8</v>
      </c>
    </row>
    <row r="106" spans="1:12" x14ac:dyDescent="0.3">
      <c r="A106" t="s">
        <v>30</v>
      </c>
      <c r="B106" t="s">
        <v>17</v>
      </c>
      <c r="C106" s="5">
        <v>0.43836446099999998</v>
      </c>
      <c r="D106" s="5">
        <v>0.58666666700000003</v>
      </c>
      <c r="E106" s="1">
        <v>6.5</v>
      </c>
      <c r="F106" s="3">
        <v>29.29936305732484</v>
      </c>
      <c r="G106" s="3">
        <f t="shared" si="8"/>
        <v>674.2271547523228</v>
      </c>
      <c r="H106" s="3">
        <f t="shared" si="9"/>
        <v>181.41604119402928</v>
      </c>
      <c r="I106" s="3">
        <f t="shared" si="5"/>
        <v>22677.005149253659</v>
      </c>
      <c r="J106" s="5">
        <f t="shared" si="7"/>
        <v>28.515498369102197</v>
      </c>
      <c r="K106" s="5">
        <f t="shared" si="6"/>
        <v>3564.4372961377744</v>
      </c>
      <c r="L106">
        <v>8</v>
      </c>
    </row>
    <row r="107" spans="1:12" x14ac:dyDescent="0.3">
      <c r="A107" t="s">
        <v>30</v>
      </c>
      <c r="B107" t="s">
        <v>19</v>
      </c>
      <c r="C107" s="5">
        <v>0.41240947999999999</v>
      </c>
      <c r="D107" s="5">
        <v>0.52705000000000002</v>
      </c>
      <c r="E107">
        <v>8</v>
      </c>
      <c r="F107" s="3">
        <v>10.987261146496815</v>
      </c>
      <c r="G107" s="3">
        <f t="shared" si="8"/>
        <v>94.813193637045387</v>
      </c>
      <c r="H107" s="3">
        <f t="shared" si="9"/>
        <v>29.496770292514544</v>
      </c>
      <c r="I107" s="3">
        <f t="shared" si="5"/>
        <v>3687.0962865643178</v>
      </c>
      <c r="J107" s="5">
        <f t="shared" si="7"/>
        <v>12.365857410036918</v>
      </c>
      <c r="K107" s="5">
        <f t="shared" si="6"/>
        <v>1545.7321762546148</v>
      </c>
      <c r="L107">
        <v>8</v>
      </c>
    </row>
    <row r="108" spans="1:12" x14ac:dyDescent="0.3">
      <c r="A108" t="s">
        <v>30</v>
      </c>
      <c r="B108" t="s">
        <v>19</v>
      </c>
      <c r="C108" s="5">
        <v>0.41240947999999999</v>
      </c>
      <c r="D108" s="5">
        <v>0.52705000000000002</v>
      </c>
      <c r="E108">
        <v>6</v>
      </c>
      <c r="F108" s="3">
        <v>8.9171974522292992</v>
      </c>
      <c r="G108" s="3">
        <f t="shared" si="8"/>
        <v>62.452042689723655</v>
      </c>
      <c r="H108" s="3">
        <f t="shared" si="9"/>
        <v>14.820534367005608</v>
      </c>
      <c r="I108" s="3">
        <f t="shared" si="5"/>
        <v>1852.566795875701</v>
      </c>
      <c r="J108" s="5">
        <f t="shared" si="7"/>
        <v>10.655544618442939</v>
      </c>
      <c r="K108" s="5">
        <f t="shared" si="6"/>
        <v>1331.9430773053673</v>
      </c>
      <c r="L108">
        <v>8</v>
      </c>
    </row>
    <row r="109" spans="1:12" x14ac:dyDescent="0.3">
      <c r="A109" t="s">
        <v>35</v>
      </c>
      <c r="B109" t="s">
        <v>21</v>
      </c>
      <c r="C109" s="5">
        <v>0.80908761900000004</v>
      </c>
      <c r="D109" s="5">
        <v>0.87473809499999999</v>
      </c>
      <c r="E109" s="1">
        <v>10.199999999999999</v>
      </c>
      <c r="F109" s="3">
        <v>20.063694267515924</v>
      </c>
      <c r="G109" s="3">
        <f t="shared" si="8"/>
        <v>316.16346611672606</v>
      </c>
      <c r="H109" s="3">
        <f t="shared" si="9"/>
        <v>198.60394866035315</v>
      </c>
      <c r="I109" s="3">
        <f t="shared" si="5"/>
        <v>24825.493582544143</v>
      </c>
      <c r="J109" s="5">
        <f t="shared" si="7"/>
        <v>23.356800247474542</v>
      </c>
      <c r="K109" s="5">
        <f t="shared" si="6"/>
        <v>2919.6000309343176</v>
      </c>
      <c r="L109">
        <v>8</v>
      </c>
    </row>
    <row r="110" spans="1:12" x14ac:dyDescent="0.3">
      <c r="A110" t="s">
        <v>35</v>
      </c>
      <c r="B110" t="s">
        <v>21</v>
      </c>
      <c r="C110" s="5">
        <v>0.80908761900000004</v>
      </c>
      <c r="D110" s="5">
        <v>0.87473809499999999</v>
      </c>
      <c r="E110" s="1">
        <v>8.6</v>
      </c>
      <c r="F110" s="3">
        <v>29.490445859872608</v>
      </c>
      <c r="G110" s="3">
        <f t="shared" si="8"/>
        <v>683.05009894660043</v>
      </c>
      <c r="H110" s="3">
        <f t="shared" si="9"/>
        <v>356.59602123279393</v>
      </c>
      <c r="I110" s="3">
        <f t="shared" si="5"/>
        <v>44574.50265409924</v>
      </c>
      <c r="J110" s="5">
        <f t="shared" si="7"/>
        <v>35.163260550123731</v>
      </c>
      <c r="K110" s="5">
        <f t="shared" si="6"/>
        <v>4395.4075687654667</v>
      </c>
      <c r="L110">
        <v>8</v>
      </c>
    </row>
    <row r="111" spans="1:12" x14ac:dyDescent="0.3">
      <c r="A111" t="s">
        <v>35</v>
      </c>
      <c r="B111" t="s">
        <v>21</v>
      </c>
      <c r="C111" s="5">
        <v>0.80908761900000004</v>
      </c>
      <c r="D111" s="5">
        <v>0.87473809499999999</v>
      </c>
      <c r="E111" s="1">
        <v>8.1</v>
      </c>
      <c r="F111" s="3">
        <v>23.789808917197451</v>
      </c>
      <c r="G111" s="3">
        <f t="shared" si="8"/>
        <v>444.50002409757667</v>
      </c>
      <c r="H111" s="3">
        <f t="shared" si="9"/>
        <v>221.14878206653859</v>
      </c>
      <c r="I111" s="3">
        <f t="shared" si="5"/>
        <v>27643.597758317323</v>
      </c>
      <c r="J111" s="5">
        <f t="shared" si="7"/>
        <v>25.030524485780354</v>
      </c>
      <c r="K111" s="5">
        <f t="shared" si="6"/>
        <v>3128.8155607225444</v>
      </c>
      <c r="L111">
        <v>8</v>
      </c>
    </row>
    <row r="112" spans="1:12" x14ac:dyDescent="0.3">
      <c r="A112" t="s">
        <v>35</v>
      </c>
      <c r="B112" t="s">
        <v>8</v>
      </c>
      <c r="C112" s="5">
        <v>0.36</v>
      </c>
      <c r="D112" s="5">
        <v>0.35</v>
      </c>
      <c r="E112">
        <v>5</v>
      </c>
      <c r="F112" s="3">
        <v>19.044585987261144</v>
      </c>
      <c r="G112" s="3">
        <f t="shared" si="8"/>
        <v>284.86097288285629</v>
      </c>
      <c r="H112" s="3">
        <f t="shared" si="9"/>
        <v>36.587626571697399</v>
      </c>
      <c r="I112" s="3">
        <f t="shared" si="5"/>
        <v>4573.4533214621752</v>
      </c>
      <c r="J112" s="5">
        <f t="shared" si="7"/>
        <v>15.332884469958211</v>
      </c>
      <c r="K112" s="5">
        <f t="shared" si="6"/>
        <v>1916.6105587447764</v>
      </c>
      <c r="L112">
        <v>8</v>
      </c>
    </row>
    <row r="113" spans="1:12" x14ac:dyDescent="0.3">
      <c r="A113" t="s">
        <v>35</v>
      </c>
      <c r="B113" t="s">
        <v>9</v>
      </c>
      <c r="C113" s="5">
        <v>0.766138345</v>
      </c>
      <c r="D113" s="5">
        <v>0.90500000000000003</v>
      </c>
      <c r="E113" s="1">
        <v>6.5</v>
      </c>
      <c r="F113" s="3">
        <v>8.598726114649681</v>
      </c>
      <c r="G113" s="3">
        <f t="shared" si="8"/>
        <v>58.070840715317019</v>
      </c>
      <c r="H113" s="3">
        <f t="shared" si="9"/>
        <v>25.300139058084721</v>
      </c>
      <c r="I113" s="3">
        <f t="shared" si="5"/>
        <v>3162.5173822605902</v>
      </c>
      <c r="J113" s="5">
        <f t="shared" si="7"/>
        <v>10.667791565580753</v>
      </c>
      <c r="K113" s="5">
        <f t="shared" si="6"/>
        <v>1333.4739456975942</v>
      </c>
      <c r="L113">
        <v>8</v>
      </c>
    </row>
    <row r="114" spans="1:12" x14ac:dyDescent="0.3">
      <c r="A114" t="s">
        <v>35</v>
      </c>
      <c r="B114" t="s">
        <v>32</v>
      </c>
      <c r="C114" s="5">
        <v>0.39790071399999999</v>
      </c>
      <c r="D114" s="5">
        <v>0.50565277799999997</v>
      </c>
      <c r="E114">
        <v>8</v>
      </c>
      <c r="F114" s="3">
        <v>11.942675159235668</v>
      </c>
      <c r="G114" s="3">
        <f t="shared" si="8"/>
        <v>112.01936866380598</v>
      </c>
      <c r="H114" s="3">
        <f t="shared" si="9"/>
        <v>33.334442263011745</v>
      </c>
      <c r="I114" s="3">
        <f t="shared" si="5"/>
        <v>4166.8052828764685</v>
      </c>
      <c r="J114" s="5">
        <f t="shared" si="7"/>
        <v>12.979269718852692</v>
      </c>
      <c r="K114" s="5">
        <f t="shared" si="6"/>
        <v>1622.4087148565864</v>
      </c>
      <c r="L114">
        <v>8</v>
      </c>
    </row>
    <row r="115" spans="1:12" x14ac:dyDescent="0.3">
      <c r="A115" t="s">
        <v>35</v>
      </c>
      <c r="B115" t="s">
        <v>32</v>
      </c>
      <c r="C115" s="5">
        <v>0.39790071399999999</v>
      </c>
      <c r="D115" s="5">
        <v>0.50565277799999997</v>
      </c>
      <c r="E115" s="1">
        <v>5.5</v>
      </c>
      <c r="F115" s="3">
        <v>7.6433121019108281</v>
      </c>
      <c r="G115" s="3">
        <f t="shared" si="8"/>
        <v>45.883133404694938</v>
      </c>
      <c r="H115" s="3">
        <f t="shared" si="9"/>
        <v>9.6768645013948031</v>
      </c>
      <c r="I115" s="3">
        <f t="shared" si="5"/>
        <v>1209.6080626743503</v>
      </c>
      <c r="J115" s="5">
        <f t="shared" si="7"/>
        <v>10.110289232828917</v>
      </c>
      <c r="K115" s="5">
        <f t="shared" si="6"/>
        <v>1263.7861541036145</v>
      </c>
      <c r="L115">
        <v>8</v>
      </c>
    </row>
    <row r="116" spans="1:12" x14ac:dyDescent="0.3">
      <c r="A116" t="s">
        <v>35</v>
      </c>
      <c r="B116" t="s">
        <v>11</v>
      </c>
      <c r="C116" s="5">
        <v>0.89361000000000002</v>
      </c>
      <c r="D116" s="5">
        <v>0.61247410899999999</v>
      </c>
      <c r="E116">
        <v>6</v>
      </c>
      <c r="F116" s="3">
        <v>7.6433121019108281</v>
      </c>
      <c r="G116" s="3">
        <f t="shared" si="8"/>
        <v>45.883133404694938</v>
      </c>
      <c r="H116" s="3">
        <f t="shared" si="9"/>
        <v>12.701469928347809</v>
      </c>
      <c r="I116" s="3">
        <f t="shared" si="5"/>
        <v>1587.6837410434762</v>
      </c>
      <c r="J116" s="5">
        <f t="shared" si="7"/>
        <v>10.212524617631546</v>
      </c>
      <c r="K116" s="5">
        <f t="shared" si="6"/>
        <v>1276.5655772039433</v>
      </c>
      <c r="L116">
        <v>8</v>
      </c>
    </row>
    <row r="117" spans="1:12" x14ac:dyDescent="0.3">
      <c r="A117" t="s">
        <v>35</v>
      </c>
      <c r="B117" t="s">
        <v>11</v>
      </c>
      <c r="C117" s="5">
        <v>0.89361000000000002</v>
      </c>
      <c r="D117" s="5">
        <v>0.61247410899999999</v>
      </c>
      <c r="E117" s="1">
        <v>2.7</v>
      </c>
      <c r="F117" s="3">
        <v>3.6624203821656049</v>
      </c>
      <c r="G117" s="3">
        <f t="shared" si="8"/>
        <v>10.534799293005044</v>
      </c>
      <c r="H117" s="3">
        <f t="shared" si="9"/>
        <v>1.3857957922163595</v>
      </c>
      <c r="I117" s="3">
        <f t="shared" si="5"/>
        <v>173.22447402704495</v>
      </c>
      <c r="J117" s="5">
        <f t="shared" si="7"/>
        <v>9.1124559028763841</v>
      </c>
      <c r="K117" s="5">
        <f t="shared" si="6"/>
        <v>1139.0569878595479</v>
      </c>
      <c r="L117">
        <v>8</v>
      </c>
    </row>
    <row r="118" spans="1:12" x14ac:dyDescent="0.3">
      <c r="A118" t="s">
        <v>35</v>
      </c>
      <c r="B118" t="s">
        <v>12</v>
      </c>
      <c r="C118" s="5">
        <v>0.708787469</v>
      </c>
      <c r="D118" s="5">
        <v>0.80167708299999996</v>
      </c>
      <c r="E118">
        <v>8</v>
      </c>
      <c r="F118" s="3">
        <v>8.598726114649681</v>
      </c>
      <c r="G118" s="3">
        <f t="shared" si="8"/>
        <v>58.070840715317019</v>
      </c>
      <c r="H118" s="3">
        <f t="shared" si="9"/>
        <v>27.526422261541022</v>
      </c>
      <c r="I118" s="3">
        <f t="shared" si="5"/>
        <v>3440.8027826926277</v>
      </c>
      <c r="J118" s="5">
        <f t="shared" si="7"/>
        <v>11.055966542253234</v>
      </c>
      <c r="K118" s="5">
        <f t="shared" si="6"/>
        <v>1381.9958177816543</v>
      </c>
      <c r="L118">
        <v>8</v>
      </c>
    </row>
    <row r="119" spans="1:12" x14ac:dyDescent="0.3">
      <c r="A119" t="s">
        <v>35</v>
      </c>
      <c r="B119" t="s">
        <v>36</v>
      </c>
      <c r="C119" s="5">
        <v>0.56193137999999998</v>
      </c>
      <c r="D119" s="5">
        <v>0.57808694400000005</v>
      </c>
      <c r="E119" s="1">
        <v>5.5</v>
      </c>
      <c r="F119" s="3">
        <v>14.490445859872612</v>
      </c>
      <c r="G119" s="3">
        <f t="shared" si="8"/>
        <v>164.91242522755155</v>
      </c>
      <c r="H119" s="3">
        <f t="shared" si="9"/>
        <v>38.436687034753241</v>
      </c>
      <c r="I119" s="3">
        <f t="shared" si="5"/>
        <v>4804.5858793441548</v>
      </c>
      <c r="J119" s="5">
        <f t="shared" si="7"/>
        <v>13.027680658444561</v>
      </c>
      <c r="K119" s="5">
        <f t="shared" si="6"/>
        <v>1628.4600823055703</v>
      </c>
      <c r="L119">
        <v>8</v>
      </c>
    </row>
    <row r="120" spans="1:12" x14ac:dyDescent="0.3">
      <c r="A120" t="s">
        <v>35</v>
      </c>
      <c r="B120" t="s">
        <v>25</v>
      </c>
      <c r="C120" s="5">
        <v>0.372</v>
      </c>
      <c r="D120" s="5">
        <v>0.73247777800000002</v>
      </c>
      <c r="E120" s="1">
        <v>5.5</v>
      </c>
      <c r="F120" s="3">
        <v>12.993630573248407</v>
      </c>
      <c r="G120" s="3">
        <f t="shared" si="8"/>
        <v>132.60225553956835</v>
      </c>
      <c r="H120" s="3">
        <f t="shared" si="9"/>
        <v>39.142665918508136</v>
      </c>
      <c r="I120" s="3">
        <f t="shared" si="5"/>
        <v>4892.8332398135171</v>
      </c>
      <c r="J120" s="5">
        <f t="shared" si="7"/>
        <v>12.235762882875573</v>
      </c>
      <c r="K120" s="5">
        <f t="shared" si="6"/>
        <v>1529.4703603594467</v>
      </c>
      <c r="L120">
        <v>8</v>
      </c>
    </row>
    <row r="121" spans="1:12" x14ac:dyDescent="0.3">
      <c r="A121" t="s">
        <v>35</v>
      </c>
      <c r="B121" t="s">
        <v>15</v>
      </c>
      <c r="C121" s="5">
        <v>0.74387999999999999</v>
      </c>
      <c r="D121" s="5">
        <v>0.59130000000000005</v>
      </c>
      <c r="E121" s="1">
        <v>6.5</v>
      </c>
      <c r="F121" s="3">
        <v>5.7324840764331206</v>
      </c>
      <c r="G121" s="3">
        <f t="shared" si="8"/>
        <v>25.809262540140899</v>
      </c>
      <c r="H121" s="3">
        <f t="shared" si="9"/>
        <v>7.5681241390466463</v>
      </c>
      <c r="I121" s="3">
        <f t="shared" si="5"/>
        <v>946.01551738083083</v>
      </c>
      <c r="J121" s="5">
        <f t="shared" si="7"/>
        <v>9.7332962513692234</v>
      </c>
      <c r="K121" s="5">
        <f t="shared" si="6"/>
        <v>1216.662031421153</v>
      </c>
      <c r="L121">
        <v>8</v>
      </c>
    </row>
    <row r="122" spans="1:12" x14ac:dyDescent="0.3">
      <c r="A122" t="s">
        <v>35</v>
      </c>
      <c r="B122" t="s">
        <v>34</v>
      </c>
      <c r="C122" s="5">
        <v>0.590536375</v>
      </c>
      <c r="D122" s="5">
        <v>0.61247410899999999</v>
      </c>
      <c r="E122">
        <v>9</v>
      </c>
      <c r="F122" s="3">
        <v>23.248407643312103</v>
      </c>
      <c r="G122" s="3">
        <f t="shared" si="8"/>
        <v>424.49864221114467</v>
      </c>
      <c r="H122" s="3">
        <f t="shared" si="9"/>
        <v>165.48282730941466</v>
      </c>
      <c r="I122" s="3">
        <f t="shared" si="5"/>
        <v>20685.353413676832</v>
      </c>
      <c r="J122" s="5">
        <f t="shared" si="7"/>
        <v>26.011086425412799</v>
      </c>
      <c r="K122" s="5">
        <f t="shared" si="6"/>
        <v>3251.3858031765999</v>
      </c>
      <c r="L122">
        <v>8</v>
      </c>
    </row>
    <row r="123" spans="1:12" x14ac:dyDescent="0.3">
      <c r="A123" t="s">
        <v>35</v>
      </c>
      <c r="B123" t="s">
        <v>37</v>
      </c>
      <c r="C123" s="5">
        <v>1187461538</v>
      </c>
      <c r="D123" s="5">
        <v>0.95</v>
      </c>
      <c r="E123" s="1">
        <v>2.5</v>
      </c>
      <c r="F123" s="3">
        <v>3.9808917197452227</v>
      </c>
      <c r="G123" s="3">
        <f t="shared" si="8"/>
        <v>12.446596518200664</v>
      </c>
      <c r="H123" s="3">
        <f t="shared" si="9"/>
        <v>2.3217979521250802</v>
      </c>
      <c r="I123" s="3">
        <f t="shared" si="5"/>
        <v>290.22474401563505</v>
      </c>
      <c r="J123" s="5">
        <f t="shared" si="7"/>
        <v>9.1243656152379398</v>
      </c>
      <c r="K123" s="5">
        <f t="shared" si="6"/>
        <v>1140.5457019047424</v>
      </c>
      <c r="L123">
        <v>8</v>
      </c>
    </row>
    <row r="124" spans="1:12" x14ac:dyDescent="0.3">
      <c r="A124" t="s">
        <v>35</v>
      </c>
      <c r="B124" t="s">
        <v>23</v>
      </c>
      <c r="C124" s="5">
        <v>0.48464433800000001</v>
      </c>
      <c r="D124" s="5">
        <v>0.62688577999999995</v>
      </c>
      <c r="E124">
        <v>6</v>
      </c>
      <c r="F124" s="3">
        <v>3.9808917197452227</v>
      </c>
      <c r="G124" s="3">
        <f t="shared" si="8"/>
        <v>12.446596518200664</v>
      </c>
      <c r="H124" s="3">
        <f t="shared" si="9"/>
        <v>3.636706506120404</v>
      </c>
      <c r="I124" s="3">
        <f t="shared" si="5"/>
        <v>454.58831326505049</v>
      </c>
      <c r="J124" s="5">
        <f t="shared" si="7"/>
        <v>9.3184974765710571</v>
      </c>
      <c r="K124" s="5">
        <f t="shared" si="6"/>
        <v>1164.8121845713822</v>
      </c>
      <c r="L124">
        <v>8</v>
      </c>
    </row>
    <row r="125" spans="1:12" x14ac:dyDescent="0.3">
      <c r="A125" t="s">
        <v>35</v>
      </c>
      <c r="B125" t="s">
        <v>16</v>
      </c>
      <c r="C125" s="5">
        <v>0.66608171000000005</v>
      </c>
      <c r="D125" s="5">
        <v>0.68661666700000001</v>
      </c>
      <c r="E125">
        <v>6</v>
      </c>
      <c r="F125" s="3">
        <v>11.464968152866241</v>
      </c>
      <c r="G125" s="3">
        <f t="shared" si="8"/>
        <v>103.2370501605636</v>
      </c>
      <c r="H125" s="3">
        <f t="shared" si="9"/>
        <v>31.33427785501587</v>
      </c>
      <c r="I125" s="3">
        <f t="shared" si="5"/>
        <v>3916.7847318769836</v>
      </c>
      <c r="J125" s="5">
        <f t="shared" si="7"/>
        <v>11.74605538967098</v>
      </c>
      <c r="K125" s="5">
        <f t="shared" si="6"/>
        <v>1468.2569237088726</v>
      </c>
      <c r="L125">
        <v>8</v>
      </c>
    </row>
    <row r="126" spans="1:12" x14ac:dyDescent="0.3">
      <c r="A126" t="s">
        <v>35</v>
      </c>
      <c r="B126" t="s">
        <v>18</v>
      </c>
      <c r="C126" s="5">
        <v>0.76500000000000001</v>
      </c>
      <c r="D126" s="5">
        <v>0.61247410899999999</v>
      </c>
      <c r="E126">
        <v>10</v>
      </c>
      <c r="F126" s="3">
        <v>33.757961783439491</v>
      </c>
      <c r="G126" s="3">
        <f t="shared" si="8"/>
        <v>895.03973426241714</v>
      </c>
      <c r="H126" s="3">
        <f t="shared" si="9"/>
        <v>379.84207446322267</v>
      </c>
      <c r="I126" s="3">
        <f t="shared" si="5"/>
        <v>47480.259307902837</v>
      </c>
      <c r="J126" s="5">
        <f t="shared" si="7"/>
        <v>48.871699432025643</v>
      </c>
      <c r="K126" s="5">
        <f t="shared" si="6"/>
        <v>6108.9624290032052</v>
      </c>
      <c r="L126">
        <v>8</v>
      </c>
    </row>
    <row r="127" spans="1:12" x14ac:dyDescent="0.3">
      <c r="A127" t="s">
        <v>38</v>
      </c>
      <c r="B127" t="s">
        <v>39</v>
      </c>
      <c r="C127" s="5">
        <v>0.54247040000000002</v>
      </c>
      <c r="D127" s="5">
        <v>0.54247042099999998</v>
      </c>
      <c r="E127">
        <v>4</v>
      </c>
      <c r="F127" s="3">
        <v>2.5477707006369426</v>
      </c>
      <c r="G127" s="3">
        <f t="shared" si="8"/>
        <v>5.098125933854992</v>
      </c>
      <c r="H127" s="3">
        <f t="shared" si="9"/>
        <v>0.88961405242058189</v>
      </c>
      <c r="I127" s="3">
        <f t="shared" si="5"/>
        <v>111.20175655257273</v>
      </c>
      <c r="J127" s="5">
        <f t="shared" si="7"/>
        <v>9.0765758976023356</v>
      </c>
      <c r="K127" s="5">
        <f t="shared" si="6"/>
        <v>1134.5719872002919</v>
      </c>
      <c r="L127">
        <v>8</v>
      </c>
    </row>
    <row r="128" spans="1:12" x14ac:dyDescent="0.3">
      <c r="A128" t="s">
        <v>38</v>
      </c>
      <c r="B128" t="s">
        <v>40</v>
      </c>
      <c r="C128" s="5">
        <v>0.81991655299999999</v>
      </c>
      <c r="D128" s="5">
        <v>0.72276027399999998</v>
      </c>
      <c r="E128">
        <v>4</v>
      </c>
      <c r="F128" s="3">
        <v>4.4585987261146496</v>
      </c>
      <c r="G128" s="3">
        <f t="shared" si="8"/>
        <v>15.613010672430914</v>
      </c>
      <c r="H128" s="3">
        <f t="shared" si="9"/>
        <v>3.5094517806950214</v>
      </c>
      <c r="I128" s="3">
        <f t="shared" si="5"/>
        <v>438.68147258687765</v>
      </c>
      <c r="J128" s="5">
        <f t="shared" si="7"/>
        <v>9.2640074364071552</v>
      </c>
      <c r="K128" s="5">
        <f t="shared" si="6"/>
        <v>1158.0009295508944</v>
      </c>
      <c r="L128">
        <v>8</v>
      </c>
    </row>
    <row r="129" spans="1:12" x14ac:dyDescent="0.3">
      <c r="A129" t="s">
        <v>38</v>
      </c>
      <c r="B129" t="s">
        <v>11</v>
      </c>
      <c r="C129" s="5">
        <v>0.89361000000000002</v>
      </c>
      <c r="D129" s="5">
        <v>0.61247410899999999</v>
      </c>
      <c r="E129" s="1">
        <v>6.5</v>
      </c>
      <c r="F129" s="3">
        <v>8.7579617834394909</v>
      </c>
      <c r="G129" s="3">
        <f t="shared" si="8"/>
        <v>60.241527148091237</v>
      </c>
      <c r="H129" s="3">
        <f t="shared" si="9"/>
        <v>17.91376507867809</v>
      </c>
      <c r="I129" s="3">
        <f t="shared" si="5"/>
        <v>2239.2206348347613</v>
      </c>
      <c r="J129" s="5">
        <f t="shared" si="7"/>
        <v>10.730668102154246</v>
      </c>
      <c r="K129" s="5">
        <f t="shared" si="6"/>
        <v>1341.3335127692808</v>
      </c>
      <c r="L129">
        <v>8</v>
      </c>
    </row>
    <row r="130" spans="1:12" x14ac:dyDescent="0.3">
      <c r="A130" t="s">
        <v>38</v>
      </c>
      <c r="B130" t="s">
        <v>11</v>
      </c>
      <c r="C130" s="5">
        <v>0.89361000000000002</v>
      </c>
      <c r="D130" s="5">
        <v>0.61247410899999999</v>
      </c>
      <c r="E130">
        <v>5</v>
      </c>
      <c r="F130" s="3">
        <v>3.121019108280255</v>
      </c>
      <c r="G130" s="3">
        <f t="shared" si="8"/>
        <v>7.65037522949115</v>
      </c>
      <c r="H130" s="3">
        <f t="shared" si="9"/>
        <v>1.8504358940222632</v>
      </c>
      <c r="I130" s="3">
        <f t="shared" ref="I130:I193" si="10">(H130*1000)/L130</f>
        <v>231.30448675278291</v>
      </c>
      <c r="J130" s="5">
        <f t="shared" si="7"/>
        <v>9.1561633047993833</v>
      </c>
      <c r="K130" s="5">
        <f t="shared" ref="K130:K193" si="11">(J130*1000)/L130</f>
        <v>1144.520413099923</v>
      </c>
      <c r="L130">
        <v>8</v>
      </c>
    </row>
    <row r="131" spans="1:12" x14ac:dyDescent="0.3">
      <c r="A131" t="s">
        <v>38</v>
      </c>
      <c r="B131" t="s">
        <v>11</v>
      </c>
      <c r="C131" s="5">
        <v>0.89361000000000002</v>
      </c>
      <c r="D131" s="5">
        <v>0.61247410899999999</v>
      </c>
      <c r="E131" s="1">
        <v>4.5</v>
      </c>
      <c r="F131" s="3">
        <v>3.1847133757961781</v>
      </c>
      <c r="G131" s="3">
        <f t="shared" si="8"/>
        <v>7.9658217716484252</v>
      </c>
      <c r="H131" s="3">
        <f t="shared" si="9"/>
        <v>1.7367665001375754</v>
      </c>
      <c r="I131" s="3">
        <f t="shared" si="10"/>
        <v>217.09581251719692</v>
      </c>
      <c r="J131" s="5">
        <f t="shared" ref="J131:J194" si="12">8.9857 + 0.0035 * F131^2 * E131</f>
        <v>9.1454427887541065</v>
      </c>
      <c r="K131" s="5">
        <f t="shared" si="11"/>
        <v>1143.1803485942633</v>
      </c>
      <c r="L131">
        <v>8</v>
      </c>
    </row>
    <row r="132" spans="1:12" x14ac:dyDescent="0.3">
      <c r="A132" t="s">
        <v>38</v>
      </c>
      <c r="B132" t="s">
        <v>13</v>
      </c>
      <c r="C132" s="5">
        <v>0.45255480399999998</v>
      </c>
      <c r="D132" s="5">
        <v>0.57808694400000005</v>
      </c>
      <c r="E132">
        <v>8</v>
      </c>
      <c r="F132" s="3">
        <v>43.630573248407643</v>
      </c>
      <c r="G132" s="3">
        <f t="shared" ref="G132:G195" si="13">PI()*(F132/2)^2</f>
        <v>1495.1050883206933</v>
      </c>
      <c r="H132" s="3">
        <f t="shared" ref="H132:H195" si="14">0.0673 * ((D132 * F132^2 * E132)^0.976)</f>
        <v>476.43986260351005</v>
      </c>
      <c r="I132" s="3">
        <f t="shared" si="10"/>
        <v>59554.982825438754</v>
      </c>
      <c r="J132" s="5">
        <f t="shared" si="12"/>
        <v>62.287253815570615</v>
      </c>
      <c r="K132" s="5">
        <f t="shared" si="11"/>
        <v>7785.9067269463267</v>
      </c>
      <c r="L132">
        <v>8</v>
      </c>
    </row>
    <row r="133" spans="1:12" x14ac:dyDescent="0.3">
      <c r="A133" t="s">
        <v>38</v>
      </c>
      <c r="B133" t="s">
        <v>13</v>
      </c>
      <c r="C133" s="5">
        <v>0.45255480399999998</v>
      </c>
      <c r="D133" s="5">
        <v>0.57808694400000005</v>
      </c>
      <c r="E133">
        <v>8</v>
      </c>
      <c r="F133" s="3">
        <v>28.980891719745223</v>
      </c>
      <c r="G133" s="3">
        <f t="shared" si="13"/>
        <v>659.64970091020621</v>
      </c>
      <c r="H133" s="3">
        <f t="shared" si="14"/>
        <v>214.37707520620538</v>
      </c>
      <c r="I133" s="3">
        <f t="shared" si="10"/>
        <v>26797.134400775671</v>
      </c>
      <c r="J133" s="5">
        <f t="shared" si="12"/>
        <v>32.502678376404724</v>
      </c>
      <c r="K133" s="5">
        <f t="shared" si="11"/>
        <v>4062.8347970505906</v>
      </c>
      <c r="L133">
        <v>8</v>
      </c>
    </row>
    <row r="134" spans="1:12" x14ac:dyDescent="0.3">
      <c r="A134" t="s">
        <v>38</v>
      </c>
      <c r="B134" t="s">
        <v>15</v>
      </c>
      <c r="C134" s="5">
        <v>0.74387999999999999</v>
      </c>
      <c r="D134" s="5">
        <v>0.59130000000000005</v>
      </c>
      <c r="E134">
        <v>5</v>
      </c>
      <c r="F134" s="3">
        <v>8.7579617834394909</v>
      </c>
      <c r="G134" s="3">
        <f t="shared" si="13"/>
        <v>60.241527148091237</v>
      </c>
      <c r="H134" s="3">
        <f t="shared" si="14"/>
        <v>13.398772822507244</v>
      </c>
      <c r="I134" s="3">
        <f t="shared" si="10"/>
        <v>1674.8466028134055</v>
      </c>
      <c r="J134" s="5">
        <f t="shared" si="12"/>
        <v>10.327983155503265</v>
      </c>
      <c r="K134" s="5">
        <f t="shared" si="11"/>
        <v>1290.9978944379081</v>
      </c>
      <c r="L134">
        <v>8</v>
      </c>
    </row>
    <row r="135" spans="1:12" x14ac:dyDescent="0.3">
      <c r="A135" t="s">
        <v>38</v>
      </c>
      <c r="B135" t="s">
        <v>15</v>
      </c>
      <c r="C135" s="5">
        <v>0.74387999999999999</v>
      </c>
      <c r="D135" s="5">
        <v>0.59130000000000005</v>
      </c>
      <c r="E135" s="1">
        <v>3.5</v>
      </c>
      <c r="F135" s="3">
        <v>6.2101910828025479</v>
      </c>
      <c r="G135" s="3">
        <f t="shared" si="13"/>
        <v>30.290037286693146</v>
      </c>
      <c r="H135" s="3">
        <f t="shared" si="14"/>
        <v>4.8356053984407446</v>
      </c>
      <c r="I135" s="3">
        <f t="shared" si="10"/>
        <v>604.45067480509306</v>
      </c>
      <c r="J135" s="5">
        <f t="shared" si="12"/>
        <v>9.4581392977402725</v>
      </c>
      <c r="K135" s="5">
        <f t="shared" si="11"/>
        <v>1182.267412217534</v>
      </c>
      <c r="L135">
        <v>8</v>
      </c>
    </row>
    <row r="136" spans="1:12" x14ac:dyDescent="0.3">
      <c r="A136" t="s">
        <v>38</v>
      </c>
      <c r="B136" t="s">
        <v>41</v>
      </c>
      <c r="C136" s="5">
        <v>1.1200000000000001</v>
      </c>
      <c r="D136" s="5">
        <v>0.85527777800000004</v>
      </c>
      <c r="E136">
        <v>5</v>
      </c>
      <c r="F136" s="3">
        <v>9.3949044585987256</v>
      </c>
      <c r="G136" s="3">
        <f t="shared" si="13"/>
        <v>69.322563967770421</v>
      </c>
      <c r="H136" s="3">
        <f t="shared" si="14"/>
        <v>22.030903406414829</v>
      </c>
      <c r="I136" s="3">
        <f t="shared" si="10"/>
        <v>2753.8629258018536</v>
      </c>
      <c r="J136" s="5">
        <f t="shared" si="12"/>
        <v>10.530324021258469</v>
      </c>
      <c r="K136" s="5">
        <f t="shared" si="11"/>
        <v>1316.2905026573087</v>
      </c>
      <c r="L136">
        <v>8</v>
      </c>
    </row>
    <row r="137" spans="1:12" x14ac:dyDescent="0.3">
      <c r="A137" t="s">
        <v>38</v>
      </c>
      <c r="B137" t="s">
        <v>28</v>
      </c>
      <c r="C137" s="5">
        <v>0.69835862100000001</v>
      </c>
      <c r="D137" s="5">
        <v>0.69262500000000005</v>
      </c>
      <c r="E137" s="1">
        <v>4.5</v>
      </c>
      <c r="F137" s="3">
        <v>3.0254777070063694</v>
      </c>
      <c r="G137" s="3">
        <f t="shared" si="13"/>
        <v>7.1891541489127055</v>
      </c>
      <c r="H137" s="3">
        <f t="shared" si="14"/>
        <v>1.771684923219784</v>
      </c>
      <c r="I137" s="3">
        <f t="shared" si="10"/>
        <v>221.460615402473</v>
      </c>
      <c r="J137" s="5">
        <f t="shared" si="12"/>
        <v>9.1298678668505815</v>
      </c>
      <c r="K137" s="5">
        <f t="shared" si="11"/>
        <v>1141.2334833563227</v>
      </c>
      <c r="L137">
        <v>8</v>
      </c>
    </row>
    <row r="138" spans="1:12" x14ac:dyDescent="0.3">
      <c r="A138" t="s">
        <v>38</v>
      </c>
      <c r="B138" t="s">
        <v>16</v>
      </c>
      <c r="C138" s="5">
        <v>0.66608171000000005</v>
      </c>
      <c r="D138" s="5">
        <v>0.68661666700000001</v>
      </c>
      <c r="E138">
        <v>7</v>
      </c>
      <c r="F138" s="3">
        <v>11.783439490445859</v>
      </c>
      <c r="G138" s="3">
        <f t="shared" si="13"/>
        <v>109.05210005386697</v>
      </c>
      <c r="H138" s="3">
        <f t="shared" si="14"/>
        <v>38.422625760270186</v>
      </c>
      <c r="I138" s="3">
        <f t="shared" si="10"/>
        <v>4802.8282200337735</v>
      </c>
      <c r="J138" s="5">
        <f t="shared" si="12"/>
        <v>12.387511432512476</v>
      </c>
      <c r="K138" s="5">
        <f t="shared" si="11"/>
        <v>1548.4389290640595</v>
      </c>
      <c r="L138">
        <v>8</v>
      </c>
    </row>
    <row r="139" spans="1:12" x14ac:dyDescent="0.3">
      <c r="A139" t="s">
        <v>38</v>
      </c>
      <c r="B139" t="s">
        <v>16</v>
      </c>
      <c r="C139" s="5">
        <v>0.66608171000000005</v>
      </c>
      <c r="D139" s="5">
        <v>0.68661666700000001</v>
      </c>
      <c r="E139">
        <v>6</v>
      </c>
      <c r="F139" s="3">
        <v>9.2356687898089174</v>
      </c>
      <c r="G139" s="3">
        <f t="shared" si="13"/>
        <v>66.992561099563275</v>
      </c>
      <c r="H139" s="3">
        <f t="shared" si="14"/>
        <v>20.545565557980407</v>
      </c>
      <c r="I139" s="3">
        <f t="shared" si="10"/>
        <v>2568.195694747551</v>
      </c>
      <c r="J139" s="5">
        <f t="shared" si="12"/>
        <v>10.776949137896061</v>
      </c>
      <c r="K139" s="5">
        <f t="shared" si="11"/>
        <v>1347.1186422370076</v>
      </c>
      <c r="L139">
        <v>8</v>
      </c>
    </row>
    <row r="140" spans="1:12" x14ac:dyDescent="0.3">
      <c r="A140" t="s">
        <v>38</v>
      </c>
      <c r="B140" t="s">
        <v>17</v>
      </c>
      <c r="C140" s="5">
        <v>0.43836446099999998</v>
      </c>
      <c r="D140" s="5">
        <v>0.58666666700000003</v>
      </c>
      <c r="E140">
        <v>8</v>
      </c>
      <c r="F140" s="3">
        <v>43.248407643312106</v>
      </c>
      <c r="G140" s="3">
        <f t="shared" si="13"/>
        <v>1469.0281741690251</v>
      </c>
      <c r="H140" s="3">
        <f t="shared" si="14"/>
        <v>475.11045662972577</v>
      </c>
      <c r="I140" s="3">
        <f t="shared" si="10"/>
        <v>59388.807078715719</v>
      </c>
      <c r="J140" s="5">
        <f t="shared" si="12"/>
        <v>61.357593383098717</v>
      </c>
      <c r="K140" s="5">
        <f t="shared" si="11"/>
        <v>7669.69917288734</v>
      </c>
      <c r="L140">
        <v>8</v>
      </c>
    </row>
    <row r="141" spans="1:12" x14ac:dyDescent="0.3">
      <c r="A141" t="s">
        <v>38</v>
      </c>
      <c r="B141" t="s">
        <v>17</v>
      </c>
      <c r="C141" s="5">
        <v>0.43836446099999998</v>
      </c>
      <c r="D141" s="5">
        <v>0.58666666700000003</v>
      </c>
      <c r="E141">
        <v>8</v>
      </c>
      <c r="F141" s="3">
        <v>43.949044585987259</v>
      </c>
      <c r="G141" s="3">
        <f t="shared" si="13"/>
        <v>1517.0110981927262</v>
      </c>
      <c r="H141" s="3">
        <f t="shared" si="14"/>
        <v>490.25069110671899</v>
      </c>
      <c r="I141" s="3">
        <f t="shared" si="10"/>
        <v>61281.336388339871</v>
      </c>
      <c r="J141" s="5">
        <f t="shared" si="12"/>
        <v>63.068218560590694</v>
      </c>
      <c r="K141" s="5">
        <f t="shared" si="11"/>
        <v>7883.5273200738366</v>
      </c>
      <c r="L141">
        <v>8</v>
      </c>
    </row>
    <row r="142" spans="1:12" x14ac:dyDescent="0.3">
      <c r="A142" t="s">
        <v>38</v>
      </c>
      <c r="B142" t="s">
        <v>17</v>
      </c>
      <c r="C142" s="5">
        <v>0.43836446099999998</v>
      </c>
      <c r="D142" s="5">
        <v>0.58666666700000003</v>
      </c>
      <c r="E142">
        <v>8</v>
      </c>
      <c r="F142" s="3">
        <v>32.675159235668787</v>
      </c>
      <c r="G142" s="3">
        <f t="shared" si="13"/>
        <v>838.54293992917769</v>
      </c>
      <c r="H142" s="3">
        <f t="shared" si="14"/>
        <v>274.87414161572303</v>
      </c>
      <c r="I142" s="3">
        <f t="shared" si="10"/>
        <v>34359.267701965378</v>
      </c>
      <c r="J142" s="5">
        <f t="shared" si="12"/>
        <v>38.880348870136714</v>
      </c>
      <c r="K142" s="5">
        <f t="shared" si="11"/>
        <v>4860.0436087670896</v>
      </c>
      <c r="L142">
        <v>8</v>
      </c>
    </row>
    <row r="143" spans="1:12" x14ac:dyDescent="0.3">
      <c r="A143" t="s">
        <v>38</v>
      </c>
      <c r="B143" t="s">
        <v>17</v>
      </c>
      <c r="C143" s="5">
        <v>0.43836446099999998</v>
      </c>
      <c r="D143" s="5">
        <v>0.58666666700000003</v>
      </c>
      <c r="E143" s="1">
        <v>6.5</v>
      </c>
      <c r="F143" s="3">
        <v>14.968152866242038</v>
      </c>
      <c r="G143" s="3">
        <f t="shared" si="13"/>
        <v>175.96500293571373</v>
      </c>
      <c r="H143" s="3">
        <f t="shared" si="14"/>
        <v>48.898649566167919</v>
      </c>
      <c r="I143" s="3">
        <f t="shared" si="10"/>
        <v>6112.3311957709902</v>
      </c>
      <c r="J143" s="5">
        <f t="shared" si="12"/>
        <v>14.082737405168565</v>
      </c>
      <c r="K143" s="5">
        <f t="shared" si="11"/>
        <v>1760.3421756460707</v>
      </c>
      <c r="L143">
        <v>8</v>
      </c>
    </row>
    <row r="144" spans="1:12" x14ac:dyDescent="0.3">
      <c r="A144" t="s">
        <v>38</v>
      </c>
      <c r="B144" t="s">
        <v>42</v>
      </c>
      <c r="C144" s="5">
        <v>0.40238543599999999</v>
      </c>
      <c r="D144" s="5">
        <v>0.40883333300000002</v>
      </c>
      <c r="E144">
        <v>12</v>
      </c>
      <c r="F144" s="3">
        <v>16.242038216560509</v>
      </c>
      <c r="G144" s="3">
        <f t="shared" si="13"/>
        <v>207.19102428057556</v>
      </c>
      <c r="H144" s="3">
        <f t="shared" si="14"/>
        <v>73.339079955438663</v>
      </c>
      <c r="I144" s="3">
        <f t="shared" si="10"/>
        <v>9167.3849944298327</v>
      </c>
      <c r="J144" s="5">
        <f t="shared" si="12"/>
        <v>20.065459827984906</v>
      </c>
      <c r="K144" s="5">
        <f t="shared" si="11"/>
        <v>2508.1824784981131</v>
      </c>
      <c r="L144">
        <v>8</v>
      </c>
    </row>
    <row r="145" spans="1:12" x14ac:dyDescent="0.3">
      <c r="A145" t="s">
        <v>38</v>
      </c>
      <c r="B145" t="s">
        <v>18</v>
      </c>
      <c r="C145" s="5">
        <v>0.76500000000000001</v>
      </c>
      <c r="D145" s="5">
        <v>0.61247410899999999</v>
      </c>
      <c r="E145">
        <v>9</v>
      </c>
      <c r="F145" s="3">
        <v>18.312101910828027</v>
      </c>
      <c r="G145" s="3">
        <f t="shared" si="13"/>
        <v>263.3699823251261</v>
      </c>
      <c r="H145" s="3">
        <f t="shared" si="14"/>
        <v>103.85283157332336</v>
      </c>
      <c r="I145" s="3">
        <f t="shared" si="10"/>
        <v>12981.60394666542</v>
      </c>
      <c r="J145" s="5">
        <f t="shared" si="12"/>
        <v>19.54869190636537</v>
      </c>
      <c r="K145" s="5">
        <f t="shared" si="11"/>
        <v>2443.5864882956712</v>
      </c>
      <c r="L145">
        <v>8</v>
      </c>
    </row>
    <row r="146" spans="1:12" x14ac:dyDescent="0.3">
      <c r="A146" t="s">
        <v>38</v>
      </c>
      <c r="B146" t="s">
        <v>19</v>
      </c>
      <c r="C146" s="5">
        <v>0.41240947999999999</v>
      </c>
      <c r="D146" s="5">
        <v>0.52705000000000002</v>
      </c>
      <c r="E146">
        <v>7</v>
      </c>
      <c r="F146" s="3">
        <v>10.031847133757962</v>
      </c>
      <c r="G146" s="3">
        <f t="shared" si="13"/>
        <v>79.040866529181514</v>
      </c>
      <c r="H146" s="3">
        <f t="shared" si="14"/>
        <v>21.679719222230172</v>
      </c>
      <c r="I146" s="3">
        <f t="shared" si="10"/>
        <v>2709.9649027787714</v>
      </c>
      <c r="J146" s="5">
        <f t="shared" si="12"/>
        <v>11.451329944419651</v>
      </c>
      <c r="K146" s="5">
        <f t="shared" si="11"/>
        <v>1431.4162430524564</v>
      </c>
      <c r="L146">
        <v>8</v>
      </c>
    </row>
    <row r="147" spans="1:12" x14ac:dyDescent="0.3">
      <c r="A147" t="s">
        <v>38</v>
      </c>
      <c r="B147" t="s">
        <v>19</v>
      </c>
      <c r="C147" s="5">
        <v>0.41240947999999999</v>
      </c>
      <c r="D147" s="5">
        <v>0.52705000000000002</v>
      </c>
      <c r="E147" s="1">
        <v>6.5</v>
      </c>
      <c r="F147" s="3">
        <v>8.1210191082802545</v>
      </c>
      <c r="G147" s="3">
        <f t="shared" si="13"/>
        <v>51.79775607014389</v>
      </c>
      <c r="H147" s="3">
        <f t="shared" si="14"/>
        <v>13.350749075854461</v>
      </c>
      <c r="I147" s="3">
        <f t="shared" si="10"/>
        <v>1668.8436344818076</v>
      </c>
      <c r="J147" s="5">
        <f t="shared" si="12"/>
        <v>10.486084143372956</v>
      </c>
      <c r="K147" s="5">
        <f t="shared" si="11"/>
        <v>1310.7605179216196</v>
      </c>
      <c r="L147">
        <v>8</v>
      </c>
    </row>
    <row r="148" spans="1:12" x14ac:dyDescent="0.3">
      <c r="A148" t="s">
        <v>38</v>
      </c>
      <c r="B148" t="s">
        <v>19</v>
      </c>
      <c r="C148" s="5">
        <v>0.41240947999999999</v>
      </c>
      <c r="D148" s="5">
        <v>0.52705000000000002</v>
      </c>
      <c r="E148">
        <v>6</v>
      </c>
      <c r="F148" s="3">
        <v>7.9617834394904454</v>
      </c>
      <c r="G148" s="3">
        <f t="shared" si="13"/>
        <v>49.786386072802657</v>
      </c>
      <c r="H148" s="3">
        <f t="shared" si="14"/>
        <v>11.87928447390674</v>
      </c>
      <c r="I148" s="3">
        <f t="shared" si="10"/>
        <v>1484.9105592383426</v>
      </c>
      <c r="J148" s="5">
        <f t="shared" si="12"/>
        <v>10.31688990628423</v>
      </c>
      <c r="K148" s="5">
        <f t="shared" si="11"/>
        <v>1289.6112382855288</v>
      </c>
      <c r="L148">
        <v>8</v>
      </c>
    </row>
    <row r="149" spans="1:12" x14ac:dyDescent="0.3">
      <c r="A149" t="s">
        <v>38</v>
      </c>
      <c r="B149" t="s">
        <v>19</v>
      </c>
      <c r="C149" s="5">
        <v>0.41240947999999999</v>
      </c>
      <c r="D149" s="5">
        <v>0.52705000000000002</v>
      </c>
      <c r="E149" s="1">
        <v>4.5</v>
      </c>
      <c r="F149" s="3">
        <v>4.2993630573248405</v>
      </c>
      <c r="G149" s="3">
        <f t="shared" si="13"/>
        <v>14.517710178829255</v>
      </c>
      <c r="H149" s="3">
        <f t="shared" si="14"/>
        <v>2.6945279620274487</v>
      </c>
      <c r="I149" s="3">
        <f t="shared" si="10"/>
        <v>336.81599525343108</v>
      </c>
      <c r="J149" s="5">
        <f t="shared" si="12"/>
        <v>9.2768312325043603</v>
      </c>
      <c r="K149" s="5">
        <f t="shared" si="11"/>
        <v>1159.6039040630451</v>
      </c>
      <c r="L149">
        <v>8</v>
      </c>
    </row>
    <row r="150" spans="1:12" x14ac:dyDescent="0.3">
      <c r="A150" t="s">
        <v>43</v>
      </c>
      <c r="B150" t="s">
        <v>9</v>
      </c>
      <c r="C150" s="5">
        <v>0.766138345</v>
      </c>
      <c r="D150" s="5">
        <v>0.90500000000000003</v>
      </c>
      <c r="E150">
        <v>5</v>
      </c>
      <c r="F150" s="3">
        <v>3.5031847133757958</v>
      </c>
      <c r="G150" s="3">
        <f t="shared" si="13"/>
        <v>9.6386443436945939</v>
      </c>
      <c r="H150" s="3">
        <f t="shared" si="14"/>
        <v>3.3938344216908192</v>
      </c>
      <c r="I150" s="3">
        <f t="shared" si="10"/>
        <v>424.22930271135237</v>
      </c>
      <c r="J150" s="5">
        <f t="shared" si="12"/>
        <v>9.2004653048805221</v>
      </c>
      <c r="K150" s="5">
        <f t="shared" si="11"/>
        <v>1150.0581631100652</v>
      </c>
      <c r="L150">
        <v>8</v>
      </c>
    </row>
    <row r="151" spans="1:12" x14ac:dyDescent="0.3">
      <c r="A151" t="s">
        <v>43</v>
      </c>
      <c r="B151" t="s">
        <v>9</v>
      </c>
      <c r="C151" s="5">
        <v>0.766138345</v>
      </c>
      <c r="D151" s="5">
        <v>0.90500000000000003</v>
      </c>
      <c r="E151">
        <v>4</v>
      </c>
      <c r="F151" s="3">
        <v>5.3184713375796173</v>
      </c>
      <c r="G151" s="3">
        <f t="shared" si="13"/>
        <v>22.215880338950296</v>
      </c>
      <c r="H151" s="3">
        <f t="shared" si="14"/>
        <v>6.166667149756714</v>
      </c>
      <c r="I151" s="3">
        <f t="shared" si="10"/>
        <v>770.83339371958925</v>
      </c>
      <c r="J151" s="5">
        <f t="shared" si="12"/>
        <v>9.3817059231611832</v>
      </c>
      <c r="K151" s="5">
        <f t="shared" si="11"/>
        <v>1172.713240395148</v>
      </c>
      <c r="L151">
        <v>8</v>
      </c>
    </row>
    <row r="152" spans="1:12" x14ac:dyDescent="0.3">
      <c r="A152" t="s">
        <v>43</v>
      </c>
      <c r="B152" t="s">
        <v>39</v>
      </c>
      <c r="C152" s="5">
        <v>0.54247040000000002</v>
      </c>
      <c r="D152" s="5">
        <v>0.54247042099999998</v>
      </c>
      <c r="E152">
        <v>3</v>
      </c>
      <c r="F152" s="3">
        <v>4.7770700636942669</v>
      </c>
      <c r="G152" s="3">
        <f t="shared" si="13"/>
        <v>17.923098986208956</v>
      </c>
      <c r="H152" s="3">
        <f t="shared" si="14"/>
        <v>2.2917113232529447</v>
      </c>
      <c r="I152" s="3">
        <f t="shared" si="10"/>
        <v>286.46391540661807</v>
      </c>
      <c r="J152" s="5">
        <f t="shared" si="12"/>
        <v>9.2253141831311609</v>
      </c>
      <c r="K152" s="5">
        <f t="shared" si="11"/>
        <v>1153.1642728913951</v>
      </c>
      <c r="L152">
        <v>8</v>
      </c>
    </row>
    <row r="153" spans="1:12" x14ac:dyDescent="0.3">
      <c r="A153" t="s">
        <v>43</v>
      </c>
      <c r="B153" t="s">
        <v>39</v>
      </c>
      <c r="C153" s="5">
        <v>0.54247040000000002</v>
      </c>
      <c r="D153" s="5">
        <v>0.54247042099999998</v>
      </c>
      <c r="E153" s="1">
        <v>2.2999999999999998</v>
      </c>
      <c r="F153" s="3">
        <v>3.9808917197452227</v>
      </c>
      <c r="G153" s="3">
        <f t="shared" si="13"/>
        <v>12.446596518200664</v>
      </c>
      <c r="H153" s="3">
        <f t="shared" si="14"/>
        <v>1.2387228294635269</v>
      </c>
      <c r="I153" s="3">
        <f t="shared" si="10"/>
        <v>154.84035368294084</v>
      </c>
      <c r="J153" s="5">
        <f t="shared" si="12"/>
        <v>9.1132723660189043</v>
      </c>
      <c r="K153" s="5">
        <f t="shared" si="11"/>
        <v>1139.159045752363</v>
      </c>
      <c r="L153">
        <v>8</v>
      </c>
    </row>
    <row r="154" spans="1:12" x14ac:dyDescent="0.3">
      <c r="A154" t="s">
        <v>43</v>
      </c>
      <c r="B154" t="s">
        <v>11</v>
      </c>
      <c r="C154" s="5">
        <v>0.89361000000000002</v>
      </c>
      <c r="D154" s="5">
        <v>0.61247410899999999</v>
      </c>
      <c r="E154">
        <v>6</v>
      </c>
      <c r="F154" s="3">
        <v>2.7070063694267517</v>
      </c>
      <c r="G154" s="3">
        <f t="shared" si="13"/>
        <v>5.7553062300159885</v>
      </c>
      <c r="H154" s="3">
        <f t="shared" si="14"/>
        <v>1.6745857202004957</v>
      </c>
      <c r="I154" s="3">
        <f t="shared" si="10"/>
        <v>209.32321502506196</v>
      </c>
      <c r="J154" s="5">
        <f t="shared" si="12"/>
        <v>9.1395855531664569</v>
      </c>
      <c r="K154" s="5">
        <f t="shared" si="11"/>
        <v>1142.4481941458071</v>
      </c>
      <c r="L154">
        <v>8</v>
      </c>
    </row>
    <row r="155" spans="1:12" x14ac:dyDescent="0.3">
      <c r="A155" t="s">
        <v>43</v>
      </c>
      <c r="B155" t="s">
        <v>12</v>
      </c>
      <c r="C155" s="5">
        <v>0.708787469</v>
      </c>
      <c r="D155" s="5">
        <v>0.80167708299999996</v>
      </c>
      <c r="E155">
        <v>5</v>
      </c>
      <c r="F155" s="3">
        <v>3.5031847133757958</v>
      </c>
      <c r="G155" s="3">
        <f t="shared" si="13"/>
        <v>9.6386443436945939</v>
      </c>
      <c r="H155" s="3">
        <f t="shared" si="14"/>
        <v>3.015123589312823</v>
      </c>
      <c r="I155" s="3">
        <f t="shared" si="10"/>
        <v>376.89044866410285</v>
      </c>
      <c r="J155" s="5">
        <f t="shared" si="12"/>
        <v>9.2004653048805221</v>
      </c>
      <c r="K155" s="5">
        <f t="shared" si="11"/>
        <v>1150.0581631100652</v>
      </c>
      <c r="L155">
        <v>8</v>
      </c>
    </row>
    <row r="156" spans="1:12" x14ac:dyDescent="0.3">
      <c r="A156" t="s">
        <v>43</v>
      </c>
      <c r="B156" t="s">
        <v>12</v>
      </c>
      <c r="C156" s="5">
        <v>0.708787469</v>
      </c>
      <c r="D156" s="5">
        <v>0.80167708299999996</v>
      </c>
      <c r="E156">
        <v>4</v>
      </c>
      <c r="F156" s="3">
        <v>3.5031847133757958</v>
      </c>
      <c r="G156" s="3">
        <f t="shared" si="13"/>
        <v>9.6386443436945939</v>
      </c>
      <c r="H156" s="3">
        <f t="shared" si="14"/>
        <v>2.4250513871362016</v>
      </c>
      <c r="I156" s="3">
        <f t="shared" si="10"/>
        <v>303.13142339202523</v>
      </c>
      <c r="J156" s="5">
        <f t="shared" si="12"/>
        <v>9.1575122439044172</v>
      </c>
      <c r="K156" s="5">
        <f t="shared" si="11"/>
        <v>1144.6890304880521</v>
      </c>
      <c r="L156">
        <v>8</v>
      </c>
    </row>
    <row r="157" spans="1:12" x14ac:dyDescent="0.3">
      <c r="A157" t="s">
        <v>43</v>
      </c>
      <c r="B157" t="s">
        <v>13</v>
      </c>
      <c r="C157" s="5">
        <v>0.45255480399999998</v>
      </c>
      <c r="D157" s="5">
        <v>0.57808694400000005</v>
      </c>
      <c r="E157">
        <v>9</v>
      </c>
      <c r="F157" s="3">
        <v>57.00636942675159</v>
      </c>
      <c r="G157" s="3">
        <f t="shared" si="13"/>
        <v>2552.3289538538725</v>
      </c>
      <c r="H157" s="3">
        <f t="shared" si="14"/>
        <v>900.78992896006355</v>
      </c>
      <c r="I157" s="3">
        <f t="shared" si="10"/>
        <v>112598.74112000794</v>
      </c>
      <c r="J157" s="5">
        <f t="shared" si="12"/>
        <v>111.35207388940728</v>
      </c>
      <c r="K157" s="5">
        <f t="shared" si="11"/>
        <v>13919.009236175911</v>
      </c>
      <c r="L157">
        <v>8</v>
      </c>
    </row>
    <row r="158" spans="1:12" x14ac:dyDescent="0.3">
      <c r="A158" t="s">
        <v>43</v>
      </c>
      <c r="B158" t="s">
        <v>13</v>
      </c>
      <c r="C158" s="5">
        <v>0.45255480399999998</v>
      </c>
      <c r="D158" s="5">
        <v>0.57808694400000005</v>
      </c>
      <c r="E158">
        <v>9</v>
      </c>
      <c r="F158" s="3">
        <v>25.796178343949045</v>
      </c>
      <c r="G158" s="3">
        <f t="shared" si="13"/>
        <v>522.63756643785325</v>
      </c>
      <c r="H158" s="3">
        <f t="shared" si="14"/>
        <v>191.60955506183683</v>
      </c>
      <c r="I158" s="3">
        <f t="shared" si="10"/>
        <v>23951.194382729605</v>
      </c>
      <c r="J158" s="5">
        <f t="shared" si="12"/>
        <v>29.947148740314006</v>
      </c>
      <c r="K158" s="5">
        <f t="shared" si="11"/>
        <v>3743.3935925392507</v>
      </c>
      <c r="L158">
        <v>8</v>
      </c>
    </row>
    <row r="159" spans="1:12" x14ac:dyDescent="0.3">
      <c r="A159" t="s">
        <v>43</v>
      </c>
      <c r="B159" t="s">
        <v>13</v>
      </c>
      <c r="C159" s="5">
        <v>0.45255480399999998</v>
      </c>
      <c r="D159" s="5">
        <v>0.57808694400000005</v>
      </c>
      <c r="E159" s="1">
        <v>8.5</v>
      </c>
      <c r="F159" s="3">
        <v>19.585987261146496</v>
      </c>
      <c r="G159" s="3">
        <f t="shared" si="13"/>
        <v>301.2872939581726</v>
      </c>
      <c r="H159" s="3">
        <f t="shared" si="14"/>
        <v>105.85486285652358</v>
      </c>
      <c r="I159" s="3">
        <f t="shared" si="10"/>
        <v>13231.857857065448</v>
      </c>
      <c r="J159" s="5">
        <f t="shared" si="12"/>
        <v>20.398124185565337</v>
      </c>
      <c r="K159" s="5">
        <f t="shared" si="11"/>
        <v>2549.7655231956669</v>
      </c>
      <c r="L159">
        <v>8</v>
      </c>
    </row>
    <row r="160" spans="1:12" x14ac:dyDescent="0.3">
      <c r="A160" t="s">
        <v>43</v>
      </c>
      <c r="B160" t="s">
        <v>13</v>
      </c>
      <c r="C160" s="5">
        <v>0.45255480399999998</v>
      </c>
      <c r="D160" s="5">
        <v>0.57808694400000005</v>
      </c>
      <c r="E160">
        <v>8</v>
      </c>
      <c r="F160" s="3">
        <v>48.726114649681527</v>
      </c>
      <c r="G160" s="3">
        <f t="shared" si="13"/>
        <v>1864.7192185251802</v>
      </c>
      <c r="H160" s="3">
        <f t="shared" si="14"/>
        <v>591.08129561168528</v>
      </c>
      <c r="I160" s="3">
        <f t="shared" si="10"/>
        <v>73885.161951460657</v>
      </c>
      <c r="J160" s="5">
        <f t="shared" si="12"/>
        <v>75.464258967909444</v>
      </c>
      <c r="K160" s="5">
        <f t="shared" si="11"/>
        <v>9433.0323709886798</v>
      </c>
      <c r="L160">
        <v>8</v>
      </c>
    </row>
    <row r="161" spans="1:12" x14ac:dyDescent="0.3">
      <c r="A161" t="s">
        <v>43</v>
      </c>
      <c r="B161" t="s">
        <v>13</v>
      </c>
      <c r="C161" s="5">
        <v>0.45255480399999998</v>
      </c>
      <c r="D161" s="5">
        <v>0.57808694400000005</v>
      </c>
      <c r="E161">
        <v>7</v>
      </c>
      <c r="F161" s="3">
        <v>28.821656050955411</v>
      </c>
      <c r="G161" s="3">
        <f t="shared" si="13"/>
        <v>652.42071765243509</v>
      </c>
      <c r="H161" s="3">
        <f t="shared" si="14"/>
        <v>186.16902745179704</v>
      </c>
      <c r="I161" s="3">
        <f t="shared" si="10"/>
        <v>23271.12843147463</v>
      </c>
      <c r="J161" s="5">
        <f t="shared" si="12"/>
        <v>29.337552509229582</v>
      </c>
      <c r="K161" s="5">
        <f t="shared" si="11"/>
        <v>3667.1940636536979</v>
      </c>
      <c r="L161">
        <v>8</v>
      </c>
    </row>
    <row r="162" spans="1:12" x14ac:dyDescent="0.3">
      <c r="A162" t="s">
        <v>43</v>
      </c>
      <c r="B162" t="s">
        <v>13</v>
      </c>
      <c r="C162" s="5">
        <v>0.45255480399999998</v>
      </c>
      <c r="D162" s="5">
        <v>0.57808694400000005</v>
      </c>
      <c r="E162">
        <v>6</v>
      </c>
      <c r="F162" s="3">
        <v>4.6178343949044587</v>
      </c>
      <c r="G162" s="3">
        <f t="shared" si="13"/>
        <v>16.748140274890819</v>
      </c>
      <c r="H162" s="3">
        <f t="shared" si="14"/>
        <v>4.4893108407143938</v>
      </c>
      <c r="I162" s="3">
        <f t="shared" si="10"/>
        <v>561.1638550892992</v>
      </c>
      <c r="J162" s="5">
        <f t="shared" si="12"/>
        <v>9.4335122844740145</v>
      </c>
      <c r="K162" s="5">
        <f t="shared" si="11"/>
        <v>1179.1890355592518</v>
      </c>
      <c r="L162">
        <v>8</v>
      </c>
    </row>
    <row r="163" spans="1:12" x14ac:dyDescent="0.3">
      <c r="A163" t="s">
        <v>43</v>
      </c>
      <c r="B163" t="s">
        <v>13</v>
      </c>
      <c r="C163" s="5">
        <v>0.45255480399999998</v>
      </c>
      <c r="D163" s="5">
        <v>0.57808694400000005</v>
      </c>
      <c r="E163">
        <v>6</v>
      </c>
      <c r="F163" s="3">
        <v>33.375796178343947</v>
      </c>
      <c r="G163" s="3">
        <f t="shared" si="13"/>
        <v>874.88939150885528</v>
      </c>
      <c r="H163" s="3">
        <f t="shared" si="14"/>
        <v>213.27235298154449</v>
      </c>
      <c r="I163" s="3">
        <f t="shared" si="10"/>
        <v>26659.04412269306</v>
      </c>
      <c r="J163" s="5">
        <f t="shared" si="12"/>
        <v>32.378519181305528</v>
      </c>
      <c r="K163" s="5">
        <f t="shared" si="11"/>
        <v>4047.314897663191</v>
      </c>
      <c r="L163">
        <v>8</v>
      </c>
    </row>
    <row r="164" spans="1:12" x14ac:dyDescent="0.3">
      <c r="A164" t="s">
        <v>43</v>
      </c>
      <c r="B164" t="s">
        <v>13</v>
      </c>
      <c r="C164" s="5">
        <v>0.45255480399999998</v>
      </c>
      <c r="D164" s="5">
        <v>0.57808694400000005</v>
      </c>
      <c r="E164">
        <v>5</v>
      </c>
      <c r="F164" s="3">
        <v>15.923566878980891</v>
      </c>
      <c r="G164" s="3">
        <f t="shared" si="13"/>
        <v>199.14554429121063</v>
      </c>
      <c r="H164" s="3">
        <f t="shared" si="14"/>
        <v>42.10153100184003</v>
      </c>
      <c r="I164" s="3">
        <f t="shared" si="10"/>
        <v>5262.6913752300034</v>
      </c>
      <c r="J164" s="5">
        <f t="shared" si="12"/>
        <v>13.422999687614102</v>
      </c>
      <c r="K164" s="5">
        <f t="shared" si="11"/>
        <v>1677.8749609517627</v>
      </c>
      <c r="L164">
        <v>8</v>
      </c>
    </row>
    <row r="165" spans="1:12" x14ac:dyDescent="0.3">
      <c r="A165" t="s">
        <v>43</v>
      </c>
      <c r="B165" t="s">
        <v>25</v>
      </c>
      <c r="C165" s="5">
        <v>0.372</v>
      </c>
      <c r="D165" s="5">
        <v>0.73247777800000002</v>
      </c>
      <c r="E165">
        <v>5</v>
      </c>
      <c r="F165" s="3">
        <v>6.8471337579617835</v>
      </c>
      <c r="G165" s="3">
        <f t="shared" si="13"/>
        <v>36.822011139444854</v>
      </c>
      <c r="H165" s="3">
        <f t="shared" si="14"/>
        <v>10.213212681919188</v>
      </c>
      <c r="I165" s="3">
        <f t="shared" si="10"/>
        <v>1276.6515852398986</v>
      </c>
      <c r="J165" s="5">
        <f t="shared" si="12"/>
        <v>9.8061567122398472</v>
      </c>
      <c r="K165" s="5">
        <f t="shared" si="11"/>
        <v>1225.7695890299808</v>
      </c>
      <c r="L165">
        <v>8</v>
      </c>
    </row>
    <row r="166" spans="1:12" x14ac:dyDescent="0.3">
      <c r="A166" t="s">
        <v>43</v>
      </c>
      <c r="B166" t="s">
        <v>25</v>
      </c>
      <c r="C166" s="5">
        <v>0.372</v>
      </c>
      <c r="D166" s="5">
        <v>0.73247777800000002</v>
      </c>
      <c r="E166">
        <v>5</v>
      </c>
      <c r="F166" s="3">
        <v>12.420382165605096</v>
      </c>
      <c r="G166" s="3">
        <f t="shared" si="13"/>
        <v>121.16014914677258</v>
      </c>
      <c r="H166" s="3">
        <f t="shared" si="14"/>
        <v>32.658829464642665</v>
      </c>
      <c r="I166" s="3">
        <f t="shared" si="10"/>
        <v>4082.3536830803332</v>
      </c>
      <c r="J166" s="5">
        <f t="shared" si="12"/>
        <v>11.685353129944419</v>
      </c>
      <c r="K166" s="5">
        <f t="shared" si="11"/>
        <v>1460.6691412430523</v>
      </c>
      <c r="L166">
        <v>8</v>
      </c>
    </row>
    <row r="167" spans="1:12" x14ac:dyDescent="0.3">
      <c r="A167" t="s">
        <v>43</v>
      </c>
      <c r="B167" t="s">
        <v>15</v>
      </c>
      <c r="C167" s="5">
        <v>0.74387999999999999</v>
      </c>
      <c r="D167" s="5">
        <v>0.59130000000000005</v>
      </c>
      <c r="E167">
        <v>10</v>
      </c>
      <c r="F167" s="3">
        <v>7.3248407643312099</v>
      </c>
      <c r="G167" s="3">
        <f t="shared" si="13"/>
        <v>42.139197172020175</v>
      </c>
      <c r="H167" s="3">
        <f t="shared" si="14"/>
        <v>18.594547618451539</v>
      </c>
      <c r="I167" s="3">
        <f t="shared" si="10"/>
        <v>2324.3184523064424</v>
      </c>
      <c r="J167" s="5">
        <f t="shared" si="12"/>
        <v>10.863565227798288</v>
      </c>
      <c r="K167" s="5">
        <f t="shared" si="11"/>
        <v>1357.945653474786</v>
      </c>
      <c r="L167">
        <v>8</v>
      </c>
    </row>
    <row r="168" spans="1:12" x14ac:dyDescent="0.3">
      <c r="A168" t="s">
        <v>43</v>
      </c>
      <c r="B168" t="s">
        <v>15</v>
      </c>
      <c r="C168" s="5">
        <v>0.74387999999999999</v>
      </c>
      <c r="D168" s="5">
        <v>0.59130000000000005</v>
      </c>
      <c r="E168" s="1">
        <v>8.5</v>
      </c>
      <c r="F168" s="3">
        <v>5.4140127388535033</v>
      </c>
      <c r="G168" s="3">
        <f t="shared" si="13"/>
        <v>23.021224920063954</v>
      </c>
      <c r="H168" s="3">
        <f t="shared" si="14"/>
        <v>8.7951256258393773</v>
      </c>
      <c r="I168" s="3">
        <f t="shared" si="10"/>
        <v>1099.3907032299221</v>
      </c>
      <c r="J168" s="5">
        <f t="shared" si="12"/>
        <v>9.8577181346099234</v>
      </c>
      <c r="K168" s="5">
        <f t="shared" si="11"/>
        <v>1232.2147668262405</v>
      </c>
      <c r="L168">
        <v>8</v>
      </c>
    </row>
    <row r="169" spans="1:12" x14ac:dyDescent="0.3">
      <c r="A169" t="s">
        <v>43</v>
      </c>
      <c r="B169" t="s">
        <v>15</v>
      </c>
      <c r="C169" s="5">
        <v>0.74387999999999999</v>
      </c>
      <c r="D169" s="5">
        <v>0.59130000000000005</v>
      </c>
      <c r="E169">
        <v>7</v>
      </c>
      <c r="F169" s="3">
        <v>3.5668789808917194</v>
      </c>
      <c r="G169" s="3">
        <f t="shared" si="13"/>
        <v>9.9923268303557844</v>
      </c>
      <c r="H169" s="3">
        <f t="shared" si="14"/>
        <v>3.2224200301020121</v>
      </c>
      <c r="I169" s="3">
        <f t="shared" si="10"/>
        <v>402.80250376275148</v>
      </c>
      <c r="J169" s="5">
        <f t="shared" si="12"/>
        <v>9.2974043287760146</v>
      </c>
      <c r="K169" s="5">
        <f t="shared" si="11"/>
        <v>1162.1755410970018</v>
      </c>
      <c r="L169">
        <v>8</v>
      </c>
    </row>
    <row r="170" spans="1:12" x14ac:dyDescent="0.3">
      <c r="A170" t="s">
        <v>43</v>
      </c>
      <c r="B170" t="s">
        <v>15</v>
      </c>
      <c r="C170" s="5">
        <v>0.74387999999999999</v>
      </c>
      <c r="D170" s="5">
        <v>0.59130000000000005</v>
      </c>
      <c r="E170">
        <v>5</v>
      </c>
      <c r="F170" s="3">
        <v>3.6624203821656049</v>
      </c>
      <c r="G170" s="3">
        <f t="shared" si="13"/>
        <v>10.534799293005044</v>
      </c>
      <c r="H170" s="3">
        <f t="shared" si="14"/>
        <v>2.4432605891571972</v>
      </c>
      <c r="I170" s="3">
        <f t="shared" si="10"/>
        <v>305.40757364464963</v>
      </c>
      <c r="J170" s="5">
        <f t="shared" si="12"/>
        <v>9.2204331534747848</v>
      </c>
      <c r="K170" s="5">
        <f t="shared" si="11"/>
        <v>1152.5541441843482</v>
      </c>
      <c r="L170">
        <v>8</v>
      </c>
    </row>
    <row r="171" spans="1:12" x14ac:dyDescent="0.3">
      <c r="A171" t="s">
        <v>43</v>
      </c>
      <c r="B171" t="s">
        <v>22</v>
      </c>
      <c r="C171" s="5">
        <v>0.50857142899999996</v>
      </c>
      <c r="D171" s="5">
        <v>0.49666666700000001</v>
      </c>
      <c r="E171">
        <v>10</v>
      </c>
      <c r="F171" s="3">
        <v>10.668789808917197</v>
      </c>
      <c r="G171" s="3">
        <f t="shared" si="13"/>
        <v>89.396434832324445</v>
      </c>
      <c r="H171" s="3">
        <f t="shared" si="14"/>
        <v>32.677987940821822</v>
      </c>
      <c r="I171" s="3">
        <f t="shared" si="10"/>
        <v>4084.7484926027278</v>
      </c>
      <c r="J171" s="5">
        <f t="shared" si="12"/>
        <v>12.969507659539939</v>
      </c>
      <c r="K171" s="5">
        <f t="shared" si="11"/>
        <v>1621.1884574424923</v>
      </c>
      <c r="L171">
        <v>8</v>
      </c>
    </row>
    <row r="172" spans="1:12" x14ac:dyDescent="0.3">
      <c r="A172" t="s">
        <v>43</v>
      </c>
      <c r="B172" t="s">
        <v>22</v>
      </c>
      <c r="C172" s="5">
        <v>0.50857142899999996</v>
      </c>
      <c r="D172" s="5">
        <v>0.49666666700000001</v>
      </c>
      <c r="E172">
        <v>9</v>
      </c>
      <c r="F172" s="3">
        <v>13.375796178343949</v>
      </c>
      <c r="G172" s="3">
        <f t="shared" si="13"/>
        <v>140.51709605187824</v>
      </c>
      <c r="H172" s="3">
        <f t="shared" si="14"/>
        <v>45.844912577572472</v>
      </c>
      <c r="I172" s="3">
        <f t="shared" si="10"/>
        <v>5730.6140721965594</v>
      </c>
      <c r="J172" s="5">
        <f t="shared" si="12"/>
        <v>14.621425587244918</v>
      </c>
      <c r="K172" s="5">
        <f t="shared" si="11"/>
        <v>1827.6781984056147</v>
      </c>
      <c r="L172">
        <v>8</v>
      </c>
    </row>
    <row r="173" spans="1:12" x14ac:dyDescent="0.3">
      <c r="A173" t="s">
        <v>43</v>
      </c>
      <c r="B173" t="s">
        <v>17</v>
      </c>
      <c r="C173" s="5">
        <v>0.43836446099999998</v>
      </c>
      <c r="D173" s="5">
        <v>0.58666666700000003</v>
      </c>
      <c r="E173">
        <v>7</v>
      </c>
      <c r="F173" s="3">
        <v>12.579617834394904</v>
      </c>
      <c r="G173" s="3">
        <f t="shared" si="13"/>
        <v>124.28673419214456</v>
      </c>
      <c r="H173" s="3">
        <f t="shared" si="14"/>
        <v>37.439636912494116</v>
      </c>
      <c r="I173" s="3">
        <f t="shared" si="10"/>
        <v>4679.9546140617649</v>
      </c>
      <c r="J173" s="5">
        <f t="shared" si="12"/>
        <v>12.862746229055944</v>
      </c>
      <c r="K173" s="5">
        <f t="shared" si="11"/>
        <v>1607.8432786319929</v>
      </c>
      <c r="L173">
        <v>8</v>
      </c>
    </row>
    <row r="174" spans="1:12" x14ac:dyDescent="0.3">
      <c r="A174" t="s">
        <v>43</v>
      </c>
      <c r="B174" t="s">
        <v>17</v>
      </c>
      <c r="C174" s="5">
        <v>0.43836446099999998</v>
      </c>
      <c r="D174" s="5">
        <v>0.58666666700000003</v>
      </c>
      <c r="E174">
        <v>6</v>
      </c>
      <c r="F174" s="3">
        <v>14.808917197452228</v>
      </c>
      <c r="G174" s="3">
        <f t="shared" si="13"/>
        <v>172.24098125746809</v>
      </c>
      <c r="H174" s="3">
        <f t="shared" si="14"/>
        <v>44.28964456909771</v>
      </c>
      <c r="I174" s="3">
        <f t="shared" si="10"/>
        <v>5536.2055711372141</v>
      </c>
      <c r="J174" s="5">
        <f t="shared" si="12"/>
        <v>13.591084599780924</v>
      </c>
      <c r="K174" s="5">
        <f t="shared" si="11"/>
        <v>1698.8855749726156</v>
      </c>
      <c r="L174">
        <v>8</v>
      </c>
    </row>
    <row r="175" spans="1:12" x14ac:dyDescent="0.3">
      <c r="A175" t="s">
        <v>43</v>
      </c>
      <c r="B175" t="s">
        <v>17</v>
      </c>
      <c r="C175" s="5">
        <v>0.43836446099999998</v>
      </c>
      <c r="D175" s="5">
        <v>0.58666666700000003</v>
      </c>
      <c r="E175">
        <v>6</v>
      </c>
      <c r="F175" s="3">
        <v>12.929936305732484</v>
      </c>
      <c r="G175" s="3">
        <f t="shared" si="13"/>
        <v>131.30541975514402</v>
      </c>
      <c r="H175" s="3">
        <f t="shared" si="14"/>
        <v>33.984184161053456</v>
      </c>
      <c r="I175" s="3">
        <f t="shared" si="10"/>
        <v>4248.0230201316817</v>
      </c>
      <c r="J175" s="5">
        <f t="shared" si="12"/>
        <v>12.496548310276278</v>
      </c>
      <c r="K175" s="5">
        <f t="shared" si="11"/>
        <v>1562.0685387845347</v>
      </c>
      <c r="L175">
        <v>8</v>
      </c>
    </row>
    <row r="176" spans="1:12" x14ac:dyDescent="0.3">
      <c r="A176" t="s">
        <v>43</v>
      </c>
      <c r="B176" t="s">
        <v>17</v>
      </c>
      <c r="C176" s="5">
        <v>0.43836446099999998</v>
      </c>
      <c r="D176" s="5">
        <v>0.58666666700000003</v>
      </c>
      <c r="E176" s="1">
        <v>5.5</v>
      </c>
      <c r="F176" s="3">
        <v>3.121019108280255</v>
      </c>
      <c r="G176" s="3">
        <f t="shared" si="13"/>
        <v>7.65037522949115</v>
      </c>
      <c r="H176" s="3">
        <f t="shared" si="14"/>
        <v>1.9472678577646125</v>
      </c>
      <c r="I176" s="3">
        <f t="shared" si="10"/>
        <v>243.40848222057656</v>
      </c>
      <c r="J176" s="5">
        <f t="shared" si="12"/>
        <v>9.1732096352793207</v>
      </c>
      <c r="K176" s="5">
        <f t="shared" si="11"/>
        <v>1146.6512044099152</v>
      </c>
      <c r="L176">
        <v>8</v>
      </c>
    </row>
    <row r="177" spans="1:12" x14ac:dyDescent="0.3">
      <c r="A177" t="s">
        <v>43</v>
      </c>
      <c r="B177" t="s">
        <v>17</v>
      </c>
      <c r="C177" s="5">
        <v>0.43836446099999998</v>
      </c>
      <c r="D177" s="5">
        <v>0.58666666700000003</v>
      </c>
      <c r="E177" s="1">
        <v>4.5</v>
      </c>
      <c r="F177" s="3">
        <v>8.2802547770700627</v>
      </c>
      <c r="G177" s="3">
        <f t="shared" si="13"/>
        <v>53.848955176343352</v>
      </c>
      <c r="H177" s="3">
        <f t="shared" si="14"/>
        <v>10.752805724453451</v>
      </c>
      <c r="I177" s="3">
        <f t="shared" si="10"/>
        <v>1344.1007155566813</v>
      </c>
      <c r="J177" s="5">
        <f t="shared" si="12"/>
        <v>10.065561251977767</v>
      </c>
      <c r="K177" s="5">
        <f t="shared" si="11"/>
        <v>1258.195156497221</v>
      </c>
      <c r="L177">
        <v>8</v>
      </c>
    </row>
    <row r="178" spans="1:12" x14ac:dyDescent="0.3">
      <c r="A178" t="s">
        <v>43</v>
      </c>
      <c r="B178" t="s">
        <v>42</v>
      </c>
      <c r="C178" s="5">
        <v>0.40238543599999999</v>
      </c>
      <c r="D178" s="5">
        <v>0.40883333300000002</v>
      </c>
      <c r="E178">
        <v>8</v>
      </c>
      <c r="F178" s="3">
        <v>13.694267515923567</v>
      </c>
      <c r="G178" s="3">
        <f t="shared" si="13"/>
        <v>147.28804455777941</v>
      </c>
      <c r="H178" s="3">
        <f t="shared" si="14"/>
        <v>35.385377254141616</v>
      </c>
      <c r="I178" s="3">
        <f t="shared" si="10"/>
        <v>4423.1721567677023</v>
      </c>
      <c r="J178" s="5">
        <f t="shared" si="12"/>
        <v>14.236622958335023</v>
      </c>
      <c r="K178" s="5">
        <f t="shared" si="11"/>
        <v>1779.5778697918779</v>
      </c>
      <c r="L178">
        <v>8</v>
      </c>
    </row>
    <row r="179" spans="1:12" x14ac:dyDescent="0.3">
      <c r="A179" t="s">
        <v>43</v>
      </c>
      <c r="B179" t="s">
        <v>18</v>
      </c>
      <c r="C179" s="5">
        <v>0.76500000000000001</v>
      </c>
      <c r="D179" s="5">
        <v>0.61247410899999999</v>
      </c>
      <c r="E179">
        <v>8</v>
      </c>
      <c r="F179" s="3">
        <v>18.630573248407643</v>
      </c>
      <c r="G179" s="3">
        <f t="shared" si="13"/>
        <v>272.61033558023826</v>
      </c>
      <c r="H179" s="3">
        <f t="shared" si="14"/>
        <v>95.743676040240118</v>
      </c>
      <c r="I179" s="3">
        <f t="shared" si="10"/>
        <v>11967.959505030014</v>
      </c>
      <c r="J179" s="5">
        <f t="shared" si="12"/>
        <v>18.704451267799911</v>
      </c>
      <c r="K179" s="5">
        <f t="shared" si="11"/>
        <v>2338.056408474989</v>
      </c>
      <c r="L179">
        <v>8</v>
      </c>
    </row>
    <row r="180" spans="1:12" x14ac:dyDescent="0.3">
      <c r="A180" t="s">
        <v>43</v>
      </c>
      <c r="B180" t="s">
        <v>44</v>
      </c>
      <c r="C180" s="5">
        <v>0.57917600000000002</v>
      </c>
      <c r="D180" s="5">
        <v>0.60285714300000004</v>
      </c>
      <c r="E180">
        <v>6</v>
      </c>
      <c r="F180" s="3">
        <v>10.350318471337578</v>
      </c>
      <c r="G180" s="3">
        <f t="shared" si="13"/>
        <v>84.138992463036487</v>
      </c>
      <c r="H180" s="3">
        <f t="shared" si="14"/>
        <v>22.603182801842905</v>
      </c>
      <c r="I180" s="3">
        <f t="shared" si="10"/>
        <v>2825.397850230363</v>
      </c>
      <c r="J180" s="5">
        <f t="shared" si="12"/>
        <v>11.23541094162035</v>
      </c>
      <c r="K180" s="5">
        <f t="shared" si="11"/>
        <v>1404.4263677025438</v>
      </c>
      <c r="L180">
        <v>8</v>
      </c>
    </row>
    <row r="181" spans="1:12" x14ac:dyDescent="0.3">
      <c r="A181" t="s">
        <v>43</v>
      </c>
      <c r="B181" t="s">
        <v>19</v>
      </c>
      <c r="C181" s="5">
        <v>0.41240947999999999</v>
      </c>
      <c r="D181" s="5">
        <v>0.52705000000000002</v>
      </c>
      <c r="E181">
        <v>7</v>
      </c>
      <c r="F181" s="3">
        <v>8.4394904458598727</v>
      </c>
      <c r="G181" s="3">
        <f t="shared" si="13"/>
        <v>55.939983391401071</v>
      </c>
      <c r="H181" s="3">
        <f t="shared" si="14"/>
        <v>15.471321043351168</v>
      </c>
      <c r="I181" s="3">
        <f t="shared" si="10"/>
        <v>1933.9151304188958</v>
      </c>
      <c r="J181" s="5">
        <f t="shared" si="12"/>
        <v>10.730712475151121</v>
      </c>
      <c r="K181" s="5">
        <f t="shared" si="11"/>
        <v>1341.33905939389</v>
      </c>
      <c r="L181">
        <v>8</v>
      </c>
    </row>
    <row r="182" spans="1:12" x14ac:dyDescent="0.3">
      <c r="A182" t="s">
        <v>43</v>
      </c>
      <c r="B182" t="s">
        <v>19</v>
      </c>
      <c r="C182" s="5">
        <v>0.41240947999999999</v>
      </c>
      <c r="D182" s="5">
        <v>0.52705000000000002</v>
      </c>
      <c r="E182">
        <v>6</v>
      </c>
      <c r="F182" s="3">
        <v>4.6815286624203818</v>
      </c>
      <c r="G182" s="3">
        <f t="shared" si="13"/>
        <v>17.213344266355083</v>
      </c>
      <c r="H182" s="3">
        <f t="shared" si="14"/>
        <v>4.2132266544569523</v>
      </c>
      <c r="I182" s="3">
        <f t="shared" si="10"/>
        <v>526.653331807119</v>
      </c>
      <c r="J182" s="5">
        <f t="shared" si="12"/>
        <v>9.4459509229583354</v>
      </c>
      <c r="K182" s="5">
        <f t="shared" si="11"/>
        <v>1180.7438653697918</v>
      </c>
      <c r="L182">
        <v>8</v>
      </c>
    </row>
    <row r="183" spans="1:12" x14ac:dyDescent="0.3">
      <c r="A183" t="s">
        <v>43</v>
      </c>
      <c r="B183" t="s">
        <v>19</v>
      </c>
      <c r="C183" s="5">
        <v>0.41240947999999999</v>
      </c>
      <c r="D183" s="5">
        <v>0.52705000000000002</v>
      </c>
      <c r="E183">
        <v>6</v>
      </c>
      <c r="F183" s="3">
        <v>3.7898089171974521</v>
      </c>
      <c r="G183" s="3">
        <f t="shared" si="13"/>
        <v>11.280400210831337</v>
      </c>
      <c r="H183" s="3">
        <f t="shared" si="14"/>
        <v>2.7891961318658836</v>
      </c>
      <c r="I183" s="3">
        <f t="shared" si="10"/>
        <v>348.64951648323546</v>
      </c>
      <c r="J183" s="5">
        <f t="shared" si="12"/>
        <v>9.2873156842062556</v>
      </c>
      <c r="K183" s="5">
        <f t="shared" si="11"/>
        <v>1160.914460525782</v>
      </c>
      <c r="L183">
        <v>8</v>
      </c>
    </row>
    <row r="184" spans="1:12" x14ac:dyDescent="0.3">
      <c r="A184" t="s">
        <v>43</v>
      </c>
      <c r="B184" t="s">
        <v>19</v>
      </c>
      <c r="C184" s="5">
        <v>0.41240947999999999</v>
      </c>
      <c r="D184" s="5">
        <v>0.52705000000000002</v>
      </c>
      <c r="E184">
        <v>5</v>
      </c>
      <c r="F184" s="3">
        <v>4.936305732484076</v>
      </c>
      <c r="G184" s="3">
        <f t="shared" si="13"/>
        <v>19.137886806385342</v>
      </c>
      <c r="H184" s="3">
        <f t="shared" si="14"/>
        <v>3.9107311827681963</v>
      </c>
      <c r="I184" s="3">
        <f t="shared" si="10"/>
        <v>488.84139784602456</v>
      </c>
      <c r="J184" s="5">
        <f t="shared" si="12"/>
        <v>9.4121244999797149</v>
      </c>
      <c r="K184" s="5">
        <f t="shared" si="11"/>
        <v>1176.5155624974643</v>
      </c>
      <c r="L184">
        <v>8</v>
      </c>
    </row>
    <row r="185" spans="1:12" x14ac:dyDescent="0.3">
      <c r="A185" t="s">
        <v>45</v>
      </c>
      <c r="B185" t="s">
        <v>46</v>
      </c>
      <c r="C185" s="5">
        <v>0.40257753800000001</v>
      </c>
      <c r="D185" s="5">
        <v>0.40843333300000001</v>
      </c>
      <c r="E185">
        <v>7</v>
      </c>
      <c r="F185" s="5">
        <v>14.490445859872612</v>
      </c>
      <c r="G185" s="3">
        <f t="shared" si="13"/>
        <v>164.91242522755155</v>
      </c>
      <c r="H185" s="3">
        <f t="shared" si="14"/>
        <v>34.651065596872719</v>
      </c>
      <c r="I185" s="3">
        <f t="shared" si="10"/>
        <v>8662.7663992181806</v>
      </c>
      <c r="J185" s="5">
        <f t="shared" si="12"/>
        <v>14.130039019838533</v>
      </c>
      <c r="K185" s="5">
        <f t="shared" si="11"/>
        <v>3532.509754959633</v>
      </c>
      <c r="L185">
        <v>4</v>
      </c>
    </row>
    <row r="186" spans="1:12" x14ac:dyDescent="0.3">
      <c r="A186" t="s">
        <v>45</v>
      </c>
      <c r="B186" t="s">
        <v>46</v>
      </c>
      <c r="C186" s="5">
        <v>0.40257753800000001</v>
      </c>
      <c r="D186" s="5">
        <v>0.40843333300000001</v>
      </c>
      <c r="E186">
        <v>7</v>
      </c>
      <c r="F186" s="5">
        <v>8.7898089171974529</v>
      </c>
      <c r="G186" s="3">
        <f t="shared" si="13"/>
        <v>60.680443927709064</v>
      </c>
      <c r="H186" s="3">
        <f t="shared" si="14"/>
        <v>13.05969025389218</v>
      </c>
      <c r="I186" s="3">
        <f t="shared" si="10"/>
        <v>3264.9225634730451</v>
      </c>
      <c r="J186" s="5">
        <f t="shared" si="12"/>
        <v>10.878588149620674</v>
      </c>
      <c r="K186" s="5">
        <f t="shared" si="11"/>
        <v>2719.6470374051682</v>
      </c>
      <c r="L186">
        <v>4</v>
      </c>
    </row>
    <row r="187" spans="1:12" x14ac:dyDescent="0.3">
      <c r="A187" t="s">
        <v>45</v>
      </c>
      <c r="B187" t="s">
        <v>21</v>
      </c>
      <c r="C187" s="5">
        <v>0.80908761900000004</v>
      </c>
      <c r="D187" s="5">
        <v>0.87473809499999999</v>
      </c>
      <c r="E187">
        <v>8</v>
      </c>
      <c r="F187" s="5">
        <v>22.643312101910826</v>
      </c>
      <c r="G187" s="3">
        <f t="shared" si="13"/>
        <v>402.68901878254832</v>
      </c>
      <c r="H187" s="3">
        <f t="shared" si="14"/>
        <v>198.4022745208932</v>
      </c>
      <c r="I187" s="3">
        <f t="shared" si="10"/>
        <v>49600.568630223301</v>
      </c>
      <c r="J187" s="5">
        <f t="shared" si="12"/>
        <v>23.341848322447156</v>
      </c>
      <c r="K187" s="5">
        <f t="shared" si="11"/>
        <v>5835.4620806117891</v>
      </c>
      <c r="L187">
        <v>4</v>
      </c>
    </row>
    <row r="188" spans="1:12" x14ac:dyDescent="0.3">
      <c r="A188" t="s">
        <v>45</v>
      </c>
      <c r="B188" t="s">
        <v>47</v>
      </c>
      <c r="C188" s="5">
        <v>0.78445916699999996</v>
      </c>
      <c r="D188" s="5">
        <v>0.87841666699999998</v>
      </c>
      <c r="E188" s="1">
        <v>3.5</v>
      </c>
      <c r="F188" s="5">
        <v>3.7579617834394905</v>
      </c>
      <c r="G188" s="3">
        <f t="shared" si="13"/>
        <v>11.091610234843269</v>
      </c>
      <c r="H188" s="3">
        <f t="shared" si="14"/>
        <v>2.6692191658454902</v>
      </c>
      <c r="I188" s="3">
        <f t="shared" si="10"/>
        <v>667.30479146137259</v>
      </c>
      <c r="J188" s="5">
        <f t="shared" si="12"/>
        <v>9.1586978903809477</v>
      </c>
      <c r="K188" s="5">
        <f t="shared" si="11"/>
        <v>2289.6744725952371</v>
      </c>
      <c r="L188">
        <v>4</v>
      </c>
    </row>
    <row r="189" spans="1:12" x14ac:dyDescent="0.3">
      <c r="A189" t="s">
        <v>45</v>
      </c>
      <c r="B189" t="s">
        <v>48</v>
      </c>
      <c r="C189" s="5">
        <v>0.63206279899999995</v>
      </c>
      <c r="D189" s="5">
        <v>0.75690909100000003</v>
      </c>
      <c r="E189">
        <v>3</v>
      </c>
      <c r="F189" s="5">
        <v>3.7261146496815285</v>
      </c>
      <c r="G189" s="3">
        <f t="shared" si="13"/>
        <v>10.904413423209531</v>
      </c>
      <c r="H189" s="3">
        <f t="shared" si="14"/>
        <v>1.9530987859003874</v>
      </c>
      <c r="I189" s="3">
        <f t="shared" si="10"/>
        <v>488.27469647509685</v>
      </c>
      <c r="J189" s="5">
        <f t="shared" si="12"/>
        <v>9.131481269016998</v>
      </c>
      <c r="K189" s="5">
        <f t="shared" si="11"/>
        <v>2282.8703172542496</v>
      </c>
      <c r="L189">
        <v>4</v>
      </c>
    </row>
    <row r="190" spans="1:12" x14ac:dyDescent="0.3">
      <c r="A190" t="s">
        <v>45</v>
      </c>
      <c r="B190" t="s">
        <v>49</v>
      </c>
      <c r="C190" s="5">
        <v>0.53</v>
      </c>
      <c r="D190" s="5">
        <v>0.54764999999999997</v>
      </c>
      <c r="E190">
        <v>5</v>
      </c>
      <c r="F190" s="5">
        <v>24.331210191082803</v>
      </c>
      <c r="G190" s="3">
        <f t="shared" si="13"/>
        <v>464.96183048241005</v>
      </c>
      <c r="H190" s="3">
        <f t="shared" si="14"/>
        <v>91.365107417244872</v>
      </c>
      <c r="I190" s="3">
        <f t="shared" si="10"/>
        <v>22841.276854311218</v>
      </c>
      <c r="J190" s="5">
        <f t="shared" si="12"/>
        <v>19.345836313846405</v>
      </c>
      <c r="K190" s="5">
        <f t="shared" si="11"/>
        <v>4836.4590784616012</v>
      </c>
      <c r="L190">
        <v>4</v>
      </c>
    </row>
    <row r="191" spans="1:12" x14ac:dyDescent="0.3">
      <c r="A191" t="s">
        <v>45</v>
      </c>
      <c r="B191" t="s">
        <v>50</v>
      </c>
      <c r="C191" s="5">
        <v>0.52500000000000002</v>
      </c>
      <c r="D191" s="5">
        <v>0.52500000000000002</v>
      </c>
      <c r="E191">
        <v>5</v>
      </c>
      <c r="F191" s="5">
        <v>14.108280254777069</v>
      </c>
      <c r="G191" s="3">
        <f t="shared" si="13"/>
        <v>156.32845568642318</v>
      </c>
      <c r="H191" s="3">
        <f t="shared" si="14"/>
        <v>30.259285509510391</v>
      </c>
      <c r="I191" s="3">
        <f t="shared" si="10"/>
        <v>7564.8213773775979</v>
      </c>
      <c r="J191" s="5">
        <f t="shared" si="12"/>
        <v>12.468962505578318</v>
      </c>
      <c r="K191" s="5">
        <f t="shared" si="11"/>
        <v>3117.2406263945795</v>
      </c>
      <c r="L191">
        <v>4</v>
      </c>
    </row>
    <row r="192" spans="1:12" x14ac:dyDescent="0.3">
      <c r="A192" t="s">
        <v>45</v>
      </c>
      <c r="B192" t="s">
        <v>50</v>
      </c>
      <c r="C192" s="5">
        <v>0.52500000000000002</v>
      </c>
      <c r="D192" s="5">
        <v>0.52500000000000002</v>
      </c>
      <c r="E192">
        <v>5</v>
      </c>
      <c r="F192" s="5">
        <v>42.834394904458598</v>
      </c>
      <c r="G192" s="3">
        <f t="shared" si="13"/>
        <v>1441.0370730456295</v>
      </c>
      <c r="H192" s="3">
        <f t="shared" si="14"/>
        <v>264.4505621633084</v>
      </c>
      <c r="I192" s="3">
        <f t="shared" si="10"/>
        <v>66112.640540827095</v>
      </c>
      <c r="J192" s="5">
        <f t="shared" si="12"/>
        <v>41.094444269544404</v>
      </c>
      <c r="K192" s="5">
        <f t="shared" si="11"/>
        <v>10273.6110673861</v>
      </c>
      <c r="L192">
        <v>4</v>
      </c>
    </row>
    <row r="193" spans="1:12" x14ac:dyDescent="0.3">
      <c r="A193" t="s">
        <v>45</v>
      </c>
      <c r="B193" t="s">
        <v>51</v>
      </c>
      <c r="C193" s="5">
        <v>0.39984676499999999</v>
      </c>
      <c r="D193" s="5">
        <v>0.450333333</v>
      </c>
      <c r="E193">
        <v>7</v>
      </c>
      <c r="F193" s="5">
        <v>17.070063694267517</v>
      </c>
      <c r="G193" s="3">
        <f t="shared" si="13"/>
        <v>228.85487317075069</v>
      </c>
      <c r="H193" s="3">
        <f t="shared" si="14"/>
        <v>52.481111383480709</v>
      </c>
      <c r="I193" s="3">
        <f t="shared" si="10"/>
        <v>13120.277845870178</v>
      </c>
      <c r="J193" s="5">
        <f t="shared" si="12"/>
        <v>16.124683325895575</v>
      </c>
      <c r="K193" s="5">
        <f t="shared" si="11"/>
        <v>4031.1708314738935</v>
      </c>
      <c r="L193">
        <v>4</v>
      </c>
    </row>
    <row r="194" spans="1:12" x14ac:dyDescent="0.3">
      <c r="A194" t="s">
        <v>45</v>
      </c>
      <c r="B194" t="s">
        <v>52</v>
      </c>
      <c r="C194" s="5">
        <v>0.61</v>
      </c>
      <c r="D194" s="5">
        <v>0.84088888900000003</v>
      </c>
      <c r="E194" s="1">
        <v>6.5</v>
      </c>
      <c r="F194" s="5">
        <v>61.178343949044589</v>
      </c>
      <c r="G194" s="3">
        <f t="shared" si="13"/>
        <v>2939.5802100429664</v>
      </c>
      <c r="H194" s="3">
        <f t="shared" si="14"/>
        <v>1084.9310304152698</v>
      </c>
      <c r="I194" s="3">
        <f t="shared" ref="I194:I257" si="15">(H194*1000)/L194</f>
        <v>271232.75760381744</v>
      </c>
      <c r="J194" s="5">
        <f t="shared" si="12"/>
        <v>94.134167229907916</v>
      </c>
      <c r="K194" s="5">
        <f t="shared" ref="K194:K257" si="16">(J194*1000)/L194</f>
        <v>23533.54180747698</v>
      </c>
      <c r="L194">
        <v>4</v>
      </c>
    </row>
    <row r="195" spans="1:12" x14ac:dyDescent="0.3">
      <c r="A195" t="s">
        <v>45</v>
      </c>
      <c r="B195" t="s">
        <v>15</v>
      </c>
      <c r="C195" s="5">
        <v>0.74387999999999999</v>
      </c>
      <c r="D195" s="5">
        <v>0.59130000000000005</v>
      </c>
      <c r="E195">
        <v>8</v>
      </c>
      <c r="F195" s="5">
        <v>9.936305732484076</v>
      </c>
      <c r="G195" s="3">
        <f t="shared" si="13"/>
        <v>77.542495453934436</v>
      </c>
      <c r="H195" s="3">
        <f t="shared" si="14"/>
        <v>27.120548951885002</v>
      </c>
      <c r="I195" s="3">
        <f t="shared" si="15"/>
        <v>6780.1372379712502</v>
      </c>
      <c r="J195" s="5">
        <f t="shared" ref="J195:J258" si="17">8.9857 + 0.0035 * F195^2 * E195</f>
        <v>11.750144805063085</v>
      </c>
      <c r="K195" s="5">
        <f t="shared" si="16"/>
        <v>2937.5362012657715</v>
      </c>
      <c r="L195">
        <v>4</v>
      </c>
    </row>
    <row r="196" spans="1:12" x14ac:dyDescent="0.3">
      <c r="A196" t="s">
        <v>45</v>
      </c>
      <c r="B196" t="s">
        <v>53</v>
      </c>
      <c r="C196" s="5">
        <v>0.371297506</v>
      </c>
      <c r="D196" s="5">
        <v>0.35258402799999999</v>
      </c>
      <c r="E196">
        <v>7</v>
      </c>
      <c r="F196" s="5">
        <v>9.3312101910828016</v>
      </c>
      <c r="G196" s="3">
        <f t="shared" ref="G196:G259" si="18">PI()*(F196/2)^2</f>
        <v>68.385783327424562</v>
      </c>
      <c r="H196" s="3">
        <f t="shared" ref="H196:H259" si="19">0.0673 * ((D196 * F196^2 * E196)^0.976)</f>
        <v>12.713876980196423</v>
      </c>
      <c r="I196" s="3">
        <f t="shared" si="15"/>
        <v>3178.4692450491057</v>
      </c>
      <c r="J196" s="5">
        <f t="shared" si="17"/>
        <v>11.118951348939104</v>
      </c>
      <c r="K196" s="5">
        <f t="shared" si="16"/>
        <v>2779.7378372347762</v>
      </c>
      <c r="L196">
        <v>4</v>
      </c>
    </row>
    <row r="197" spans="1:12" x14ac:dyDescent="0.3">
      <c r="A197" t="s">
        <v>45</v>
      </c>
      <c r="B197" t="s">
        <v>53</v>
      </c>
      <c r="C197" s="5">
        <v>0.371297506</v>
      </c>
      <c r="D197" s="5">
        <v>0.35258402799999999</v>
      </c>
      <c r="E197">
        <v>7</v>
      </c>
      <c r="F197" s="5">
        <v>23.503184713375795</v>
      </c>
      <c r="G197" s="3">
        <f t="shared" si="18"/>
        <v>433.85370329976854</v>
      </c>
      <c r="H197" s="3">
        <f t="shared" si="19"/>
        <v>77.161103188816554</v>
      </c>
      <c r="I197" s="3">
        <f t="shared" si="15"/>
        <v>19290.27579720414</v>
      </c>
      <c r="J197" s="5">
        <f t="shared" si="17"/>
        <v>22.519492445941012</v>
      </c>
      <c r="K197" s="5">
        <f t="shared" si="16"/>
        <v>5629.8731114852526</v>
      </c>
      <c r="L197">
        <v>4</v>
      </c>
    </row>
    <row r="198" spans="1:12" x14ac:dyDescent="0.3">
      <c r="A198" t="s">
        <v>54</v>
      </c>
      <c r="B198" t="s">
        <v>21</v>
      </c>
      <c r="C198" s="5">
        <v>0.80908761900000004</v>
      </c>
      <c r="D198" s="5">
        <v>0.87473809499999999</v>
      </c>
      <c r="E198" s="1">
        <v>4.5</v>
      </c>
      <c r="F198" s="7">
        <v>10.350318471337578</v>
      </c>
      <c r="G198" s="3">
        <f t="shared" si="18"/>
        <v>84.138992463036487</v>
      </c>
      <c r="H198" s="3">
        <f t="shared" si="19"/>
        <v>24.547829197649403</v>
      </c>
      <c r="I198" s="3">
        <f t="shared" si="15"/>
        <v>6136.9572994123509</v>
      </c>
      <c r="J198" s="5">
        <f t="shared" si="17"/>
        <v>10.672983206215262</v>
      </c>
      <c r="K198" s="5">
        <f t="shared" si="16"/>
        <v>2668.2458015538155</v>
      </c>
      <c r="L198">
        <v>4</v>
      </c>
    </row>
    <row r="199" spans="1:12" x14ac:dyDescent="0.3">
      <c r="A199" t="s">
        <v>54</v>
      </c>
      <c r="B199" t="s">
        <v>55</v>
      </c>
      <c r="C199" s="5">
        <v>0.41</v>
      </c>
      <c r="D199" s="5">
        <v>0.33983503399999998</v>
      </c>
      <c r="E199" s="1">
        <v>5.5</v>
      </c>
      <c r="F199" s="5">
        <v>16.97452229299363</v>
      </c>
      <c r="G199" s="3">
        <f t="shared" si="18"/>
        <v>226.30023412858299</v>
      </c>
      <c r="H199" s="3">
        <f t="shared" si="19"/>
        <v>31.16675602764964</v>
      </c>
      <c r="I199" s="3">
        <f t="shared" si="15"/>
        <v>7791.6890069124102</v>
      </c>
      <c r="J199" s="5">
        <f t="shared" si="17"/>
        <v>14.53228733620025</v>
      </c>
      <c r="K199" s="5">
        <f t="shared" si="16"/>
        <v>3633.0718340500625</v>
      </c>
      <c r="L199">
        <v>4</v>
      </c>
    </row>
    <row r="200" spans="1:12" x14ac:dyDescent="0.3">
      <c r="A200" t="s">
        <v>54</v>
      </c>
      <c r="B200" t="s">
        <v>56</v>
      </c>
      <c r="C200" s="5">
        <v>0.9</v>
      </c>
      <c r="D200" s="5">
        <v>0.61247410899999999</v>
      </c>
      <c r="E200">
        <v>4</v>
      </c>
      <c r="F200" s="5">
        <v>5.5732484076433115</v>
      </c>
      <c r="G200" s="3">
        <f t="shared" si="18"/>
        <v>24.395329175673304</v>
      </c>
      <c r="H200" s="3">
        <f t="shared" si="19"/>
        <v>4.6155859503181826</v>
      </c>
      <c r="I200" s="3">
        <f t="shared" si="15"/>
        <v>1153.8964875795457</v>
      </c>
      <c r="J200" s="5">
        <f t="shared" si="17"/>
        <v>9.4205553693861823</v>
      </c>
      <c r="K200" s="5">
        <f t="shared" si="16"/>
        <v>2355.1388423465455</v>
      </c>
      <c r="L200">
        <v>4</v>
      </c>
    </row>
    <row r="201" spans="1:12" x14ac:dyDescent="0.3">
      <c r="A201" t="s">
        <v>54</v>
      </c>
      <c r="B201" t="s">
        <v>56</v>
      </c>
      <c r="C201" s="5">
        <v>0.9</v>
      </c>
      <c r="D201" s="5">
        <v>0.61247410899999999</v>
      </c>
      <c r="E201">
        <v>4</v>
      </c>
      <c r="F201" s="5">
        <v>10.127388535031846</v>
      </c>
      <c r="G201" s="3">
        <f t="shared" si="18"/>
        <v>80.553576083617529</v>
      </c>
      <c r="H201" s="3">
        <f t="shared" si="19"/>
        <v>14.809974470345026</v>
      </c>
      <c r="I201" s="3">
        <f t="shared" si="15"/>
        <v>3702.4936175862563</v>
      </c>
      <c r="J201" s="5">
        <f t="shared" si="17"/>
        <v>10.421595979552922</v>
      </c>
      <c r="K201" s="5">
        <f t="shared" si="16"/>
        <v>2605.3989948882304</v>
      </c>
      <c r="L201">
        <v>4</v>
      </c>
    </row>
    <row r="202" spans="1:12" x14ac:dyDescent="0.3">
      <c r="A202" t="s">
        <v>54</v>
      </c>
      <c r="B202" t="s">
        <v>36</v>
      </c>
      <c r="C202" s="5">
        <v>0.56193137999999998</v>
      </c>
      <c r="D202" s="5">
        <v>0.57808694400000005</v>
      </c>
      <c r="E202">
        <v>5</v>
      </c>
      <c r="F202" s="5">
        <v>20.159235668789808</v>
      </c>
      <c r="G202" s="3">
        <f t="shared" si="18"/>
        <v>319.18171598600367</v>
      </c>
      <c r="H202" s="3">
        <f t="shared" si="19"/>
        <v>66.718839330385379</v>
      </c>
      <c r="I202" s="3">
        <f t="shared" si="15"/>
        <v>16679.709832596345</v>
      </c>
      <c r="J202" s="5">
        <f t="shared" si="17"/>
        <v>16.097608698121626</v>
      </c>
      <c r="K202" s="5">
        <f t="shared" si="16"/>
        <v>4024.4021745304062</v>
      </c>
      <c r="L202">
        <v>4</v>
      </c>
    </row>
    <row r="203" spans="1:12" x14ac:dyDescent="0.3">
      <c r="A203" t="s">
        <v>54</v>
      </c>
      <c r="B203" t="s">
        <v>51</v>
      </c>
      <c r="C203" s="5">
        <v>0.39984676499999999</v>
      </c>
      <c r="D203" s="5">
        <v>0.450333333</v>
      </c>
      <c r="E203">
        <v>7</v>
      </c>
      <c r="F203" s="5">
        <v>13.439490445859873</v>
      </c>
      <c r="G203" s="3">
        <f t="shared" si="18"/>
        <v>141.85854043822386</v>
      </c>
      <c r="H203" s="3">
        <f t="shared" si="19"/>
        <v>32.906618648879373</v>
      </c>
      <c r="I203" s="3">
        <f t="shared" si="15"/>
        <v>8226.6546622198439</v>
      </c>
      <c r="J203" s="5">
        <f t="shared" si="17"/>
        <v>13.410887634386789</v>
      </c>
      <c r="K203" s="5">
        <f t="shared" si="16"/>
        <v>3352.7219085966972</v>
      </c>
      <c r="L203">
        <v>4</v>
      </c>
    </row>
    <row r="204" spans="1:12" x14ac:dyDescent="0.3">
      <c r="A204" t="s">
        <v>54</v>
      </c>
      <c r="B204" t="s">
        <v>33</v>
      </c>
      <c r="C204" s="5">
        <v>1082380952</v>
      </c>
      <c r="D204" s="5">
        <v>0.61247410899999999</v>
      </c>
      <c r="E204" s="1">
        <v>6.5</v>
      </c>
      <c r="F204" s="5">
        <v>23.885350318471335</v>
      </c>
      <c r="G204" s="3">
        <f t="shared" si="18"/>
        <v>448.07747465522391</v>
      </c>
      <c r="H204" s="3">
        <f t="shared" si="19"/>
        <v>126.97816374118136</v>
      </c>
      <c r="I204" s="3">
        <f t="shared" si="15"/>
        <v>31744.540935295339</v>
      </c>
      <c r="J204" s="5">
        <f t="shared" si="17"/>
        <v>21.964801586271246</v>
      </c>
      <c r="K204" s="5">
        <f t="shared" si="16"/>
        <v>5491.2003965678114</v>
      </c>
      <c r="L204">
        <v>4</v>
      </c>
    </row>
    <row r="205" spans="1:12" x14ac:dyDescent="0.3">
      <c r="A205" t="s">
        <v>54</v>
      </c>
      <c r="B205" t="s">
        <v>52</v>
      </c>
      <c r="C205" s="5">
        <v>0.61</v>
      </c>
      <c r="D205" s="5">
        <v>0.84088888900000003</v>
      </c>
      <c r="E205">
        <v>6</v>
      </c>
      <c r="F205" s="5">
        <v>56.464968152866234</v>
      </c>
      <c r="G205" s="3">
        <f t="shared" si="18"/>
        <v>2504.0791748008201</v>
      </c>
      <c r="H205" s="3">
        <f t="shared" si="19"/>
        <v>858.04161321277161</v>
      </c>
      <c r="I205" s="3">
        <f t="shared" si="15"/>
        <v>214510.4033031929</v>
      </c>
      <c r="J205" s="5">
        <f t="shared" si="17"/>
        <v>75.939845198588159</v>
      </c>
      <c r="K205" s="5">
        <f t="shared" si="16"/>
        <v>18984.961299647039</v>
      </c>
      <c r="L205">
        <v>4</v>
      </c>
    </row>
    <row r="206" spans="1:12" x14ac:dyDescent="0.3">
      <c r="A206" t="s">
        <v>54</v>
      </c>
      <c r="B206" t="s">
        <v>17</v>
      </c>
      <c r="C206" s="5">
        <v>0.43836446099999998</v>
      </c>
      <c r="D206" s="5">
        <v>0.58666666700000003</v>
      </c>
      <c r="E206">
        <v>4</v>
      </c>
      <c r="F206" s="5">
        <v>58.630573248407636</v>
      </c>
      <c r="G206" s="3">
        <f t="shared" si="18"/>
        <v>2699.8408380034343</v>
      </c>
      <c r="H206" s="3">
        <f t="shared" si="19"/>
        <v>437.47572273533149</v>
      </c>
      <c r="I206" s="3">
        <f t="shared" si="15"/>
        <v>109368.93068383288</v>
      </c>
      <c r="J206" s="5">
        <f t="shared" si="17"/>
        <v>57.111317672116506</v>
      </c>
      <c r="K206" s="5">
        <f t="shared" si="16"/>
        <v>14277.829418029127</v>
      </c>
      <c r="L206">
        <v>4</v>
      </c>
    </row>
    <row r="207" spans="1:12" x14ac:dyDescent="0.3">
      <c r="A207" t="s">
        <v>54</v>
      </c>
      <c r="B207" t="s">
        <v>17</v>
      </c>
      <c r="C207" s="5">
        <v>0.43836446099999998</v>
      </c>
      <c r="D207" s="5">
        <v>0.58666666700000003</v>
      </c>
      <c r="E207" s="1">
        <v>3.5</v>
      </c>
      <c r="F207" s="5">
        <v>14.968152866242038</v>
      </c>
      <c r="G207" s="3">
        <f t="shared" si="18"/>
        <v>175.96500293571373</v>
      </c>
      <c r="H207" s="3">
        <f t="shared" si="19"/>
        <v>26.724146298212627</v>
      </c>
      <c r="I207" s="3">
        <f t="shared" si="15"/>
        <v>6681.0365745531572</v>
      </c>
      <c r="J207" s="5">
        <f t="shared" si="17"/>
        <v>11.730258602783074</v>
      </c>
      <c r="K207" s="5">
        <f t="shared" si="16"/>
        <v>2932.5646506957687</v>
      </c>
      <c r="L207">
        <v>4</v>
      </c>
    </row>
    <row r="208" spans="1:12" x14ac:dyDescent="0.3">
      <c r="A208" t="s">
        <v>54</v>
      </c>
      <c r="B208" t="s">
        <v>17</v>
      </c>
      <c r="C208" s="5">
        <v>0.43836446099999998</v>
      </c>
      <c r="D208" s="5">
        <v>0.58666666700000003</v>
      </c>
      <c r="E208">
        <v>5</v>
      </c>
      <c r="F208" s="5">
        <v>18.439490445859871</v>
      </c>
      <c r="G208" s="3">
        <f t="shared" si="18"/>
        <v>267.04700565491896</v>
      </c>
      <c r="H208" s="3">
        <f t="shared" si="19"/>
        <v>56.872417742203282</v>
      </c>
      <c r="I208" s="3">
        <f t="shared" si="15"/>
        <v>14218.10443555082</v>
      </c>
      <c r="J208" s="5">
        <f t="shared" si="17"/>
        <v>14.935959138301754</v>
      </c>
      <c r="K208" s="5">
        <f t="shared" si="16"/>
        <v>3733.9897845754385</v>
      </c>
      <c r="L208">
        <v>4</v>
      </c>
    </row>
    <row r="209" spans="1:12" x14ac:dyDescent="0.3">
      <c r="A209" t="s">
        <v>54</v>
      </c>
      <c r="B209" t="s">
        <v>17</v>
      </c>
      <c r="C209" s="5">
        <v>0.43836446099999998</v>
      </c>
      <c r="D209" s="5">
        <v>0.58666666700000003</v>
      </c>
      <c r="E209" s="1">
        <v>5.5</v>
      </c>
      <c r="F209" s="5">
        <v>51.464968152866248</v>
      </c>
      <c r="G209" s="3">
        <f t="shared" si="18"/>
        <v>2080.2393060501918</v>
      </c>
      <c r="H209" s="3">
        <f t="shared" si="19"/>
        <v>462.83897520399466</v>
      </c>
      <c r="I209" s="3">
        <f t="shared" si="15"/>
        <v>115709.74380099867</v>
      </c>
      <c r="J209" s="5">
        <f t="shared" si="17"/>
        <v>59.972076729279088</v>
      </c>
      <c r="K209" s="5">
        <f t="shared" si="16"/>
        <v>14993.019182319773</v>
      </c>
      <c r="L209">
        <v>4</v>
      </c>
    </row>
    <row r="210" spans="1:12" x14ac:dyDescent="0.3">
      <c r="A210" t="s">
        <v>54</v>
      </c>
      <c r="B210" t="s">
        <v>53</v>
      </c>
      <c r="C210" s="5">
        <v>0.371297506</v>
      </c>
      <c r="D210" s="5">
        <v>0.35258402799999999</v>
      </c>
      <c r="E210">
        <v>5</v>
      </c>
      <c r="F210" s="5">
        <v>24.490445859872612</v>
      </c>
      <c r="G210" s="3">
        <f t="shared" si="18"/>
        <v>471.06763287037853</v>
      </c>
      <c r="H210" s="3">
        <f t="shared" si="19"/>
        <v>60.208757145370988</v>
      </c>
      <c r="I210" s="3">
        <f t="shared" si="15"/>
        <v>15052.189286342747</v>
      </c>
      <c r="J210" s="5">
        <f t="shared" si="17"/>
        <v>19.481883922268651</v>
      </c>
      <c r="K210" s="5">
        <f t="shared" si="16"/>
        <v>4870.4709805671628</v>
      </c>
      <c r="L210">
        <v>4</v>
      </c>
    </row>
    <row r="211" spans="1:12" x14ac:dyDescent="0.3">
      <c r="A211" t="s">
        <v>54</v>
      </c>
      <c r="B211" t="s">
        <v>57</v>
      </c>
      <c r="C211" s="5">
        <v>0.693333333</v>
      </c>
      <c r="D211" s="5">
        <v>0.64166666699999997</v>
      </c>
      <c r="E211">
        <v>6</v>
      </c>
      <c r="F211" s="5">
        <v>10.286624203821654</v>
      </c>
      <c r="G211" s="3">
        <f t="shared" si="18"/>
        <v>83.106621961430847</v>
      </c>
      <c r="H211" s="3">
        <f t="shared" si="19"/>
        <v>23.73457103825136</v>
      </c>
      <c r="I211" s="3">
        <f t="shared" si="15"/>
        <v>5933.6427595628402</v>
      </c>
      <c r="J211" s="5">
        <f t="shared" si="17"/>
        <v>11.207807387723639</v>
      </c>
      <c r="K211" s="5">
        <f t="shared" si="16"/>
        <v>2801.9518469309096</v>
      </c>
      <c r="L211">
        <v>4</v>
      </c>
    </row>
    <row r="212" spans="1:12" x14ac:dyDescent="0.3">
      <c r="A212" t="s">
        <v>54</v>
      </c>
      <c r="B212" t="s">
        <v>57</v>
      </c>
      <c r="C212" s="5">
        <v>0.693333333</v>
      </c>
      <c r="D212" s="5">
        <v>0.64166666699999997</v>
      </c>
      <c r="E212" s="1">
        <v>4.5</v>
      </c>
      <c r="F212" s="5">
        <v>9.6496815286624198</v>
      </c>
      <c r="G212" s="3">
        <f t="shared" si="18"/>
        <v>73.13341310332703</v>
      </c>
      <c r="H212" s="3">
        <f t="shared" si="19"/>
        <v>15.821726297425954</v>
      </c>
      <c r="I212" s="3">
        <f t="shared" si="15"/>
        <v>3955.4315743564885</v>
      </c>
      <c r="J212" s="5">
        <f t="shared" si="17"/>
        <v>10.452282569272587</v>
      </c>
      <c r="K212" s="5">
        <f t="shared" si="16"/>
        <v>2613.0706423181468</v>
      </c>
      <c r="L212">
        <v>4</v>
      </c>
    </row>
    <row r="213" spans="1:12" x14ac:dyDescent="0.3">
      <c r="A213" t="s">
        <v>58</v>
      </c>
      <c r="B213" t="s">
        <v>21</v>
      </c>
      <c r="C213" s="5">
        <v>0.80908761900000004</v>
      </c>
      <c r="D213" s="5">
        <v>0.87473809499999999</v>
      </c>
      <c r="E213" s="1">
        <v>4.5</v>
      </c>
      <c r="F213" s="5">
        <v>8.7579617834394909</v>
      </c>
      <c r="G213" s="3">
        <f t="shared" si="18"/>
        <v>60.241527148091237</v>
      </c>
      <c r="H213" s="3">
        <f t="shared" si="19"/>
        <v>17.717163399845305</v>
      </c>
      <c r="I213" s="3">
        <f t="shared" si="15"/>
        <v>4429.2908499613259</v>
      </c>
      <c r="J213" s="5">
        <f t="shared" si="17"/>
        <v>10.193754839952939</v>
      </c>
      <c r="K213" s="5">
        <f t="shared" si="16"/>
        <v>2548.4387099882347</v>
      </c>
      <c r="L213">
        <v>4</v>
      </c>
    </row>
    <row r="214" spans="1:12" x14ac:dyDescent="0.3">
      <c r="A214" t="s">
        <v>58</v>
      </c>
      <c r="B214" t="s">
        <v>47</v>
      </c>
      <c r="C214" s="5">
        <v>0.78445916699999996</v>
      </c>
      <c r="D214" s="5">
        <v>0.87841666699999998</v>
      </c>
      <c r="E214">
        <v>4</v>
      </c>
      <c r="F214" s="5">
        <v>7.2929936305732479</v>
      </c>
      <c r="G214" s="3">
        <f t="shared" si="18"/>
        <v>41.773565952701503</v>
      </c>
      <c r="H214" s="3">
        <f t="shared" si="19"/>
        <v>11.093524786946661</v>
      </c>
      <c r="I214" s="3">
        <f t="shared" si="15"/>
        <v>2773.3811967366651</v>
      </c>
      <c r="J214" s="5">
        <f t="shared" si="17"/>
        <v>9.7303285853381478</v>
      </c>
      <c r="K214" s="5">
        <f t="shared" si="16"/>
        <v>2432.5821463345369</v>
      </c>
      <c r="L214">
        <v>4</v>
      </c>
    </row>
    <row r="215" spans="1:12" x14ac:dyDescent="0.3">
      <c r="A215" t="s">
        <v>58</v>
      </c>
      <c r="B215" t="s">
        <v>59</v>
      </c>
      <c r="C215" s="5">
        <v>0.66</v>
      </c>
      <c r="D215" s="5">
        <v>0.75533333300000005</v>
      </c>
      <c r="E215">
        <v>7</v>
      </c>
      <c r="F215" s="5">
        <v>7.7388535031847123</v>
      </c>
      <c r="G215" s="3">
        <f t="shared" si="18"/>
        <v>47.037380979406777</v>
      </c>
      <c r="H215" s="3">
        <f t="shared" si="19"/>
        <v>18.560550251895538</v>
      </c>
      <c r="I215" s="3">
        <f t="shared" si="15"/>
        <v>4640.137562973885</v>
      </c>
      <c r="J215" s="5">
        <f t="shared" si="17"/>
        <v>10.45300141182198</v>
      </c>
      <c r="K215" s="5">
        <f t="shared" si="16"/>
        <v>2613.2503529554947</v>
      </c>
      <c r="L215">
        <v>4</v>
      </c>
    </row>
    <row r="216" spans="1:12" x14ac:dyDescent="0.3">
      <c r="A216" t="s">
        <v>58</v>
      </c>
      <c r="B216" t="s">
        <v>39</v>
      </c>
      <c r="C216" s="5">
        <v>0.54247040000000002</v>
      </c>
      <c r="D216" s="5">
        <v>0.54247042099999998</v>
      </c>
      <c r="E216" s="1">
        <v>3.5</v>
      </c>
      <c r="F216" s="5">
        <v>16.019108280254777</v>
      </c>
      <c r="G216" s="3">
        <f t="shared" si="18"/>
        <v>201.54246006229965</v>
      </c>
      <c r="H216" s="3">
        <f t="shared" si="19"/>
        <v>28.263799682956368</v>
      </c>
      <c r="I216" s="3">
        <f t="shared" si="15"/>
        <v>7065.9499207390918</v>
      </c>
      <c r="J216" s="5">
        <f t="shared" si="17"/>
        <v>12.129194918657957</v>
      </c>
      <c r="K216" s="5">
        <f t="shared" si="16"/>
        <v>3032.2987296644892</v>
      </c>
      <c r="L216">
        <v>4</v>
      </c>
    </row>
    <row r="217" spans="1:12" x14ac:dyDescent="0.3">
      <c r="A217" t="s">
        <v>58</v>
      </c>
      <c r="B217" t="s">
        <v>50</v>
      </c>
      <c r="C217" s="5">
        <v>0.52500000000000002</v>
      </c>
      <c r="D217" s="5">
        <v>0.52500000000000002</v>
      </c>
      <c r="E217">
        <v>5</v>
      </c>
      <c r="F217" s="5">
        <v>7.2929936305732479</v>
      </c>
      <c r="G217" s="3">
        <f t="shared" si="18"/>
        <v>41.773565952701503</v>
      </c>
      <c r="H217" s="3">
        <f t="shared" si="19"/>
        <v>8.3459822564818484</v>
      </c>
      <c r="I217" s="3">
        <f t="shared" si="15"/>
        <v>2086.4955641204619</v>
      </c>
      <c r="J217" s="5">
        <f t="shared" si="17"/>
        <v>9.9164857316726831</v>
      </c>
      <c r="K217" s="5">
        <f t="shared" si="16"/>
        <v>2479.1214329181707</v>
      </c>
      <c r="L217">
        <v>4</v>
      </c>
    </row>
    <row r="218" spans="1:12" x14ac:dyDescent="0.3">
      <c r="A218" t="s">
        <v>58</v>
      </c>
      <c r="B218" t="s">
        <v>36</v>
      </c>
      <c r="C218" s="5">
        <v>0.56193137999999998</v>
      </c>
      <c r="D218" s="5">
        <v>0.57808694400000005</v>
      </c>
      <c r="E218">
        <v>7</v>
      </c>
      <c r="F218" s="5">
        <v>28.057324840764334</v>
      </c>
      <c r="G218" s="3">
        <f t="shared" si="18"/>
        <v>618.27601921044163</v>
      </c>
      <c r="H218" s="3">
        <f t="shared" si="19"/>
        <v>176.65355294612766</v>
      </c>
      <c r="I218" s="3">
        <f t="shared" si="15"/>
        <v>44163.388236531915</v>
      </c>
      <c r="J218" s="5">
        <f t="shared" si="17"/>
        <v>28.272430191894202</v>
      </c>
      <c r="K218" s="5">
        <f t="shared" si="16"/>
        <v>7068.10754797355</v>
      </c>
      <c r="L218">
        <v>4</v>
      </c>
    </row>
    <row r="219" spans="1:12" x14ac:dyDescent="0.3">
      <c r="A219" t="s">
        <v>58</v>
      </c>
      <c r="B219" t="s">
        <v>36</v>
      </c>
      <c r="C219" s="5">
        <v>0.56193137999999998</v>
      </c>
      <c r="D219" s="5">
        <v>0.57808694400000005</v>
      </c>
      <c r="E219">
        <v>7</v>
      </c>
      <c r="F219" s="5">
        <v>35.828025477707008</v>
      </c>
      <c r="G219" s="3">
        <f t="shared" si="18"/>
        <v>1008.1743179742541</v>
      </c>
      <c r="H219" s="3">
        <f t="shared" si="19"/>
        <v>284.69453283857302</v>
      </c>
      <c r="I219" s="3">
        <f t="shared" si="15"/>
        <v>71173.63320964326</v>
      </c>
      <c r="J219" s="5">
        <f t="shared" si="17"/>
        <v>40.435061535964948</v>
      </c>
      <c r="K219" s="5">
        <f t="shared" si="16"/>
        <v>10108.765383991236</v>
      </c>
      <c r="L219">
        <v>4</v>
      </c>
    </row>
    <row r="220" spans="1:12" x14ac:dyDescent="0.3">
      <c r="A220" t="s">
        <v>58</v>
      </c>
      <c r="B220" t="s">
        <v>51</v>
      </c>
      <c r="C220" s="5">
        <v>0.39984676499999999</v>
      </c>
      <c r="D220" s="5">
        <v>0.450333333</v>
      </c>
      <c r="E220">
        <v>8</v>
      </c>
      <c r="F220" s="5">
        <v>20.636942675159233</v>
      </c>
      <c r="G220" s="3">
        <f t="shared" si="18"/>
        <v>334.48804252022603</v>
      </c>
      <c r="H220" s="3">
        <f t="shared" si="19"/>
        <v>86.590033103324089</v>
      </c>
      <c r="I220" s="3">
        <f t="shared" si="15"/>
        <v>21647.508275831024</v>
      </c>
      <c r="J220" s="5">
        <f t="shared" si="17"/>
        <v>20.910435283378632</v>
      </c>
      <c r="K220" s="5">
        <f t="shared" si="16"/>
        <v>5227.6088208446581</v>
      </c>
      <c r="L220">
        <v>4</v>
      </c>
    </row>
    <row r="221" spans="1:12" x14ac:dyDescent="0.3">
      <c r="A221" t="s">
        <v>58</v>
      </c>
      <c r="B221" t="s">
        <v>51</v>
      </c>
      <c r="C221" s="5">
        <v>0.39984676499999999</v>
      </c>
      <c r="D221" s="5">
        <v>0.450333333</v>
      </c>
      <c r="E221">
        <v>9</v>
      </c>
      <c r="F221" s="5">
        <v>42.866242038216569</v>
      </c>
      <c r="G221" s="3">
        <f t="shared" si="18"/>
        <v>1443.1806756843805</v>
      </c>
      <c r="H221" s="3">
        <f t="shared" si="19"/>
        <v>404.66376046163577</v>
      </c>
      <c r="I221" s="3">
        <f t="shared" si="15"/>
        <v>101165.94011540894</v>
      </c>
      <c r="J221" s="5">
        <f t="shared" si="17"/>
        <v>66.86741325408741</v>
      </c>
      <c r="K221" s="5">
        <f t="shared" si="16"/>
        <v>16716.853313521853</v>
      </c>
      <c r="L221">
        <v>4</v>
      </c>
    </row>
    <row r="222" spans="1:12" x14ac:dyDescent="0.3">
      <c r="A222" t="s">
        <v>58</v>
      </c>
      <c r="B222" t="s">
        <v>33</v>
      </c>
      <c r="C222" s="5">
        <v>1082380952</v>
      </c>
      <c r="D222" s="5">
        <v>0.61247410899999999</v>
      </c>
      <c r="E222" s="1">
        <v>5.5</v>
      </c>
      <c r="F222" s="7">
        <v>12.961783439490446</v>
      </c>
      <c r="G222" s="3">
        <f t="shared" si="18"/>
        <v>131.95304106517904</v>
      </c>
      <c r="H222" s="3">
        <f t="shared" si="19"/>
        <v>32.713596442541601</v>
      </c>
      <c r="I222" s="3">
        <f t="shared" si="15"/>
        <v>8178.3991106354006</v>
      </c>
      <c r="J222" s="5">
        <f t="shared" si="17"/>
        <v>12.219850726195789</v>
      </c>
      <c r="K222" s="5">
        <f t="shared" si="16"/>
        <v>3054.9626815489473</v>
      </c>
      <c r="L222">
        <v>4</v>
      </c>
    </row>
    <row r="223" spans="1:12" x14ac:dyDescent="0.3">
      <c r="A223" t="s">
        <v>58</v>
      </c>
      <c r="B223" t="s">
        <v>52</v>
      </c>
      <c r="C223" s="5">
        <v>0.61</v>
      </c>
      <c r="D223" s="5">
        <v>0.84088888900000003</v>
      </c>
      <c r="E223" s="1">
        <v>6.5</v>
      </c>
      <c r="F223" s="5">
        <v>51.27388535031848</v>
      </c>
      <c r="G223" s="3">
        <f t="shared" si="18"/>
        <v>2064.8206614289893</v>
      </c>
      <c r="H223" s="3">
        <f t="shared" si="19"/>
        <v>768.56539197835389</v>
      </c>
      <c r="I223" s="3">
        <f t="shared" si="15"/>
        <v>192141.34799458846</v>
      </c>
      <c r="J223" s="5">
        <f t="shared" si="17"/>
        <v>68.795707505375489</v>
      </c>
      <c r="K223" s="5">
        <f t="shared" si="16"/>
        <v>17198.926876343874</v>
      </c>
      <c r="L223">
        <v>4</v>
      </c>
    </row>
    <row r="224" spans="1:12" x14ac:dyDescent="0.3">
      <c r="A224" t="s">
        <v>58</v>
      </c>
      <c r="B224" t="s">
        <v>52</v>
      </c>
      <c r="C224" s="5">
        <v>0.61</v>
      </c>
      <c r="D224" s="5">
        <v>0.84088888900000003</v>
      </c>
      <c r="E224">
        <v>8</v>
      </c>
      <c r="F224" s="5">
        <v>49.777070063694261</v>
      </c>
      <c r="G224" s="3">
        <f t="shared" si="18"/>
        <v>1946.0255647662179</v>
      </c>
      <c r="H224" s="3">
        <f t="shared" si="19"/>
        <v>888.33552651273214</v>
      </c>
      <c r="I224" s="3">
        <f t="shared" si="15"/>
        <v>222083.88162818304</v>
      </c>
      <c r="J224" s="5">
        <f t="shared" si="17"/>
        <v>78.362887715525957</v>
      </c>
      <c r="K224" s="5">
        <f t="shared" si="16"/>
        <v>19590.721928881489</v>
      </c>
      <c r="L224">
        <v>4</v>
      </c>
    </row>
    <row r="225" spans="1:12" x14ac:dyDescent="0.3">
      <c r="A225" t="s">
        <v>58</v>
      </c>
      <c r="B225" t="s">
        <v>17</v>
      </c>
      <c r="C225" s="5">
        <v>0.43836446099999998</v>
      </c>
      <c r="D225" s="5">
        <v>0.58666666700000003</v>
      </c>
      <c r="E225">
        <v>5</v>
      </c>
      <c r="F225" s="5">
        <v>39.71337579617834</v>
      </c>
      <c r="G225" s="3">
        <f t="shared" si="18"/>
        <v>1238.6924547309247</v>
      </c>
      <c r="H225" s="3">
        <f t="shared" si="19"/>
        <v>254.2637524294361</v>
      </c>
      <c r="I225" s="3">
        <f t="shared" si="15"/>
        <v>63565.938107359027</v>
      </c>
      <c r="J225" s="5">
        <f t="shared" si="17"/>
        <v>36.585863799748466</v>
      </c>
      <c r="K225" s="5">
        <f t="shared" si="16"/>
        <v>9146.4659499371173</v>
      </c>
      <c r="L225">
        <v>4</v>
      </c>
    </row>
    <row r="226" spans="1:12" x14ac:dyDescent="0.3">
      <c r="A226" t="s">
        <v>58</v>
      </c>
      <c r="B226" t="s">
        <v>17</v>
      </c>
      <c r="C226" s="5">
        <v>0.43836446099999998</v>
      </c>
      <c r="D226" s="5">
        <v>0.58666666700000003</v>
      </c>
      <c r="E226" s="1">
        <v>6.5</v>
      </c>
      <c r="F226" s="5">
        <v>22.611464968152866</v>
      </c>
      <c r="G226" s="3">
        <f t="shared" si="18"/>
        <v>401.5570755087972</v>
      </c>
      <c r="H226" s="3">
        <f t="shared" si="19"/>
        <v>109.4002069110892</v>
      </c>
      <c r="I226" s="3">
        <f t="shared" si="15"/>
        <v>27350.051727772301</v>
      </c>
      <c r="J226" s="5">
        <f t="shared" si="17"/>
        <v>20.617282417136597</v>
      </c>
      <c r="K226" s="5">
        <f t="shared" si="16"/>
        <v>5154.3206042841493</v>
      </c>
      <c r="L226">
        <v>4</v>
      </c>
    </row>
    <row r="227" spans="1:12" x14ac:dyDescent="0.3">
      <c r="A227" t="s">
        <v>58</v>
      </c>
      <c r="B227" t="s">
        <v>53</v>
      </c>
      <c r="C227" s="5">
        <v>0.371297506</v>
      </c>
      <c r="D227" s="5">
        <v>0.35258402799999999</v>
      </c>
      <c r="E227">
        <v>6</v>
      </c>
      <c r="F227" s="5">
        <v>15.318471337579615</v>
      </c>
      <c r="G227" s="3">
        <f t="shared" si="18"/>
        <v>184.2980490910351</v>
      </c>
      <c r="H227" s="3">
        <f t="shared" si="19"/>
        <v>28.784555831908577</v>
      </c>
      <c r="I227" s="3">
        <f t="shared" si="15"/>
        <v>7196.1389579771439</v>
      </c>
      <c r="J227" s="5">
        <f t="shared" si="17"/>
        <v>13.91346684652521</v>
      </c>
      <c r="K227" s="5">
        <f t="shared" si="16"/>
        <v>3478.3667116313027</v>
      </c>
      <c r="L227">
        <v>4</v>
      </c>
    </row>
    <row r="228" spans="1:12" x14ac:dyDescent="0.3">
      <c r="A228" t="s">
        <v>58</v>
      </c>
      <c r="B228" t="s">
        <v>57</v>
      </c>
      <c r="C228" s="5">
        <v>0.693333333</v>
      </c>
      <c r="D228" s="5">
        <v>0.64166666699999997</v>
      </c>
      <c r="E228">
        <v>5</v>
      </c>
      <c r="F228" s="5">
        <v>9.4585987261146496</v>
      </c>
      <c r="G228" s="3">
        <f t="shared" si="18"/>
        <v>70.26571726553361</v>
      </c>
      <c r="H228" s="3">
        <f t="shared" si="19"/>
        <v>16.863889829543421</v>
      </c>
      <c r="I228" s="3">
        <f t="shared" si="15"/>
        <v>4215.9724573858548</v>
      </c>
      <c r="J228" s="5">
        <f t="shared" si="17"/>
        <v>10.551339072579008</v>
      </c>
      <c r="K228" s="5">
        <f t="shared" si="16"/>
        <v>2637.8347681447522</v>
      </c>
      <c r="L228">
        <v>4</v>
      </c>
    </row>
    <row r="229" spans="1:12" x14ac:dyDescent="0.3">
      <c r="A229" t="s">
        <v>60</v>
      </c>
      <c r="B229" t="s">
        <v>55</v>
      </c>
      <c r="C229" s="5">
        <v>0.41</v>
      </c>
      <c r="D229" s="5">
        <v>0.33983503399999998</v>
      </c>
      <c r="E229">
        <v>6</v>
      </c>
      <c r="F229" s="5">
        <v>12.707006369426752</v>
      </c>
      <c r="G229" s="3">
        <f t="shared" si="18"/>
        <v>126.81667918682014</v>
      </c>
      <c r="H229" s="3">
        <f t="shared" si="19"/>
        <v>19.279724208831478</v>
      </c>
      <c r="I229" s="3">
        <f t="shared" si="15"/>
        <v>4819.9310522078695</v>
      </c>
      <c r="J229" s="5">
        <f t="shared" si="17"/>
        <v>12.376528228325693</v>
      </c>
      <c r="K229" s="5">
        <f t="shared" si="16"/>
        <v>3094.1320570814232</v>
      </c>
      <c r="L229">
        <v>4</v>
      </c>
    </row>
    <row r="230" spans="1:12" x14ac:dyDescent="0.3">
      <c r="A230" t="s">
        <v>60</v>
      </c>
      <c r="B230" t="s">
        <v>39</v>
      </c>
      <c r="C230" s="5">
        <v>0.54247040000000002</v>
      </c>
      <c r="D230" s="5">
        <v>0.54247042099999998</v>
      </c>
      <c r="E230" s="1">
        <v>2.8</v>
      </c>
      <c r="F230" s="5">
        <v>10.127388535031846</v>
      </c>
      <c r="G230" s="3">
        <f t="shared" si="18"/>
        <v>80.553576083617529</v>
      </c>
      <c r="H230" s="3">
        <f t="shared" si="19"/>
        <v>9.2880256288707344</v>
      </c>
      <c r="I230" s="3">
        <f t="shared" si="15"/>
        <v>2322.0064072176838</v>
      </c>
      <c r="J230" s="5">
        <f t="shared" si="17"/>
        <v>9.9908271856870456</v>
      </c>
      <c r="K230" s="5">
        <f t="shared" si="16"/>
        <v>2497.7067964217613</v>
      </c>
      <c r="L230">
        <v>4</v>
      </c>
    </row>
    <row r="231" spans="1:12" x14ac:dyDescent="0.3">
      <c r="A231" t="s">
        <v>60</v>
      </c>
      <c r="B231" t="s">
        <v>48</v>
      </c>
      <c r="C231" s="5">
        <v>0.63206279899999995</v>
      </c>
      <c r="D231" s="5">
        <v>0.75690909100000003</v>
      </c>
      <c r="E231">
        <v>3</v>
      </c>
      <c r="F231" s="5">
        <v>2.4203821656050954</v>
      </c>
      <c r="G231" s="3">
        <f t="shared" si="18"/>
        <v>4.6010586553041311</v>
      </c>
      <c r="H231" s="3">
        <f t="shared" si="19"/>
        <v>0.84134388013232886</v>
      </c>
      <c r="I231" s="3">
        <f t="shared" si="15"/>
        <v>210.33597003308222</v>
      </c>
      <c r="J231" s="5">
        <f t="shared" si="17"/>
        <v>9.0472116231895807</v>
      </c>
      <c r="K231" s="5">
        <f t="shared" si="16"/>
        <v>2261.8029057973954</v>
      </c>
      <c r="L231">
        <v>4</v>
      </c>
    </row>
    <row r="232" spans="1:12" x14ac:dyDescent="0.3">
      <c r="A232" t="s">
        <v>60</v>
      </c>
      <c r="B232" t="s">
        <v>56</v>
      </c>
      <c r="C232" s="5">
        <v>0.9</v>
      </c>
      <c r="D232" s="5">
        <v>0.61247410899999999</v>
      </c>
      <c r="E232">
        <v>5</v>
      </c>
      <c r="F232" s="5">
        <v>8.9808917197452232</v>
      </c>
      <c r="G232" s="3">
        <f t="shared" si="18"/>
        <v>63.347401056856945</v>
      </c>
      <c r="H232" s="3">
        <f t="shared" si="19"/>
        <v>14.564212395934689</v>
      </c>
      <c r="I232" s="3">
        <f t="shared" si="15"/>
        <v>3641.053098983672</v>
      </c>
      <c r="J232" s="5">
        <f t="shared" si="17"/>
        <v>10.397187281431295</v>
      </c>
      <c r="K232" s="5">
        <f t="shared" si="16"/>
        <v>2599.2968203578239</v>
      </c>
      <c r="L232">
        <v>4</v>
      </c>
    </row>
    <row r="233" spans="1:12" x14ac:dyDescent="0.3">
      <c r="A233" t="s">
        <v>60</v>
      </c>
      <c r="B233" t="s">
        <v>50</v>
      </c>
      <c r="C233" s="5">
        <v>0.52500000000000002</v>
      </c>
      <c r="D233" s="5">
        <v>0.52500000000000002</v>
      </c>
      <c r="E233">
        <v>8</v>
      </c>
      <c r="F233" s="5">
        <v>4.5222929936305727</v>
      </c>
      <c r="G233" s="3">
        <f t="shared" si="18"/>
        <v>16.062283020351884</v>
      </c>
      <c r="H233" s="3">
        <f t="shared" si="19"/>
        <v>5.1947726679758723</v>
      </c>
      <c r="I233" s="3">
        <f t="shared" si="15"/>
        <v>1298.6931669939681</v>
      </c>
      <c r="J233" s="5">
        <f t="shared" si="17"/>
        <v>9.5583317497667242</v>
      </c>
      <c r="K233" s="5">
        <f t="shared" si="16"/>
        <v>2389.5829374416812</v>
      </c>
      <c r="L233">
        <v>4</v>
      </c>
    </row>
    <row r="234" spans="1:12" x14ac:dyDescent="0.3">
      <c r="A234" t="s">
        <v>60</v>
      </c>
      <c r="B234" t="s">
        <v>50</v>
      </c>
      <c r="C234" s="5">
        <v>0.52500000000000002</v>
      </c>
      <c r="D234" s="5">
        <v>0.52500000000000002</v>
      </c>
      <c r="E234">
        <v>6</v>
      </c>
      <c r="F234" s="5">
        <v>14.490445859872612</v>
      </c>
      <c r="G234" s="3">
        <f t="shared" si="18"/>
        <v>164.91242522755155</v>
      </c>
      <c r="H234" s="3">
        <f t="shared" si="19"/>
        <v>38.088839261929088</v>
      </c>
      <c r="I234" s="3">
        <f t="shared" si="15"/>
        <v>9522.2098154822725</v>
      </c>
      <c r="J234" s="5">
        <f t="shared" si="17"/>
        <v>13.395133445575885</v>
      </c>
      <c r="K234" s="5">
        <f t="shared" si="16"/>
        <v>3348.7833613939711</v>
      </c>
      <c r="L234">
        <v>4</v>
      </c>
    </row>
    <row r="235" spans="1:12" x14ac:dyDescent="0.3">
      <c r="A235" t="s">
        <v>60</v>
      </c>
      <c r="B235" t="s">
        <v>61</v>
      </c>
      <c r="C235" s="5">
        <v>0.62643652800000005</v>
      </c>
      <c r="D235" s="5">
        <v>0.57808694400000005</v>
      </c>
      <c r="E235" s="1">
        <v>5.5</v>
      </c>
      <c r="F235" s="5">
        <v>34.681528662420384</v>
      </c>
      <c r="G235" s="3">
        <f t="shared" si="18"/>
        <v>944.68353212550744</v>
      </c>
      <c r="H235" s="3">
        <f t="shared" si="19"/>
        <v>211.14758695371552</v>
      </c>
      <c r="I235" s="3">
        <f t="shared" si="15"/>
        <v>52786.896738428877</v>
      </c>
      <c r="J235" s="5">
        <f t="shared" si="17"/>
        <v>32.139762284474017</v>
      </c>
      <c r="K235" s="5">
        <f t="shared" si="16"/>
        <v>8034.9405711185045</v>
      </c>
      <c r="L235">
        <v>4</v>
      </c>
    </row>
    <row r="236" spans="1:12" x14ac:dyDescent="0.3">
      <c r="A236" t="s">
        <v>60</v>
      </c>
      <c r="B236" t="s">
        <v>36</v>
      </c>
      <c r="C236" s="5">
        <v>0.56193137999999998</v>
      </c>
      <c r="D236" s="5">
        <v>0.57808694400000005</v>
      </c>
      <c r="E236" s="1">
        <v>6.5</v>
      </c>
      <c r="F236" s="5">
        <v>37.101910828025474</v>
      </c>
      <c r="G236" s="3">
        <f t="shared" si="18"/>
        <v>1081.1412454025535</v>
      </c>
      <c r="H236" s="3">
        <f t="shared" si="19"/>
        <v>283.52108273137719</v>
      </c>
      <c r="I236" s="3">
        <f t="shared" si="15"/>
        <v>70880.270682844304</v>
      </c>
      <c r="J236" s="5">
        <f t="shared" si="17"/>
        <v>40.302253156314656</v>
      </c>
      <c r="K236" s="5">
        <f t="shared" si="16"/>
        <v>10075.563289078664</v>
      </c>
      <c r="L236">
        <v>4</v>
      </c>
    </row>
    <row r="237" spans="1:12" x14ac:dyDescent="0.3">
      <c r="A237" t="s">
        <v>60</v>
      </c>
      <c r="B237" t="s">
        <v>36</v>
      </c>
      <c r="C237" s="5">
        <v>0.56193137999999998</v>
      </c>
      <c r="D237" s="5">
        <v>0.57808694400000005</v>
      </c>
      <c r="E237">
        <v>4</v>
      </c>
      <c r="F237" s="5">
        <v>11.242038216560509</v>
      </c>
      <c r="G237" s="3">
        <f t="shared" si="18"/>
        <v>99.261308514333876</v>
      </c>
      <c r="H237" s="3">
        <f t="shared" si="19"/>
        <v>17.162497729460849</v>
      </c>
      <c r="I237" s="3">
        <f t="shared" si="15"/>
        <v>4290.6244323652127</v>
      </c>
      <c r="J237" s="5">
        <f t="shared" si="17"/>
        <v>10.755067925676498</v>
      </c>
      <c r="K237" s="5">
        <f t="shared" si="16"/>
        <v>2688.7669814191245</v>
      </c>
      <c r="L237">
        <v>4</v>
      </c>
    </row>
    <row r="238" spans="1:12" x14ac:dyDescent="0.3">
      <c r="A238" t="s">
        <v>60</v>
      </c>
      <c r="B238" t="s">
        <v>51</v>
      </c>
      <c r="C238" s="5">
        <v>0.39984676499999999</v>
      </c>
      <c r="D238" s="5">
        <v>0.450333333</v>
      </c>
      <c r="E238">
        <v>10</v>
      </c>
      <c r="F238" s="5">
        <v>30.191082802547768</v>
      </c>
      <c r="G238" s="3">
        <f t="shared" si="18"/>
        <v>715.89158894675268</v>
      </c>
      <c r="H238" s="3">
        <f t="shared" si="19"/>
        <v>226.24945482504853</v>
      </c>
      <c r="I238" s="3">
        <f t="shared" si="15"/>
        <v>56562.363706262135</v>
      </c>
      <c r="J238" s="5">
        <f t="shared" si="17"/>
        <v>40.888251827660348</v>
      </c>
      <c r="K238" s="5">
        <f t="shared" si="16"/>
        <v>10222.062956915086</v>
      </c>
      <c r="L238">
        <v>4</v>
      </c>
    </row>
    <row r="239" spans="1:12" x14ac:dyDescent="0.3">
      <c r="A239" t="s">
        <v>60</v>
      </c>
      <c r="B239" t="s">
        <v>51</v>
      </c>
      <c r="C239" s="5">
        <v>0.39984676499999999</v>
      </c>
      <c r="D239" s="5">
        <v>0.450333333</v>
      </c>
      <c r="E239">
        <v>9</v>
      </c>
      <c r="F239" s="5">
        <v>15.19108280254777</v>
      </c>
      <c r="G239" s="3">
        <f t="shared" si="18"/>
        <v>181.24554618813946</v>
      </c>
      <c r="H239" s="3">
        <f t="shared" si="19"/>
        <v>53.415368890415074</v>
      </c>
      <c r="I239" s="3">
        <f t="shared" si="15"/>
        <v>13353.842222603769</v>
      </c>
      <c r="J239" s="5">
        <f t="shared" si="17"/>
        <v>16.254923396486671</v>
      </c>
      <c r="K239" s="5">
        <f t="shared" si="16"/>
        <v>4063.7308491216677</v>
      </c>
      <c r="L239">
        <v>4</v>
      </c>
    </row>
    <row r="240" spans="1:12" x14ac:dyDescent="0.3">
      <c r="A240" t="s">
        <v>60</v>
      </c>
      <c r="B240" t="s">
        <v>51</v>
      </c>
      <c r="C240" s="5">
        <v>0.39984676499999999</v>
      </c>
      <c r="D240" s="5">
        <v>0.450333333</v>
      </c>
      <c r="E240">
        <v>10</v>
      </c>
      <c r="F240" s="5">
        <v>48.089171974522294</v>
      </c>
      <c r="G240" s="3">
        <f t="shared" si="18"/>
        <v>1816.2870221535579</v>
      </c>
      <c r="H240" s="3">
        <f t="shared" si="19"/>
        <v>561.33312082112445</v>
      </c>
      <c r="I240" s="3">
        <f t="shared" si="15"/>
        <v>140333.2802052811</v>
      </c>
      <c r="J240" s="5">
        <f t="shared" si="17"/>
        <v>89.925596141831306</v>
      </c>
      <c r="K240" s="5">
        <f t="shared" si="16"/>
        <v>22481.399035457827</v>
      </c>
      <c r="L240">
        <v>4</v>
      </c>
    </row>
    <row r="241" spans="1:12" x14ac:dyDescent="0.3">
      <c r="A241" t="s">
        <v>60</v>
      </c>
      <c r="B241" t="s">
        <v>33</v>
      </c>
      <c r="C241" s="5">
        <v>1082380952</v>
      </c>
      <c r="D241" s="5">
        <v>0.61247410899999999</v>
      </c>
      <c r="E241" s="1">
        <v>4.5</v>
      </c>
      <c r="F241" s="6">
        <v>11.337579617834395</v>
      </c>
      <c r="G241" s="3">
        <f t="shared" si="18"/>
        <v>100.9556388051635</v>
      </c>
      <c r="H241" s="3">
        <f t="shared" si="19"/>
        <v>20.709605670767441</v>
      </c>
      <c r="I241" s="3">
        <f t="shared" si="15"/>
        <v>5177.4014176918599</v>
      </c>
      <c r="J241" s="5">
        <f t="shared" si="17"/>
        <v>11.010216207554059</v>
      </c>
      <c r="K241" s="5">
        <f t="shared" si="16"/>
        <v>2752.5540518885146</v>
      </c>
      <c r="L241">
        <v>4</v>
      </c>
    </row>
    <row r="242" spans="1:12" x14ac:dyDescent="0.3">
      <c r="A242" t="s">
        <v>60</v>
      </c>
      <c r="B242" t="s">
        <v>33</v>
      </c>
      <c r="C242" s="5">
        <v>1082380952</v>
      </c>
      <c r="D242" s="5">
        <v>0.61247410899999999</v>
      </c>
      <c r="E242" s="1">
        <v>4.5</v>
      </c>
      <c r="F242" s="6">
        <v>9.936305732484076</v>
      </c>
      <c r="G242" s="3">
        <f t="shared" si="18"/>
        <v>77.542495453934436</v>
      </c>
      <c r="H242" s="3">
        <f t="shared" si="19"/>
        <v>16.007783467694491</v>
      </c>
      <c r="I242" s="3">
        <f t="shared" si="15"/>
        <v>4001.9458669236228</v>
      </c>
      <c r="J242" s="5">
        <f t="shared" si="17"/>
        <v>10.540700202847985</v>
      </c>
      <c r="K242" s="5">
        <f t="shared" si="16"/>
        <v>2635.1750507119964</v>
      </c>
      <c r="L242">
        <v>4</v>
      </c>
    </row>
    <row r="243" spans="1:12" x14ac:dyDescent="0.3">
      <c r="A243" t="s">
        <v>60</v>
      </c>
      <c r="B243" t="s">
        <v>52</v>
      </c>
      <c r="C243" s="5">
        <v>0.61</v>
      </c>
      <c r="D243" s="5">
        <v>0.84088888900000003</v>
      </c>
      <c r="E243">
        <v>6</v>
      </c>
      <c r="F243" s="5">
        <v>26.624203821656053</v>
      </c>
      <c r="G243" s="3">
        <f t="shared" si="18"/>
        <v>556.72809729179994</v>
      </c>
      <c r="H243" s="3">
        <f t="shared" si="19"/>
        <v>197.77689408775979</v>
      </c>
      <c r="I243" s="3">
        <f t="shared" si="15"/>
        <v>49444.223521939944</v>
      </c>
      <c r="J243" s="5">
        <f t="shared" si="17"/>
        <v>23.87151281187878</v>
      </c>
      <c r="K243" s="5">
        <f t="shared" si="16"/>
        <v>5967.8782029696949</v>
      </c>
      <c r="L243">
        <v>4</v>
      </c>
    </row>
    <row r="244" spans="1:12" x14ac:dyDescent="0.3">
      <c r="A244" t="s">
        <v>60</v>
      </c>
      <c r="B244" t="s">
        <v>52</v>
      </c>
      <c r="C244" s="5">
        <v>0.61</v>
      </c>
      <c r="D244" s="5">
        <v>0.84088888900000003</v>
      </c>
      <c r="E244">
        <v>8</v>
      </c>
      <c r="F244" s="5">
        <v>67.70700636942675</v>
      </c>
      <c r="G244" s="3">
        <f t="shared" si="18"/>
        <v>3600.45266459512</v>
      </c>
      <c r="H244" s="3">
        <f t="shared" si="19"/>
        <v>1619.4688155014444</v>
      </c>
      <c r="I244" s="3">
        <f t="shared" si="15"/>
        <v>404867.20387536113</v>
      </c>
      <c r="J244" s="5">
        <f t="shared" si="17"/>
        <v>137.34438392226866</v>
      </c>
      <c r="K244" s="5">
        <f t="shared" si="16"/>
        <v>34336.095980567166</v>
      </c>
      <c r="L244">
        <v>4</v>
      </c>
    </row>
    <row r="245" spans="1:12" x14ac:dyDescent="0.3">
      <c r="A245" t="s">
        <v>60</v>
      </c>
      <c r="B245" t="s">
        <v>52</v>
      </c>
      <c r="C245" s="5">
        <v>0.61</v>
      </c>
      <c r="D245" s="5">
        <v>0.84088888900000003</v>
      </c>
      <c r="E245">
        <v>4</v>
      </c>
      <c r="F245" s="5">
        <v>4.3949044585987265</v>
      </c>
      <c r="G245" s="3">
        <f t="shared" si="18"/>
        <v>15.170110981927266</v>
      </c>
      <c r="H245" s="3">
        <f t="shared" si="19"/>
        <v>3.9555584529794028</v>
      </c>
      <c r="I245" s="3">
        <f t="shared" si="15"/>
        <v>988.88961324485069</v>
      </c>
      <c r="J245" s="5">
        <f t="shared" si="17"/>
        <v>9.2561125928029533</v>
      </c>
      <c r="K245" s="5">
        <f t="shared" si="16"/>
        <v>2314.0281482007385</v>
      </c>
      <c r="L245">
        <v>4</v>
      </c>
    </row>
    <row r="246" spans="1:12" x14ac:dyDescent="0.3">
      <c r="A246" t="s">
        <v>60</v>
      </c>
      <c r="B246" t="s">
        <v>17</v>
      </c>
      <c r="C246" s="5">
        <v>0.43836446099999998</v>
      </c>
      <c r="D246" s="5">
        <v>0.58666666700000003</v>
      </c>
      <c r="E246">
        <v>6</v>
      </c>
      <c r="F246" s="5">
        <v>31.050955414012737</v>
      </c>
      <c r="G246" s="3">
        <f t="shared" si="18"/>
        <v>757.25093216732841</v>
      </c>
      <c r="H246" s="3">
        <f t="shared" si="19"/>
        <v>187.91915063190723</v>
      </c>
      <c r="I246" s="3">
        <f t="shared" si="15"/>
        <v>46979.787657976805</v>
      </c>
      <c r="J246" s="5">
        <f t="shared" si="17"/>
        <v>29.233098474583144</v>
      </c>
      <c r="K246" s="5">
        <f t="shared" si="16"/>
        <v>7308.2746186457862</v>
      </c>
      <c r="L246">
        <v>4</v>
      </c>
    </row>
    <row r="247" spans="1:12" x14ac:dyDescent="0.3">
      <c r="A247" t="s">
        <v>60</v>
      </c>
      <c r="B247" t="s">
        <v>53</v>
      </c>
      <c r="C247" s="5">
        <v>0.371297506</v>
      </c>
      <c r="D247" s="5">
        <v>0.35258402799999999</v>
      </c>
      <c r="E247">
        <v>5</v>
      </c>
      <c r="F247" s="5">
        <v>8.1847133757961785</v>
      </c>
      <c r="G247" s="3">
        <f t="shared" si="18"/>
        <v>52.613456219560696</v>
      </c>
      <c r="H247" s="3">
        <f t="shared" si="19"/>
        <v>7.0879542202028656</v>
      </c>
      <c r="I247" s="3">
        <f t="shared" si="15"/>
        <v>1771.9885550507163</v>
      </c>
      <c r="J247" s="5">
        <f t="shared" si="17"/>
        <v>10.158016828268895</v>
      </c>
      <c r="K247" s="5">
        <f t="shared" si="16"/>
        <v>2539.5042070672239</v>
      </c>
      <c r="L247">
        <v>4</v>
      </c>
    </row>
    <row r="248" spans="1:12" x14ac:dyDescent="0.3">
      <c r="A248" t="s">
        <v>60</v>
      </c>
      <c r="B248" t="s">
        <v>53</v>
      </c>
      <c r="C248" s="5">
        <v>0.371297506</v>
      </c>
      <c r="D248" s="5">
        <v>0.35258402799999999</v>
      </c>
      <c r="E248">
        <v>8</v>
      </c>
      <c r="F248" s="5">
        <v>36.433121019108277</v>
      </c>
      <c r="G248" s="3">
        <f t="shared" si="18"/>
        <v>1042.5157722140075</v>
      </c>
      <c r="H248" s="3">
        <f t="shared" si="19"/>
        <v>206.8236269937818</v>
      </c>
      <c r="I248" s="3">
        <f t="shared" si="15"/>
        <v>51705.90674844545</v>
      </c>
      <c r="J248" s="5">
        <f t="shared" si="17"/>
        <v>46.152124601403706</v>
      </c>
      <c r="K248" s="5">
        <f t="shared" si="16"/>
        <v>11538.031150350927</v>
      </c>
      <c r="L248">
        <v>4</v>
      </c>
    </row>
    <row r="249" spans="1:12" x14ac:dyDescent="0.3">
      <c r="A249" t="s">
        <v>60</v>
      </c>
      <c r="B249" t="s">
        <v>53</v>
      </c>
      <c r="C249" s="5">
        <v>0.371297506</v>
      </c>
      <c r="D249" s="5">
        <v>0.35258402799999999</v>
      </c>
      <c r="E249" s="1">
        <v>6.5</v>
      </c>
      <c r="F249" s="5">
        <v>28.566878980891719</v>
      </c>
      <c r="G249" s="3">
        <f t="shared" si="18"/>
        <v>640.9371889864268</v>
      </c>
      <c r="H249" s="3">
        <f t="shared" si="19"/>
        <v>105.04877873356381</v>
      </c>
      <c r="I249" s="3">
        <f t="shared" si="15"/>
        <v>26262.194683390953</v>
      </c>
      <c r="J249" s="5">
        <f t="shared" si="17"/>
        <v>27.551214574627771</v>
      </c>
      <c r="K249" s="5">
        <f t="shared" si="16"/>
        <v>6887.8036436569428</v>
      </c>
      <c r="L249">
        <v>4</v>
      </c>
    </row>
    <row r="250" spans="1:12" x14ac:dyDescent="0.3">
      <c r="A250" t="s">
        <v>62</v>
      </c>
      <c r="B250" t="s">
        <v>21</v>
      </c>
      <c r="C250" s="5">
        <v>0.80908761900000004</v>
      </c>
      <c r="D250" s="5">
        <v>0.87473809499999999</v>
      </c>
      <c r="E250">
        <v>7</v>
      </c>
      <c r="F250" s="5">
        <v>7.7388535031847132</v>
      </c>
      <c r="G250" s="3">
        <f t="shared" si="18"/>
        <v>47.037380979406791</v>
      </c>
      <c r="H250" s="3">
        <f t="shared" si="19"/>
        <v>21.419064165816053</v>
      </c>
      <c r="I250" s="3">
        <f t="shared" si="15"/>
        <v>5354.7660414540132</v>
      </c>
      <c r="J250" s="5">
        <f t="shared" si="17"/>
        <v>10.45300141182198</v>
      </c>
      <c r="K250" s="5">
        <f t="shared" si="16"/>
        <v>2613.2503529554947</v>
      </c>
      <c r="L250">
        <v>4</v>
      </c>
    </row>
    <row r="251" spans="1:12" x14ac:dyDescent="0.3">
      <c r="A251" t="s">
        <v>62</v>
      </c>
      <c r="B251" t="s">
        <v>63</v>
      </c>
      <c r="C251" s="5">
        <v>0.77800000000000002</v>
      </c>
      <c r="D251" s="5">
        <v>0.77386111099999999</v>
      </c>
      <c r="E251" s="1">
        <v>3.5</v>
      </c>
      <c r="F251" s="5">
        <v>3.6305732484076434</v>
      </c>
      <c r="G251" s="3">
        <f t="shared" si="18"/>
        <v>10.352381974434296</v>
      </c>
      <c r="H251" s="3">
        <f t="shared" si="19"/>
        <v>2.205119766556412</v>
      </c>
      <c r="I251" s="3">
        <f t="shared" si="15"/>
        <v>551.27994163910296</v>
      </c>
      <c r="J251" s="5">
        <f t="shared" si="17"/>
        <v>9.147168010872651</v>
      </c>
      <c r="K251" s="5">
        <f t="shared" si="16"/>
        <v>2286.7920027181626</v>
      </c>
      <c r="L251">
        <v>4</v>
      </c>
    </row>
    <row r="252" spans="1:12" x14ac:dyDescent="0.3">
      <c r="A252" t="s">
        <v>62</v>
      </c>
      <c r="B252" t="s">
        <v>55</v>
      </c>
      <c r="C252" s="5">
        <v>0.41</v>
      </c>
      <c r="D252" s="5">
        <v>0.33983503399999998</v>
      </c>
      <c r="E252">
        <v>6</v>
      </c>
      <c r="F252" s="5">
        <v>10.477707006369428</v>
      </c>
      <c r="G252" s="3">
        <f t="shared" si="18"/>
        <v>86.22285143849976</v>
      </c>
      <c r="H252" s="3">
        <f t="shared" si="19"/>
        <v>13.230252035978143</v>
      </c>
      <c r="I252" s="3">
        <f t="shared" si="15"/>
        <v>3307.5630089945357</v>
      </c>
      <c r="J252" s="5">
        <f t="shared" si="17"/>
        <v>11.291129226337784</v>
      </c>
      <c r="K252" s="5">
        <f t="shared" si="16"/>
        <v>2822.7823065844459</v>
      </c>
      <c r="L252">
        <v>4</v>
      </c>
    </row>
    <row r="253" spans="1:12" x14ac:dyDescent="0.3">
      <c r="A253" t="s">
        <v>62</v>
      </c>
      <c r="B253" t="s">
        <v>64</v>
      </c>
      <c r="C253" s="5">
        <v>0.31264018999999998</v>
      </c>
      <c r="D253" s="5">
        <v>0.356821212</v>
      </c>
      <c r="E253">
        <v>5</v>
      </c>
      <c r="F253" s="5">
        <v>6.4968152866242033</v>
      </c>
      <c r="G253" s="3">
        <f t="shared" si="18"/>
        <v>33.150563884892087</v>
      </c>
      <c r="H253" s="3">
        <f t="shared" si="19"/>
        <v>4.568704301936207</v>
      </c>
      <c r="I253" s="3">
        <f t="shared" si="15"/>
        <v>1142.1760754840518</v>
      </c>
      <c r="J253" s="5">
        <f t="shared" si="17"/>
        <v>9.7243506551989931</v>
      </c>
      <c r="K253" s="5">
        <f t="shared" si="16"/>
        <v>2431.0876637997485</v>
      </c>
      <c r="L253">
        <v>4</v>
      </c>
    </row>
    <row r="254" spans="1:12" x14ac:dyDescent="0.3">
      <c r="A254" t="s">
        <v>62</v>
      </c>
      <c r="B254" t="s">
        <v>65</v>
      </c>
      <c r="C254" s="5">
        <v>0.55560299999999996</v>
      </c>
      <c r="D254" s="5">
        <v>0.55961111100000005</v>
      </c>
      <c r="E254" s="1">
        <v>3.5</v>
      </c>
      <c r="F254" s="5">
        <v>17.802547770700635</v>
      </c>
      <c r="G254" s="3">
        <f t="shared" si="18"/>
        <v>248.91679530264716</v>
      </c>
      <c r="H254" s="3">
        <f t="shared" si="19"/>
        <v>35.801704885161797</v>
      </c>
      <c r="I254" s="3">
        <f t="shared" si="15"/>
        <v>8950.4262212904487</v>
      </c>
      <c r="J254" s="5">
        <f t="shared" si="17"/>
        <v>12.868101162318958</v>
      </c>
      <c r="K254" s="5">
        <f t="shared" si="16"/>
        <v>3217.0252905797392</v>
      </c>
      <c r="L254">
        <v>4</v>
      </c>
    </row>
    <row r="255" spans="1:12" x14ac:dyDescent="0.3">
      <c r="A255" t="s">
        <v>62</v>
      </c>
      <c r="B255" t="s">
        <v>56</v>
      </c>
      <c r="C255" s="5">
        <v>0.9</v>
      </c>
      <c r="D255" s="5">
        <v>0.61247410899999999</v>
      </c>
      <c r="E255">
        <v>7</v>
      </c>
      <c r="F255" s="5">
        <v>4.2356687898089174</v>
      </c>
      <c r="G255" s="3">
        <f t="shared" si="18"/>
        <v>14.090742131868904</v>
      </c>
      <c r="H255" s="3">
        <f t="shared" si="19"/>
        <v>4.6642316365258329</v>
      </c>
      <c r="I255" s="3">
        <f t="shared" si="15"/>
        <v>1166.0579091314582</v>
      </c>
      <c r="J255" s="5">
        <f t="shared" si="17"/>
        <v>9.4252518073755525</v>
      </c>
      <c r="K255" s="5">
        <f t="shared" si="16"/>
        <v>2356.3129518438882</v>
      </c>
      <c r="L255">
        <v>4</v>
      </c>
    </row>
    <row r="256" spans="1:12" x14ac:dyDescent="0.3">
      <c r="A256" t="s">
        <v>62</v>
      </c>
      <c r="B256" t="s">
        <v>56</v>
      </c>
      <c r="C256" s="5">
        <v>0.9</v>
      </c>
      <c r="D256" s="5">
        <v>0.61247410899999999</v>
      </c>
      <c r="E256">
        <v>6</v>
      </c>
      <c r="F256" s="5">
        <v>1.7834394904458597</v>
      </c>
      <c r="G256" s="3">
        <f t="shared" si="18"/>
        <v>2.4980817075889461</v>
      </c>
      <c r="H256" s="3">
        <f t="shared" si="19"/>
        <v>0.74155722265958568</v>
      </c>
      <c r="I256" s="3">
        <f t="shared" si="15"/>
        <v>185.38930566489643</v>
      </c>
      <c r="J256" s="5">
        <f t="shared" si="17"/>
        <v>9.0524937847377167</v>
      </c>
      <c r="K256" s="5">
        <f t="shared" si="16"/>
        <v>2263.1234461844292</v>
      </c>
      <c r="L256">
        <v>4</v>
      </c>
    </row>
    <row r="257" spans="1:12" x14ac:dyDescent="0.3">
      <c r="A257" t="s">
        <v>62</v>
      </c>
      <c r="B257" t="s">
        <v>61</v>
      </c>
      <c r="C257" s="5">
        <v>0.62643652800000005</v>
      </c>
      <c r="D257" s="5">
        <v>0.57808694400000005</v>
      </c>
      <c r="E257">
        <v>6</v>
      </c>
      <c r="F257" s="5">
        <v>8.8216560509554132</v>
      </c>
      <c r="G257" s="3">
        <f t="shared" si="18"/>
        <v>61.120953871681195</v>
      </c>
      <c r="H257" s="3">
        <f t="shared" si="19"/>
        <v>15.882170204843614</v>
      </c>
      <c r="I257" s="3">
        <f t="shared" si="15"/>
        <v>3970.5425512109036</v>
      </c>
      <c r="J257" s="5">
        <f t="shared" si="17"/>
        <v>10.619953925108522</v>
      </c>
      <c r="K257" s="5">
        <f t="shared" si="16"/>
        <v>2654.9884812771306</v>
      </c>
      <c r="L257">
        <v>4</v>
      </c>
    </row>
    <row r="258" spans="1:12" x14ac:dyDescent="0.3">
      <c r="A258" t="s">
        <v>62</v>
      </c>
      <c r="B258" t="s">
        <v>51</v>
      </c>
      <c r="C258" s="5">
        <v>0.39984676499999999</v>
      </c>
      <c r="D258" s="5">
        <v>0.450333333</v>
      </c>
      <c r="E258">
        <v>10</v>
      </c>
      <c r="F258" s="5">
        <v>7.9617834394904454</v>
      </c>
      <c r="G258" s="3">
        <f t="shared" si="18"/>
        <v>49.786386072802657</v>
      </c>
      <c r="H258" s="3">
        <f t="shared" si="19"/>
        <v>16.773997109289372</v>
      </c>
      <c r="I258" s="3">
        <f t="shared" ref="I258:I321" si="20">(H258*1000)/L258</f>
        <v>4193.499277322343</v>
      </c>
      <c r="J258" s="5">
        <f t="shared" si="17"/>
        <v>11.20434984380705</v>
      </c>
      <c r="K258" s="5">
        <f t="shared" ref="K258:K321" si="21">(J258*1000)/L258</f>
        <v>2801.0874609517623</v>
      </c>
      <c r="L258">
        <v>4</v>
      </c>
    </row>
    <row r="259" spans="1:12" x14ac:dyDescent="0.3">
      <c r="A259" t="s">
        <v>62</v>
      </c>
      <c r="B259" t="s">
        <v>51</v>
      </c>
      <c r="C259" s="5">
        <v>0.39984676499999999</v>
      </c>
      <c r="D259" s="5">
        <v>0.450333333</v>
      </c>
      <c r="E259">
        <v>10</v>
      </c>
      <c r="F259" s="5">
        <v>23.471337579617831</v>
      </c>
      <c r="G259" s="3">
        <f t="shared" si="18"/>
        <v>432.67874458845034</v>
      </c>
      <c r="H259" s="3">
        <f t="shared" si="19"/>
        <v>138.40577235980334</v>
      </c>
      <c r="I259" s="3">
        <f t="shared" si="20"/>
        <v>34601.443089950837</v>
      </c>
      <c r="J259" s="5">
        <f t="shared" ref="J259:J322" si="22">8.9857 + 0.0035 * F259^2 * E259</f>
        <v>28.267329072173311</v>
      </c>
      <c r="K259" s="5">
        <f t="shared" si="21"/>
        <v>7066.8322680433275</v>
      </c>
      <c r="L259">
        <v>4</v>
      </c>
    </row>
    <row r="260" spans="1:12" x14ac:dyDescent="0.3">
      <c r="A260" t="s">
        <v>62</v>
      </c>
      <c r="B260" t="s">
        <v>51</v>
      </c>
      <c r="C260" s="5">
        <v>0.39984676499999999</v>
      </c>
      <c r="D260" s="5">
        <v>0.450333333</v>
      </c>
      <c r="E260">
        <v>9</v>
      </c>
      <c r="F260" s="5">
        <v>20.541401273885349</v>
      </c>
      <c r="G260" s="3">
        <f t="shared" ref="G260:G323" si="23">PI()*(F260/2)^2</f>
        <v>331.39810025500361</v>
      </c>
      <c r="H260" s="3">
        <f t="shared" ref="H260:H323" si="24">0.0673 * ((D260 * F260^2 * E260)^0.976)</f>
        <v>96.262895139142799</v>
      </c>
      <c r="I260" s="3">
        <f t="shared" si="20"/>
        <v>24065.7237847857</v>
      </c>
      <c r="J260" s="5">
        <f t="shared" si="22"/>
        <v>22.277098738285527</v>
      </c>
      <c r="K260" s="5">
        <f t="shared" si="21"/>
        <v>5569.2746845713818</v>
      </c>
      <c r="L260">
        <v>4</v>
      </c>
    </row>
    <row r="261" spans="1:12" x14ac:dyDescent="0.3">
      <c r="A261" t="s">
        <v>62</v>
      </c>
      <c r="B261" t="s">
        <v>51</v>
      </c>
      <c r="C261" s="5">
        <v>0.39984676499999999</v>
      </c>
      <c r="D261" s="5">
        <v>0.450333333</v>
      </c>
      <c r="E261">
        <v>9</v>
      </c>
      <c r="F261" s="5">
        <v>30.796178343949045</v>
      </c>
      <c r="G261" s="3">
        <f t="shared" si="23"/>
        <v>744.87523146289561</v>
      </c>
      <c r="H261" s="3">
        <f t="shared" si="24"/>
        <v>212.20266487211924</v>
      </c>
      <c r="I261" s="3">
        <f t="shared" si="20"/>
        <v>53050.666218029808</v>
      </c>
      <c r="J261" s="5">
        <f t="shared" si="22"/>
        <v>38.860444918657954</v>
      </c>
      <c r="K261" s="5">
        <f t="shared" si="21"/>
        <v>9715.1112296644878</v>
      </c>
      <c r="L261">
        <v>4</v>
      </c>
    </row>
    <row r="262" spans="1:12" x14ac:dyDescent="0.3">
      <c r="A262" t="s">
        <v>62</v>
      </c>
      <c r="B262" t="s">
        <v>51</v>
      </c>
      <c r="C262" s="5">
        <v>0.39984676499999999</v>
      </c>
      <c r="D262" s="5">
        <v>0.450333333</v>
      </c>
      <c r="E262">
        <v>8</v>
      </c>
      <c r="F262" s="5">
        <v>15.063694267515922</v>
      </c>
      <c r="G262" s="3">
        <f t="shared" si="23"/>
        <v>178.21853391491305</v>
      </c>
      <c r="H262" s="3">
        <f t="shared" si="24"/>
        <v>46.838442037875318</v>
      </c>
      <c r="I262" s="3">
        <f t="shared" si="20"/>
        <v>11709.61050946883</v>
      </c>
      <c r="J262" s="5">
        <f t="shared" si="22"/>
        <v>15.339316779585378</v>
      </c>
      <c r="K262" s="5">
        <f t="shared" si="21"/>
        <v>3834.8291948963442</v>
      </c>
      <c r="L262">
        <v>4</v>
      </c>
    </row>
    <row r="263" spans="1:12" x14ac:dyDescent="0.3">
      <c r="A263" t="s">
        <v>62</v>
      </c>
      <c r="B263" t="s">
        <v>51</v>
      </c>
      <c r="C263" s="5">
        <v>0.39984676499999999</v>
      </c>
      <c r="D263" s="5">
        <v>0.450333333</v>
      </c>
      <c r="E263">
        <v>11</v>
      </c>
      <c r="F263" s="5">
        <v>5.4458598726114653</v>
      </c>
      <c r="G263" s="3">
        <f t="shared" si="23"/>
        <v>23.29285944247717</v>
      </c>
      <c r="H263" s="3">
        <f t="shared" si="24"/>
        <v>8.7713276676587171</v>
      </c>
      <c r="I263" s="3">
        <f t="shared" si="20"/>
        <v>2192.8319169146794</v>
      </c>
      <c r="J263" s="5">
        <f t="shared" si="22"/>
        <v>10.127509505456612</v>
      </c>
      <c r="K263" s="5">
        <f t="shared" si="21"/>
        <v>2531.877376364153</v>
      </c>
      <c r="L263">
        <v>4</v>
      </c>
    </row>
    <row r="264" spans="1:12" x14ac:dyDescent="0.3">
      <c r="A264" t="s">
        <v>62</v>
      </c>
      <c r="B264" t="s">
        <v>51</v>
      </c>
      <c r="C264" s="5">
        <v>0.39984676499999999</v>
      </c>
      <c r="D264" s="5">
        <v>0.450333333</v>
      </c>
      <c r="E264">
        <v>7</v>
      </c>
      <c r="F264" s="5">
        <v>16.242038216560509</v>
      </c>
      <c r="G264" s="3">
        <f t="shared" si="23"/>
        <v>207.19102428057556</v>
      </c>
      <c r="H264" s="3">
        <f t="shared" si="24"/>
        <v>47.626683213138655</v>
      </c>
      <c r="I264" s="3">
        <f t="shared" si="20"/>
        <v>11906.670803284664</v>
      </c>
      <c r="J264" s="5">
        <f t="shared" si="22"/>
        <v>15.448893232991196</v>
      </c>
      <c r="K264" s="5">
        <f t="shared" si="21"/>
        <v>3862.2233082477992</v>
      </c>
      <c r="L264">
        <v>4</v>
      </c>
    </row>
    <row r="265" spans="1:12" x14ac:dyDescent="0.3">
      <c r="A265" t="s">
        <v>62</v>
      </c>
      <c r="B265" t="s">
        <v>51</v>
      </c>
      <c r="C265" s="5">
        <v>0.39984676499999999</v>
      </c>
      <c r="D265" s="5">
        <v>0.450333333</v>
      </c>
      <c r="E265">
        <v>7</v>
      </c>
      <c r="F265" s="5">
        <v>48.121019108280251</v>
      </c>
      <c r="G265" s="3">
        <f t="shared" si="23"/>
        <v>1818.6934969107724</v>
      </c>
      <c r="H265" s="3">
        <f t="shared" si="24"/>
        <v>396.82368737497785</v>
      </c>
      <c r="I265" s="3">
        <f t="shared" si="20"/>
        <v>99205.921843744465</v>
      </c>
      <c r="J265" s="5">
        <f t="shared" si="22"/>
        <v>65.718695760477075</v>
      </c>
      <c r="K265" s="5">
        <f t="shared" si="21"/>
        <v>16429.673940119268</v>
      </c>
      <c r="L265">
        <v>4</v>
      </c>
    </row>
    <row r="266" spans="1:12" x14ac:dyDescent="0.3">
      <c r="A266" t="s">
        <v>62</v>
      </c>
      <c r="B266" t="s">
        <v>33</v>
      </c>
      <c r="C266" s="5">
        <v>1082380952</v>
      </c>
      <c r="D266" s="5">
        <v>0.61247410899999999</v>
      </c>
      <c r="E266">
        <v>5</v>
      </c>
      <c r="F266" s="5">
        <v>23.853503184713375</v>
      </c>
      <c r="G266" s="3">
        <f t="shared" si="23"/>
        <v>446.88339797165389</v>
      </c>
      <c r="H266" s="3">
        <f t="shared" si="24"/>
        <v>98.036828312963934</v>
      </c>
      <c r="I266" s="3">
        <f t="shared" si="20"/>
        <v>24509.207078240983</v>
      </c>
      <c r="J266" s="5">
        <f t="shared" si="22"/>
        <v>18.943018248204794</v>
      </c>
      <c r="K266" s="5">
        <f t="shared" si="21"/>
        <v>4735.7545620511983</v>
      </c>
      <c r="L266">
        <v>4</v>
      </c>
    </row>
    <row r="267" spans="1:12" x14ac:dyDescent="0.3">
      <c r="A267" t="s">
        <v>62</v>
      </c>
      <c r="B267" t="s">
        <v>33</v>
      </c>
      <c r="C267" s="5">
        <v>1082380952</v>
      </c>
      <c r="D267" s="5">
        <v>0.61247410899999999</v>
      </c>
      <c r="E267">
        <v>6</v>
      </c>
      <c r="F267" s="5">
        <v>17.802547770700635</v>
      </c>
      <c r="G267" s="3">
        <f t="shared" si="23"/>
        <v>248.91679530264716</v>
      </c>
      <c r="H267" s="3">
        <f t="shared" si="24"/>
        <v>66.165178656769328</v>
      </c>
      <c r="I267" s="3">
        <f t="shared" si="20"/>
        <v>16541.294664192334</v>
      </c>
      <c r="J267" s="5">
        <f t="shared" si="22"/>
        <v>15.641244849689642</v>
      </c>
      <c r="K267" s="5">
        <f t="shared" si="21"/>
        <v>3910.3112124224103</v>
      </c>
      <c r="L267">
        <v>4</v>
      </c>
    </row>
    <row r="268" spans="1:12" x14ac:dyDescent="0.3">
      <c r="A268" t="s">
        <v>62</v>
      </c>
      <c r="B268" t="s">
        <v>52</v>
      </c>
      <c r="C268" s="5">
        <v>0.61</v>
      </c>
      <c r="D268" s="5">
        <v>0.84088888900000003</v>
      </c>
      <c r="E268">
        <v>8</v>
      </c>
      <c r="F268" s="5">
        <v>34.681528662420384</v>
      </c>
      <c r="G268" s="3">
        <f t="shared" si="23"/>
        <v>944.68353212550744</v>
      </c>
      <c r="H268" s="3">
        <f t="shared" si="24"/>
        <v>438.78071050393442</v>
      </c>
      <c r="I268" s="3">
        <f t="shared" si="20"/>
        <v>109695.1776259836</v>
      </c>
      <c r="J268" s="5">
        <f t="shared" si="22"/>
        <v>42.664336050144023</v>
      </c>
      <c r="K268" s="5">
        <f t="shared" si="21"/>
        <v>10666.084012536006</v>
      </c>
      <c r="L268">
        <v>4</v>
      </c>
    </row>
    <row r="269" spans="1:12" x14ac:dyDescent="0.3">
      <c r="A269" t="s">
        <v>62</v>
      </c>
      <c r="B269" t="s">
        <v>17</v>
      </c>
      <c r="C269" s="5">
        <v>0.43836446099999998</v>
      </c>
      <c r="D269" s="5">
        <v>0.58666666700000003</v>
      </c>
      <c r="E269">
        <v>7</v>
      </c>
      <c r="F269" s="5">
        <v>32.484076433121025</v>
      </c>
      <c r="G269" s="3">
        <f t="shared" si="23"/>
        <v>828.76409712230259</v>
      </c>
      <c r="H269" s="3">
        <f t="shared" si="24"/>
        <v>238.54022960203525</v>
      </c>
      <c r="I269" s="3">
        <f t="shared" si="20"/>
        <v>59635.057400508813</v>
      </c>
      <c r="J269" s="5">
        <f t="shared" si="22"/>
        <v>34.838472931964795</v>
      </c>
      <c r="K269" s="5">
        <f t="shared" si="21"/>
        <v>8709.618232991199</v>
      </c>
      <c r="L269">
        <v>4</v>
      </c>
    </row>
    <row r="270" spans="1:12" x14ac:dyDescent="0.3">
      <c r="A270" t="s">
        <v>62</v>
      </c>
      <c r="B270" t="s">
        <v>17</v>
      </c>
      <c r="C270" s="5">
        <v>0.43836446099999998</v>
      </c>
      <c r="D270" s="5">
        <v>0.58666666700000003</v>
      </c>
      <c r="E270">
        <v>6</v>
      </c>
      <c r="F270" s="5">
        <v>22.101910828025478</v>
      </c>
      <c r="G270" s="3">
        <f t="shared" si="23"/>
        <v>383.66265348096618</v>
      </c>
      <c r="H270" s="3">
        <f t="shared" si="24"/>
        <v>96.776011067851513</v>
      </c>
      <c r="I270" s="3">
        <f t="shared" si="20"/>
        <v>24194.00276696288</v>
      </c>
      <c r="J270" s="5">
        <f t="shared" si="22"/>
        <v>19.244083707249786</v>
      </c>
      <c r="K270" s="5">
        <f t="shared" si="21"/>
        <v>4811.0209268124463</v>
      </c>
      <c r="L270">
        <v>4</v>
      </c>
    </row>
    <row r="271" spans="1:12" x14ac:dyDescent="0.3">
      <c r="A271" t="s">
        <v>66</v>
      </c>
      <c r="B271" t="s">
        <v>67</v>
      </c>
      <c r="C271" s="5">
        <v>0.43916666700000001</v>
      </c>
      <c r="D271" s="5">
        <v>0.51877777800000002</v>
      </c>
      <c r="E271">
        <v>6</v>
      </c>
      <c r="F271" s="5">
        <v>10</v>
      </c>
      <c r="G271" s="3">
        <f t="shared" si="23"/>
        <v>78.539816339744831</v>
      </c>
      <c r="H271" s="3">
        <f t="shared" si="24"/>
        <v>18.252085584510233</v>
      </c>
      <c r="I271" s="3">
        <f t="shared" si="20"/>
        <v>2607.4407977871765</v>
      </c>
      <c r="J271" s="5">
        <f t="shared" si="22"/>
        <v>11.085699999999999</v>
      </c>
      <c r="K271" s="5">
        <f t="shared" si="21"/>
        <v>1583.6714285714284</v>
      </c>
      <c r="L271">
        <v>7</v>
      </c>
    </row>
    <row r="272" spans="1:12" x14ac:dyDescent="0.3">
      <c r="A272" t="s">
        <v>66</v>
      </c>
      <c r="B272" t="s">
        <v>55</v>
      </c>
      <c r="C272" s="5">
        <v>0.41</v>
      </c>
      <c r="D272" s="5">
        <v>0.33983503399999998</v>
      </c>
      <c r="E272">
        <v>7</v>
      </c>
      <c r="F272" s="5">
        <v>8.0891719745222925</v>
      </c>
      <c r="G272" s="3">
        <f t="shared" si="23"/>
        <v>51.39229574196699</v>
      </c>
      <c r="H272" s="3">
        <f t="shared" si="24"/>
        <v>9.280624608852154</v>
      </c>
      <c r="I272" s="3">
        <f t="shared" si="20"/>
        <v>1325.8035155503078</v>
      </c>
      <c r="J272" s="5">
        <f t="shared" si="22"/>
        <v>10.588850229218224</v>
      </c>
      <c r="K272" s="5">
        <f t="shared" si="21"/>
        <v>1512.6928898883177</v>
      </c>
      <c r="L272">
        <v>7</v>
      </c>
    </row>
    <row r="273" spans="1:12" x14ac:dyDescent="0.3">
      <c r="A273" t="s">
        <v>66</v>
      </c>
      <c r="B273" t="s">
        <v>48</v>
      </c>
      <c r="C273" s="5">
        <v>0.63206279899999995</v>
      </c>
      <c r="D273" s="5">
        <v>0.75690909100000003</v>
      </c>
      <c r="E273">
        <v>5</v>
      </c>
      <c r="F273" s="5">
        <v>6.1783439490445851</v>
      </c>
      <c r="G273" s="3">
        <f t="shared" si="23"/>
        <v>29.980166819776009</v>
      </c>
      <c r="H273" s="3">
        <f t="shared" si="24"/>
        <v>8.6285687615675997</v>
      </c>
      <c r="I273" s="3">
        <f t="shared" si="20"/>
        <v>1232.6526802239428</v>
      </c>
      <c r="J273" s="5">
        <f t="shared" si="22"/>
        <v>9.6537088441721775</v>
      </c>
      <c r="K273" s="5">
        <f t="shared" si="21"/>
        <v>1379.1012634531683</v>
      </c>
      <c r="L273">
        <v>7</v>
      </c>
    </row>
    <row r="274" spans="1:12" x14ac:dyDescent="0.3">
      <c r="A274" t="s">
        <v>66</v>
      </c>
      <c r="B274" t="s">
        <v>48</v>
      </c>
      <c r="C274" s="5">
        <v>0.63206279899999995</v>
      </c>
      <c r="D274" s="5">
        <v>0.75690909100000003</v>
      </c>
      <c r="E274" s="1">
        <v>5.5</v>
      </c>
      <c r="F274" s="5">
        <v>19.076433121019104</v>
      </c>
      <c r="G274" s="3">
        <f t="shared" si="23"/>
        <v>285.81448174892262</v>
      </c>
      <c r="H274" s="3">
        <f t="shared" si="24"/>
        <v>85.523645675365358</v>
      </c>
      <c r="I274" s="3">
        <f t="shared" si="20"/>
        <v>12217.663667909337</v>
      </c>
      <c r="J274" s="5">
        <f t="shared" si="22"/>
        <v>15.990973286948757</v>
      </c>
      <c r="K274" s="5">
        <f t="shared" si="21"/>
        <v>2284.4247552783936</v>
      </c>
      <c r="L274">
        <v>7</v>
      </c>
    </row>
    <row r="275" spans="1:12" x14ac:dyDescent="0.3">
      <c r="A275" t="s">
        <v>66</v>
      </c>
      <c r="B275" t="s">
        <v>48</v>
      </c>
      <c r="C275" s="5">
        <v>0.63206279899999995</v>
      </c>
      <c r="D275" s="5">
        <v>0.75690909100000003</v>
      </c>
      <c r="E275" s="1">
        <v>4.5</v>
      </c>
      <c r="F275" s="5">
        <v>4.6178343949044587</v>
      </c>
      <c r="G275" s="3">
        <f t="shared" si="23"/>
        <v>16.748140274890819</v>
      </c>
      <c r="H275" s="3">
        <f t="shared" si="24"/>
        <v>4.4104288173545854</v>
      </c>
      <c r="I275" s="3">
        <f t="shared" si="20"/>
        <v>630.06125962208364</v>
      </c>
      <c r="J275" s="5">
        <f t="shared" si="22"/>
        <v>9.3215592133555116</v>
      </c>
      <c r="K275" s="5">
        <f t="shared" si="21"/>
        <v>1331.6513161936443</v>
      </c>
      <c r="L275">
        <v>7</v>
      </c>
    </row>
    <row r="276" spans="1:12" x14ac:dyDescent="0.3">
      <c r="A276" t="s">
        <v>66</v>
      </c>
      <c r="B276" t="s">
        <v>56</v>
      </c>
      <c r="C276" s="5">
        <v>0.9</v>
      </c>
      <c r="D276" s="5">
        <v>0.61247410899999999</v>
      </c>
      <c r="E276">
        <v>3</v>
      </c>
      <c r="F276" s="5">
        <v>2.6433121019108281</v>
      </c>
      <c r="G276" s="3">
        <f t="shared" si="23"/>
        <v>5.4876546184886017</v>
      </c>
      <c r="H276" s="3">
        <f t="shared" si="24"/>
        <v>0.81267481498658056</v>
      </c>
      <c r="I276" s="3">
        <f t="shared" si="20"/>
        <v>116.09640214094009</v>
      </c>
      <c r="J276" s="5">
        <f t="shared" si="22"/>
        <v>9.0590645381151358</v>
      </c>
      <c r="K276" s="5">
        <f t="shared" si="21"/>
        <v>1294.1520768735907</v>
      </c>
      <c r="L276">
        <v>7</v>
      </c>
    </row>
    <row r="277" spans="1:12" x14ac:dyDescent="0.3">
      <c r="A277" t="s">
        <v>66</v>
      </c>
      <c r="B277" t="s">
        <v>50</v>
      </c>
      <c r="C277" s="5">
        <v>0.52500000000000002</v>
      </c>
      <c r="D277" s="5">
        <v>0.52500000000000002</v>
      </c>
      <c r="E277">
        <v>6</v>
      </c>
      <c r="F277" s="5">
        <v>18.121019108280255</v>
      </c>
      <c r="G277" s="3">
        <f t="shared" si="23"/>
        <v>257.90224226106665</v>
      </c>
      <c r="H277" s="3">
        <f t="shared" si="24"/>
        <v>58.930297787845461</v>
      </c>
      <c r="I277" s="3">
        <f t="shared" si="20"/>
        <v>8418.6139696922091</v>
      </c>
      <c r="J277" s="5">
        <f t="shared" si="22"/>
        <v>15.881498003975821</v>
      </c>
      <c r="K277" s="5">
        <f t="shared" si="21"/>
        <v>2268.7854291394028</v>
      </c>
      <c r="L277">
        <v>7</v>
      </c>
    </row>
    <row r="278" spans="1:12" x14ac:dyDescent="0.3">
      <c r="A278" t="s">
        <v>66</v>
      </c>
      <c r="B278" t="s">
        <v>61</v>
      </c>
      <c r="C278" s="5">
        <v>0.62643652800000005</v>
      </c>
      <c r="D278" s="5">
        <v>0.57808694400000005</v>
      </c>
      <c r="E278">
        <v>6</v>
      </c>
      <c r="F278" s="5">
        <v>26.273885350318469</v>
      </c>
      <c r="G278" s="3">
        <f t="shared" si="23"/>
        <v>542.173744332821</v>
      </c>
      <c r="H278" s="3">
        <f t="shared" si="24"/>
        <v>133.6926230646547</v>
      </c>
      <c r="I278" s="3">
        <f t="shared" si="20"/>
        <v>19098.946152093529</v>
      </c>
      <c r="J278" s="5">
        <f t="shared" si="22"/>
        <v>23.482358079435272</v>
      </c>
      <c r="K278" s="5">
        <f t="shared" si="21"/>
        <v>3354.6225827764674</v>
      </c>
      <c r="L278">
        <v>7</v>
      </c>
    </row>
    <row r="279" spans="1:12" x14ac:dyDescent="0.3">
      <c r="A279" t="s">
        <v>66</v>
      </c>
      <c r="B279" t="s">
        <v>61</v>
      </c>
      <c r="C279" s="5">
        <v>0.62643652800000005</v>
      </c>
      <c r="D279" s="5">
        <v>0.57808694400000005</v>
      </c>
      <c r="E279" s="1">
        <v>6.5</v>
      </c>
      <c r="F279" s="5">
        <v>34.522292993630572</v>
      </c>
      <c r="G279" s="3">
        <f t="shared" si="23"/>
        <v>936.02866677061127</v>
      </c>
      <c r="H279" s="3">
        <f t="shared" si="24"/>
        <v>246.31695735435574</v>
      </c>
      <c r="I279" s="3">
        <f t="shared" si="20"/>
        <v>35188.136764907962</v>
      </c>
      <c r="J279" s="5">
        <f t="shared" si="22"/>
        <v>36.098893232991195</v>
      </c>
      <c r="K279" s="5">
        <f t="shared" si="21"/>
        <v>5156.9847475701699</v>
      </c>
      <c r="L279">
        <v>7</v>
      </c>
    </row>
    <row r="280" spans="1:12" x14ac:dyDescent="0.3">
      <c r="A280" t="s">
        <v>66</v>
      </c>
      <c r="B280" t="s">
        <v>61</v>
      </c>
      <c r="C280" s="5">
        <v>0.62643652800000005</v>
      </c>
      <c r="D280" s="5">
        <v>0.57808694400000005</v>
      </c>
      <c r="E280">
        <v>7</v>
      </c>
      <c r="F280" s="5">
        <v>40.636942675159233</v>
      </c>
      <c r="G280" s="3">
        <f t="shared" si="23"/>
        <v>1296.9759828875447</v>
      </c>
      <c r="H280" s="3">
        <f t="shared" si="24"/>
        <v>364.04068240149007</v>
      </c>
      <c r="I280" s="3">
        <f t="shared" si="20"/>
        <v>52005.811771641434</v>
      </c>
      <c r="J280" s="5">
        <f t="shared" si="22"/>
        <v>49.444047194612352</v>
      </c>
      <c r="K280" s="5">
        <f t="shared" si="21"/>
        <v>7063.43531351605</v>
      </c>
      <c r="L280">
        <v>7</v>
      </c>
    </row>
    <row r="281" spans="1:12" x14ac:dyDescent="0.3">
      <c r="A281" t="s">
        <v>66</v>
      </c>
      <c r="B281" t="s">
        <v>61</v>
      </c>
      <c r="C281" s="5">
        <v>0.62643652800000005</v>
      </c>
      <c r="D281" s="5">
        <v>0.57808694400000005</v>
      </c>
      <c r="E281">
        <v>6</v>
      </c>
      <c r="F281" s="5">
        <v>42.834394904458598</v>
      </c>
      <c r="G281" s="3">
        <f t="shared" si="23"/>
        <v>1441.0370730456295</v>
      </c>
      <c r="H281" s="3">
        <f t="shared" si="24"/>
        <v>347.1004971738102</v>
      </c>
      <c r="I281" s="3">
        <f t="shared" si="20"/>
        <v>49585.785310544314</v>
      </c>
      <c r="J281" s="5">
        <f t="shared" si="22"/>
        <v>47.516193123453284</v>
      </c>
      <c r="K281" s="5">
        <f t="shared" si="21"/>
        <v>6788.0275890647545</v>
      </c>
      <c r="L281">
        <v>7</v>
      </c>
    </row>
    <row r="282" spans="1:12" x14ac:dyDescent="0.3">
      <c r="A282" t="s">
        <v>66</v>
      </c>
      <c r="B282" t="s">
        <v>61</v>
      </c>
      <c r="C282" s="5">
        <v>0.62643652800000005</v>
      </c>
      <c r="D282" s="5">
        <v>0.57808694400000005</v>
      </c>
      <c r="E282">
        <v>6</v>
      </c>
      <c r="F282" s="5">
        <v>80.636942675159233</v>
      </c>
      <c r="G282" s="3">
        <f t="shared" si="23"/>
        <v>5106.9074557760587</v>
      </c>
      <c r="H282" s="3">
        <f t="shared" si="24"/>
        <v>1193.3023111059365</v>
      </c>
      <c r="I282" s="3">
        <f t="shared" si="20"/>
        <v>170471.7587294195</v>
      </c>
      <c r="J282" s="5">
        <f t="shared" si="22"/>
        <v>145.53434700393524</v>
      </c>
      <c r="K282" s="5">
        <f t="shared" si="21"/>
        <v>20790.621000562176</v>
      </c>
      <c r="L282">
        <v>7</v>
      </c>
    </row>
    <row r="283" spans="1:12" x14ac:dyDescent="0.3">
      <c r="A283" t="s">
        <v>66</v>
      </c>
      <c r="B283" t="s">
        <v>61</v>
      </c>
      <c r="C283" s="5">
        <v>0.62643652800000005</v>
      </c>
      <c r="D283" s="5">
        <v>0.57808694400000005</v>
      </c>
      <c r="E283" s="1">
        <v>5.5</v>
      </c>
      <c r="F283" s="5">
        <v>53.726114649681534</v>
      </c>
      <c r="G283" s="3">
        <f t="shared" si="23"/>
        <v>2267.0481821636504</v>
      </c>
      <c r="H283" s="3">
        <f t="shared" si="24"/>
        <v>496.1766727510751</v>
      </c>
      <c r="I283" s="3">
        <f t="shared" si="20"/>
        <v>70882.381821582167</v>
      </c>
      <c r="J283" s="5">
        <f t="shared" si="22"/>
        <v>64.550736360501446</v>
      </c>
      <c r="K283" s="5">
        <f t="shared" si="21"/>
        <v>9221.5337657859218</v>
      </c>
      <c r="L283">
        <v>7</v>
      </c>
    </row>
    <row r="284" spans="1:12" x14ac:dyDescent="0.3">
      <c r="A284" t="s">
        <v>66</v>
      </c>
      <c r="B284" t="s">
        <v>61</v>
      </c>
      <c r="C284" s="5">
        <v>0.62643652800000005</v>
      </c>
      <c r="D284" s="5">
        <v>0.57808694400000005</v>
      </c>
      <c r="E284" s="1">
        <v>6.5</v>
      </c>
      <c r="F284" s="5">
        <v>68.439490445859875</v>
      </c>
      <c r="G284" s="3">
        <f t="shared" si="23"/>
        <v>3678.7766071648539</v>
      </c>
      <c r="H284" s="3">
        <f t="shared" si="24"/>
        <v>936.79083985453963</v>
      </c>
      <c r="I284" s="3">
        <f t="shared" si="20"/>
        <v>133827.26283636279</v>
      </c>
      <c r="J284" s="5">
        <f t="shared" si="22"/>
        <v>115.54587764412349</v>
      </c>
      <c r="K284" s="5">
        <f t="shared" si="21"/>
        <v>16506.553949160498</v>
      </c>
      <c r="L284">
        <v>7</v>
      </c>
    </row>
    <row r="285" spans="1:12" x14ac:dyDescent="0.3">
      <c r="A285" t="s">
        <v>66</v>
      </c>
      <c r="B285" t="s">
        <v>33</v>
      </c>
      <c r="C285" s="5">
        <v>1082380952</v>
      </c>
      <c r="D285" s="5">
        <v>0.61247410899999999</v>
      </c>
      <c r="E285">
        <v>6</v>
      </c>
      <c r="F285" s="5">
        <v>4.6496815286624198</v>
      </c>
      <c r="G285" s="3">
        <f t="shared" si="23"/>
        <v>16.979945688445781</v>
      </c>
      <c r="H285" s="3">
        <f t="shared" si="24"/>
        <v>4.8139149711013225</v>
      </c>
      <c r="I285" s="3">
        <f t="shared" si="20"/>
        <v>687.70213872876036</v>
      </c>
      <c r="J285" s="5">
        <f t="shared" si="22"/>
        <v>9.4397103046776749</v>
      </c>
      <c r="K285" s="5">
        <f t="shared" si="21"/>
        <v>1348.5300435253823</v>
      </c>
      <c r="L285">
        <v>7</v>
      </c>
    </row>
    <row r="286" spans="1:12" x14ac:dyDescent="0.3">
      <c r="A286" t="s">
        <v>66</v>
      </c>
      <c r="B286" t="s">
        <v>68</v>
      </c>
      <c r="C286" s="5">
        <v>0.39</v>
      </c>
      <c r="D286" s="5">
        <v>0.28861111099999998</v>
      </c>
      <c r="E286" s="1">
        <v>4.5</v>
      </c>
      <c r="F286" s="5">
        <v>5.2547770700636942</v>
      </c>
      <c r="G286" s="3">
        <f t="shared" si="23"/>
        <v>21.68694977331284</v>
      </c>
      <c r="H286" s="3">
        <f t="shared" si="24"/>
        <v>2.2148177594903453</v>
      </c>
      <c r="I286" s="3">
        <f t="shared" si="20"/>
        <v>316.40253707004933</v>
      </c>
      <c r="J286" s="5">
        <f t="shared" si="22"/>
        <v>9.4205997423830574</v>
      </c>
      <c r="K286" s="5">
        <f t="shared" si="21"/>
        <v>1345.7999631975797</v>
      </c>
      <c r="L286">
        <v>7</v>
      </c>
    </row>
    <row r="287" spans="1:12" x14ac:dyDescent="0.3">
      <c r="A287" t="s">
        <v>66</v>
      </c>
      <c r="B287" t="s">
        <v>17</v>
      </c>
      <c r="C287" s="5">
        <v>0.43836446099999998</v>
      </c>
      <c r="D287" s="5">
        <v>0.58666666700000003</v>
      </c>
      <c r="E287">
        <v>6</v>
      </c>
      <c r="F287" s="5">
        <v>19.777070063694268</v>
      </c>
      <c r="G287" s="3">
        <f t="shared" si="23"/>
        <v>307.1947473840271</v>
      </c>
      <c r="H287" s="3">
        <f t="shared" si="24"/>
        <v>77.902040708479078</v>
      </c>
      <c r="I287" s="3">
        <f t="shared" si="20"/>
        <v>11128.862958354153</v>
      </c>
      <c r="J287" s="5">
        <f t="shared" si="22"/>
        <v>17.199482506389714</v>
      </c>
      <c r="K287" s="5">
        <f t="shared" si="21"/>
        <v>2457.068929484245</v>
      </c>
      <c r="L287">
        <v>7</v>
      </c>
    </row>
    <row r="288" spans="1:12" x14ac:dyDescent="0.3">
      <c r="A288" t="s">
        <v>66</v>
      </c>
      <c r="B288" t="s">
        <v>17</v>
      </c>
      <c r="C288" s="5">
        <v>0.43836446099999998</v>
      </c>
      <c r="D288" s="5">
        <v>0.58666666700000003</v>
      </c>
      <c r="E288" s="1">
        <v>5.5</v>
      </c>
      <c r="F288" s="5">
        <v>24.076433121019104</v>
      </c>
      <c r="G288" s="3">
        <f t="shared" si="23"/>
        <v>455.27539120808535</v>
      </c>
      <c r="H288" s="3">
        <f t="shared" si="24"/>
        <v>105.05747060049707</v>
      </c>
      <c r="I288" s="3">
        <f t="shared" si="20"/>
        <v>15008.210085785295</v>
      </c>
      <c r="J288" s="5">
        <f t="shared" si="22"/>
        <v>20.144436662744937</v>
      </c>
      <c r="K288" s="5">
        <f t="shared" si="21"/>
        <v>2877.7766661064197</v>
      </c>
      <c r="L288">
        <v>7</v>
      </c>
    </row>
    <row r="289" spans="1:12" x14ac:dyDescent="0.3">
      <c r="A289" t="s">
        <v>66</v>
      </c>
      <c r="B289" t="s">
        <v>42</v>
      </c>
      <c r="C289" s="5">
        <v>0.40238543599999999</v>
      </c>
      <c r="D289" s="5">
        <v>0.40883333300000002</v>
      </c>
      <c r="E289">
        <v>12</v>
      </c>
      <c r="F289" s="5">
        <v>17.00636942675159</v>
      </c>
      <c r="G289" s="3">
        <f t="shared" si="23"/>
        <v>227.1501873116178</v>
      </c>
      <c r="H289" s="3">
        <f t="shared" si="24"/>
        <v>80.226714562541446</v>
      </c>
      <c r="I289" s="3">
        <f t="shared" si="20"/>
        <v>11460.959223220207</v>
      </c>
      <c r="J289" s="5">
        <f t="shared" si="22"/>
        <v>21.132797245324351</v>
      </c>
      <c r="K289" s="5">
        <f t="shared" si="21"/>
        <v>3018.9710350463361</v>
      </c>
      <c r="L289">
        <v>7</v>
      </c>
    </row>
    <row r="290" spans="1:12" x14ac:dyDescent="0.3">
      <c r="A290" t="s">
        <v>66</v>
      </c>
      <c r="B290" t="s">
        <v>42</v>
      </c>
      <c r="C290" s="5">
        <v>0.40238543599999999</v>
      </c>
      <c r="D290" s="5">
        <v>0.40883333300000002</v>
      </c>
      <c r="E290">
        <v>12</v>
      </c>
      <c r="F290" s="5">
        <v>22.452229299363058</v>
      </c>
      <c r="G290" s="3">
        <f t="shared" si="23"/>
        <v>395.92125660535595</v>
      </c>
      <c r="H290" s="3">
        <f t="shared" si="24"/>
        <v>137.98237948728163</v>
      </c>
      <c r="I290" s="3">
        <f t="shared" si="20"/>
        <v>19711.76849818309</v>
      </c>
      <c r="J290" s="5">
        <f t="shared" si="22"/>
        <v>30.158009221469435</v>
      </c>
      <c r="K290" s="5">
        <f t="shared" si="21"/>
        <v>4308.2870316384906</v>
      </c>
      <c r="L290">
        <v>7</v>
      </c>
    </row>
    <row r="291" spans="1:12" x14ac:dyDescent="0.3">
      <c r="A291" t="s">
        <v>66</v>
      </c>
      <c r="B291" t="s">
        <v>57</v>
      </c>
      <c r="C291" s="5">
        <v>0.693333333</v>
      </c>
      <c r="D291" s="5">
        <v>0.64166666699999997</v>
      </c>
      <c r="E291">
        <v>6</v>
      </c>
      <c r="F291" s="5">
        <v>10.063694267515924</v>
      </c>
      <c r="G291" s="3">
        <f t="shared" si="23"/>
        <v>79.543509882972543</v>
      </c>
      <c r="H291" s="3">
        <f t="shared" si="24"/>
        <v>22.740879066864679</v>
      </c>
      <c r="I291" s="3">
        <f t="shared" si="20"/>
        <v>3248.6970095520969</v>
      </c>
      <c r="J291" s="5">
        <f t="shared" si="22"/>
        <v>11.11253678851069</v>
      </c>
      <c r="K291" s="5">
        <f t="shared" si="21"/>
        <v>1587.505255501527</v>
      </c>
      <c r="L291">
        <v>7</v>
      </c>
    </row>
    <row r="292" spans="1:12" x14ac:dyDescent="0.3">
      <c r="A292" t="s">
        <v>69</v>
      </c>
      <c r="B292" t="s">
        <v>70</v>
      </c>
      <c r="C292" s="5">
        <v>0.86</v>
      </c>
      <c r="D292" s="5">
        <v>0.65666666699999998</v>
      </c>
      <c r="E292">
        <v>7</v>
      </c>
      <c r="F292" s="5">
        <v>42.70700636942675</v>
      </c>
      <c r="G292" s="3">
        <f t="shared" si="23"/>
        <v>1432.4785941341702</v>
      </c>
      <c r="H292" s="3">
        <f t="shared" si="24"/>
        <v>454.2487542423458</v>
      </c>
      <c r="I292" s="3">
        <f t="shared" si="20"/>
        <v>64892.67917747797</v>
      </c>
      <c r="J292" s="5">
        <f t="shared" si="22"/>
        <v>53.670965629437298</v>
      </c>
      <c r="K292" s="5">
        <f t="shared" si="21"/>
        <v>7667.2808042053284</v>
      </c>
      <c r="L292">
        <v>7</v>
      </c>
    </row>
    <row r="293" spans="1:12" x14ac:dyDescent="0.3">
      <c r="A293" t="s">
        <v>69</v>
      </c>
      <c r="B293" t="s">
        <v>70</v>
      </c>
      <c r="C293" s="5">
        <v>0.86</v>
      </c>
      <c r="D293" s="5">
        <v>0.65666666699999998</v>
      </c>
      <c r="E293">
        <v>7</v>
      </c>
      <c r="F293" s="5">
        <v>10.031847133757962</v>
      </c>
      <c r="G293" s="3">
        <f t="shared" si="23"/>
        <v>79.040866529181514</v>
      </c>
      <c r="H293" s="3">
        <f t="shared" si="24"/>
        <v>26.869214574979377</v>
      </c>
      <c r="I293" s="3">
        <f t="shared" si="20"/>
        <v>3838.4592249970542</v>
      </c>
      <c r="J293" s="5">
        <f t="shared" si="22"/>
        <v>11.451329944419651</v>
      </c>
      <c r="K293" s="5">
        <f t="shared" si="21"/>
        <v>1635.9042777742359</v>
      </c>
      <c r="L293">
        <v>7</v>
      </c>
    </row>
    <row r="294" spans="1:12" x14ac:dyDescent="0.3">
      <c r="A294" t="s">
        <v>69</v>
      </c>
      <c r="B294" t="s">
        <v>55</v>
      </c>
      <c r="C294" s="5">
        <v>0.41</v>
      </c>
      <c r="D294" s="5">
        <v>0.33983503399999998</v>
      </c>
      <c r="E294">
        <v>6</v>
      </c>
      <c r="F294" s="5">
        <v>11.082802547770699</v>
      </c>
      <c r="G294" s="3">
        <f t="shared" si="23"/>
        <v>96.469287983371089</v>
      </c>
      <c r="H294" s="3">
        <f t="shared" si="24"/>
        <v>14.762652907610374</v>
      </c>
      <c r="I294" s="3">
        <f t="shared" si="20"/>
        <v>2108.9504153729108</v>
      </c>
      <c r="J294" s="5">
        <f t="shared" si="22"/>
        <v>11.565098758570326</v>
      </c>
      <c r="K294" s="5">
        <f t="shared" si="21"/>
        <v>1652.1569655100466</v>
      </c>
      <c r="L294">
        <v>7</v>
      </c>
    </row>
    <row r="295" spans="1:12" x14ac:dyDescent="0.3">
      <c r="A295" t="s">
        <v>69</v>
      </c>
      <c r="B295" t="s">
        <v>48</v>
      </c>
      <c r="C295" s="5">
        <v>0.63206279899999995</v>
      </c>
      <c r="D295" s="5">
        <v>0.75690909100000003</v>
      </c>
      <c r="E295">
        <v>6</v>
      </c>
      <c r="F295" s="5">
        <v>9.7133757961783438</v>
      </c>
      <c r="G295" s="3">
        <f t="shared" si="23"/>
        <v>74.102057030759482</v>
      </c>
      <c r="H295" s="3">
        <f t="shared" si="24"/>
        <v>24.933541561450205</v>
      </c>
      <c r="I295" s="3">
        <f t="shared" si="20"/>
        <v>3561.934508778601</v>
      </c>
      <c r="J295" s="5">
        <f t="shared" si="22"/>
        <v>10.967043056513448</v>
      </c>
      <c r="K295" s="5">
        <f t="shared" si="21"/>
        <v>1566.7204366447784</v>
      </c>
      <c r="L295">
        <v>7</v>
      </c>
    </row>
    <row r="296" spans="1:12" x14ac:dyDescent="0.3">
      <c r="A296" t="s">
        <v>69</v>
      </c>
      <c r="B296" t="s">
        <v>61</v>
      </c>
      <c r="C296" s="5">
        <v>0.62643652800000005</v>
      </c>
      <c r="D296" s="5">
        <v>0.57808694400000005</v>
      </c>
      <c r="E296">
        <v>7</v>
      </c>
      <c r="F296" s="5">
        <v>24.777070063694271</v>
      </c>
      <c r="G296" s="3">
        <f t="shared" si="23"/>
        <v>482.1584465230448</v>
      </c>
      <c r="H296" s="3">
        <f t="shared" si="24"/>
        <v>138.58670739076314</v>
      </c>
      <c r="I296" s="3">
        <f t="shared" si="20"/>
        <v>19798.101055823303</v>
      </c>
      <c r="J296" s="5">
        <f t="shared" si="22"/>
        <v>24.026328423059766</v>
      </c>
      <c r="K296" s="5">
        <f t="shared" si="21"/>
        <v>3432.3326318656809</v>
      </c>
      <c r="L296">
        <v>7</v>
      </c>
    </row>
    <row r="297" spans="1:12" x14ac:dyDescent="0.3">
      <c r="A297" t="s">
        <v>69</v>
      </c>
      <c r="B297" t="s">
        <v>61</v>
      </c>
      <c r="C297" s="5">
        <v>0.62643652800000005</v>
      </c>
      <c r="D297" s="5">
        <v>0.57808694400000005</v>
      </c>
      <c r="E297" s="1">
        <v>7.5</v>
      </c>
      <c r="F297" s="5">
        <v>37.356687898089163</v>
      </c>
      <c r="G297" s="3">
        <f t="shared" si="23"/>
        <v>1096.0405184442443</v>
      </c>
      <c r="H297" s="3">
        <f t="shared" si="24"/>
        <v>330.40242718835867</v>
      </c>
      <c r="I297" s="3">
        <f t="shared" si="20"/>
        <v>47200.346741194095</v>
      </c>
      <c r="J297" s="5">
        <f t="shared" si="22"/>
        <v>45.618155931275084</v>
      </c>
      <c r="K297" s="5">
        <f t="shared" si="21"/>
        <v>6516.8794187535832</v>
      </c>
      <c r="L297">
        <v>7</v>
      </c>
    </row>
    <row r="298" spans="1:12" x14ac:dyDescent="0.3">
      <c r="A298" t="s">
        <v>69</v>
      </c>
      <c r="B298" t="s">
        <v>61</v>
      </c>
      <c r="C298" s="5">
        <v>0.62643652800000005</v>
      </c>
      <c r="D298" s="5">
        <v>0.57808694400000005</v>
      </c>
      <c r="E298">
        <v>7</v>
      </c>
      <c r="F298" s="5">
        <v>38.566878980891715</v>
      </c>
      <c r="G298" s="3">
        <f t="shared" si="23"/>
        <v>1168.204491037962</v>
      </c>
      <c r="H298" s="3">
        <f t="shared" si="24"/>
        <v>328.72048635120245</v>
      </c>
      <c r="I298" s="3">
        <f t="shared" si="20"/>
        <v>46960.069478743208</v>
      </c>
      <c r="J298" s="5">
        <f t="shared" si="22"/>
        <v>45.427101781005305</v>
      </c>
      <c r="K298" s="5">
        <f t="shared" si="21"/>
        <v>6489.5859687150432</v>
      </c>
      <c r="L298">
        <v>7</v>
      </c>
    </row>
    <row r="299" spans="1:12" x14ac:dyDescent="0.3">
      <c r="A299" t="s">
        <v>69</v>
      </c>
      <c r="B299" t="s">
        <v>51</v>
      </c>
      <c r="C299" s="5">
        <v>0.39984676499999999</v>
      </c>
      <c r="D299" s="5">
        <v>0.450333333</v>
      </c>
      <c r="E299">
        <v>9</v>
      </c>
      <c r="F299" s="5">
        <v>26.815286624203821</v>
      </c>
      <c r="G299" s="3">
        <f t="shared" si="23"/>
        <v>564.74808665149556</v>
      </c>
      <c r="H299" s="3">
        <f t="shared" si="24"/>
        <v>161.95992192190616</v>
      </c>
      <c r="I299" s="3">
        <f t="shared" si="20"/>
        <v>23137.131703129449</v>
      </c>
      <c r="J299" s="5">
        <f t="shared" si="22"/>
        <v>31.636077297253436</v>
      </c>
      <c r="K299" s="5">
        <f t="shared" si="21"/>
        <v>4519.439613893348</v>
      </c>
      <c r="L299">
        <v>7</v>
      </c>
    </row>
    <row r="300" spans="1:12" x14ac:dyDescent="0.3">
      <c r="A300" t="s">
        <v>69</v>
      </c>
      <c r="B300" t="s">
        <v>33</v>
      </c>
      <c r="C300" s="5">
        <v>1082380952</v>
      </c>
      <c r="D300" s="5">
        <v>0.61247410899999999</v>
      </c>
      <c r="E300">
        <v>5</v>
      </c>
      <c r="F300" s="5">
        <v>5.1273885350318471</v>
      </c>
      <c r="G300" s="3">
        <f t="shared" si="23"/>
        <v>20.648206614289887</v>
      </c>
      <c r="H300" s="3">
        <f t="shared" si="24"/>
        <v>4.8766866876081263</v>
      </c>
      <c r="I300" s="3">
        <f t="shared" si="20"/>
        <v>696.66952680116094</v>
      </c>
      <c r="J300" s="5">
        <f t="shared" si="22"/>
        <v>9.4457769808105798</v>
      </c>
      <c r="K300" s="5">
        <f t="shared" si="21"/>
        <v>1349.3967115443686</v>
      </c>
      <c r="L300">
        <v>7</v>
      </c>
    </row>
    <row r="301" spans="1:12" x14ac:dyDescent="0.3">
      <c r="A301" t="s">
        <v>69</v>
      </c>
      <c r="B301" t="s">
        <v>52</v>
      </c>
      <c r="C301" s="5">
        <v>0.61</v>
      </c>
      <c r="D301" s="5">
        <v>0.84088888900000003</v>
      </c>
      <c r="E301">
        <v>6</v>
      </c>
      <c r="F301" s="5">
        <v>3.8853503184713372</v>
      </c>
      <c r="G301" s="3">
        <f t="shared" si="23"/>
        <v>11.856329124921515</v>
      </c>
      <c r="H301" s="3">
        <f t="shared" si="24"/>
        <v>4.6195884656285742</v>
      </c>
      <c r="I301" s="3">
        <f t="shared" si="20"/>
        <v>659.94120937551065</v>
      </c>
      <c r="J301" s="5">
        <f t="shared" si="22"/>
        <v>9.3027148890421518</v>
      </c>
      <c r="K301" s="5">
        <f t="shared" si="21"/>
        <v>1328.9592698631645</v>
      </c>
      <c r="L301">
        <v>7</v>
      </c>
    </row>
    <row r="302" spans="1:12" x14ac:dyDescent="0.3">
      <c r="A302" t="s">
        <v>69</v>
      </c>
      <c r="B302" t="s">
        <v>52</v>
      </c>
      <c r="C302" s="5">
        <v>0.61</v>
      </c>
      <c r="D302" s="5">
        <v>0.84088888900000003</v>
      </c>
      <c r="E302">
        <v>5</v>
      </c>
      <c r="F302" s="5">
        <v>12.770700636942674</v>
      </c>
      <c r="G302" s="3">
        <f t="shared" si="23"/>
        <v>128.09121067028386</v>
      </c>
      <c r="H302" s="3">
        <f t="shared" si="24"/>
        <v>39.453525586368677</v>
      </c>
      <c r="I302" s="3">
        <f t="shared" si="20"/>
        <v>5636.2179409098107</v>
      </c>
      <c r="J302" s="5">
        <f t="shared" si="22"/>
        <v>11.839788908272141</v>
      </c>
      <c r="K302" s="5">
        <f t="shared" si="21"/>
        <v>1691.3984154674488</v>
      </c>
      <c r="L302">
        <v>7</v>
      </c>
    </row>
    <row r="303" spans="1:12" x14ac:dyDescent="0.3">
      <c r="A303" t="s">
        <v>69</v>
      </c>
      <c r="B303" t="s">
        <v>52</v>
      </c>
      <c r="C303" s="5">
        <v>0.61</v>
      </c>
      <c r="D303" s="5">
        <v>0.84088888900000003</v>
      </c>
      <c r="E303">
        <v>8</v>
      </c>
      <c r="F303" s="5">
        <v>29.617834394904456</v>
      </c>
      <c r="G303" s="3">
        <f t="shared" si="23"/>
        <v>688.96392502987237</v>
      </c>
      <c r="H303" s="3">
        <f t="shared" si="24"/>
        <v>322.43918988988503</v>
      </c>
      <c r="I303" s="3">
        <f t="shared" si="20"/>
        <v>46062.741412840718</v>
      </c>
      <c r="J303" s="5">
        <f t="shared" si="22"/>
        <v>33.547751198831591</v>
      </c>
      <c r="K303" s="5">
        <f t="shared" si="21"/>
        <v>4792.5358855473696</v>
      </c>
      <c r="L303">
        <v>7</v>
      </c>
    </row>
    <row r="304" spans="1:12" x14ac:dyDescent="0.3">
      <c r="A304" t="s">
        <v>69</v>
      </c>
      <c r="B304" t="s">
        <v>17</v>
      </c>
      <c r="C304" s="5">
        <v>0.43836446099999998</v>
      </c>
      <c r="D304" s="5">
        <v>0.58666666700000003</v>
      </c>
      <c r="E304">
        <v>5</v>
      </c>
      <c r="F304" s="5">
        <v>10.668789808917197</v>
      </c>
      <c r="G304" s="3">
        <f t="shared" si="23"/>
        <v>89.396434832324445</v>
      </c>
      <c r="H304" s="3">
        <f t="shared" si="24"/>
        <v>19.545221574333535</v>
      </c>
      <c r="I304" s="3">
        <f t="shared" si="20"/>
        <v>2792.1745106190765</v>
      </c>
      <c r="J304" s="5">
        <f t="shared" si="22"/>
        <v>10.97760382976997</v>
      </c>
      <c r="K304" s="5">
        <f t="shared" si="21"/>
        <v>1568.2291185385673</v>
      </c>
      <c r="L304">
        <v>7</v>
      </c>
    </row>
    <row r="305" spans="1:12" x14ac:dyDescent="0.3">
      <c r="A305" t="s">
        <v>69</v>
      </c>
      <c r="B305" t="s">
        <v>17</v>
      </c>
      <c r="C305" s="5">
        <v>0.43836446099999998</v>
      </c>
      <c r="D305" s="5">
        <v>0.58666666700000003</v>
      </c>
      <c r="E305" s="1">
        <v>6.5</v>
      </c>
      <c r="F305" s="5">
        <v>16.050955414012737</v>
      </c>
      <c r="G305" s="3">
        <f t="shared" si="23"/>
        <v>202.34461831470463</v>
      </c>
      <c r="H305" s="3">
        <f t="shared" si="24"/>
        <v>56.041048720505763</v>
      </c>
      <c r="I305" s="3">
        <f t="shared" si="20"/>
        <v>8005.8641029293949</v>
      </c>
      <c r="J305" s="5">
        <f t="shared" si="22"/>
        <v>14.846854610734713</v>
      </c>
      <c r="K305" s="5">
        <f t="shared" si="21"/>
        <v>2120.9792301049592</v>
      </c>
      <c r="L305">
        <v>7</v>
      </c>
    </row>
    <row r="306" spans="1:12" x14ac:dyDescent="0.3">
      <c r="A306" t="s">
        <v>69</v>
      </c>
      <c r="B306" t="s">
        <v>42</v>
      </c>
      <c r="C306" s="5">
        <v>0.40238543599999999</v>
      </c>
      <c r="D306" s="5">
        <v>0.40883333300000002</v>
      </c>
      <c r="E306">
        <v>11</v>
      </c>
      <c r="F306" s="5">
        <v>28.726114649681527</v>
      </c>
      <c r="G306" s="3">
        <f t="shared" si="23"/>
        <v>648.10244567002451</v>
      </c>
      <c r="H306" s="3">
        <f t="shared" si="24"/>
        <v>205.04066396263306</v>
      </c>
      <c r="I306" s="3">
        <f t="shared" si="20"/>
        <v>29291.523423233295</v>
      </c>
      <c r="J306" s="5">
        <f t="shared" si="22"/>
        <v>40.755502020365931</v>
      </c>
      <c r="K306" s="5">
        <f t="shared" si="21"/>
        <v>5822.2145743379897</v>
      </c>
      <c r="L306">
        <v>7</v>
      </c>
    </row>
    <row r="307" spans="1:12" x14ac:dyDescent="0.3">
      <c r="A307" t="s">
        <v>69</v>
      </c>
      <c r="B307" t="s">
        <v>44</v>
      </c>
      <c r="C307" s="5">
        <v>0.57917600000000002</v>
      </c>
      <c r="D307" s="5">
        <v>0.60285714300000004</v>
      </c>
      <c r="E307">
        <v>8</v>
      </c>
      <c r="F307" s="5">
        <v>58.121019108280251</v>
      </c>
      <c r="G307" s="3">
        <f t="shared" si="23"/>
        <v>2653.1165138196538</v>
      </c>
      <c r="H307" s="3">
        <f t="shared" si="24"/>
        <v>868.75757335503636</v>
      </c>
      <c r="I307" s="3">
        <f t="shared" si="20"/>
        <v>124108.22476500519</v>
      </c>
      <c r="J307" s="5">
        <f t="shared" si="22"/>
        <v>103.57118014118218</v>
      </c>
      <c r="K307" s="5">
        <f t="shared" si="21"/>
        <v>14795.88287731174</v>
      </c>
      <c r="L307">
        <v>7</v>
      </c>
    </row>
    <row r="308" spans="1:12" x14ac:dyDescent="0.3">
      <c r="A308" t="s">
        <v>71</v>
      </c>
      <c r="B308" t="s">
        <v>21</v>
      </c>
      <c r="C308" s="5">
        <v>0.80908761900000004</v>
      </c>
      <c r="D308" s="5">
        <v>0.87473809499999999</v>
      </c>
      <c r="E308">
        <v>12</v>
      </c>
      <c r="F308" s="5">
        <v>25.668789808917193</v>
      </c>
      <c r="G308" s="3">
        <f t="shared" si="23"/>
        <v>517.48845924465957</v>
      </c>
      <c r="H308" s="3">
        <f t="shared" si="24"/>
        <v>376.46816442120826</v>
      </c>
      <c r="I308" s="3">
        <f t="shared" si="20"/>
        <v>53781.166345886893</v>
      </c>
      <c r="J308" s="5">
        <f t="shared" si="22"/>
        <v>36.658944350683591</v>
      </c>
      <c r="K308" s="5">
        <f t="shared" si="21"/>
        <v>5236.9920500976559</v>
      </c>
      <c r="L308">
        <v>7</v>
      </c>
    </row>
    <row r="309" spans="1:12" x14ac:dyDescent="0.3">
      <c r="A309" t="s">
        <v>71</v>
      </c>
      <c r="B309" t="s">
        <v>21</v>
      </c>
      <c r="C309" s="5">
        <v>0.80908761900000004</v>
      </c>
      <c r="D309" s="5">
        <v>0.87473809499999999</v>
      </c>
      <c r="E309">
        <v>12</v>
      </c>
      <c r="F309" s="5">
        <v>26.815286624203821</v>
      </c>
      <c r="G309" s="3">
        <f t="shared" si="23"/>
        <v>564.74808665149556</v>
      </c>
      <c r="H309" s="3">
        <f t="shared" si="24"/>
        <v>409.9882945622951</v>
      </c>
      <c r="I309" s="3">
        <f t="shared" si="20"/>
        <v>58569.756366042151</v>
      </c>
      <c r="J309" s="5">
        <f t="shared" si="22"/>
        <v>39.186203063004584</v>
      </c>
      <c r="K309" s="5">
        <f t="shared" si="21"/>
        <v>5598.0290090006547</v>
      </c>
      <c r="L309">
        <v>7</v>
      </c>
    </row>
    <row r="310" spans="1:12" x14ac:dyDescent="0.3">
      <c r="A310" t="s">
        <v>71</v>
      </c>
      <c r="B310" t="s">
        <v>64</v>
      </c>
      <c r="C310" s="5">
        <v>0.31264018999999998</v>
      </c>
      <c r="D310" s="5">
        <v>0.356821212</v>
      </c>
      <c r="E310">
        <v>6</v>
      </c>
      <c r="F310" s="5">
        <v>13.789808917197451</v>
      </c>
      <c r="G310" s="3">
        <f t="shared" si="23"/>
        <v>149.35039581445918</v>
      </c>
      <c r="H310" s="3">
        <f t="shared" si="24"/>
        <v>23.719210719032588</v>
      </c>
      <c r="I310" s="3">
        <f t="shared" si="20"/>
        <v>3388.4586741475127</v>
      </c>
      <c r="J310" s="5">
        <f t="shared" si="22"/>
        <v>12.979035429429185</v>
      </c>
      <c r="K310" s="5">
        <f t="shared" si="21"/>
        <v>1854.1479184898835</v>
      </c>
      <c r="L310">
        <v>7</v>
      </c>
    </row>
    <row r="311" spans="1:12" x14ac:dyDescent="0.3">
      <c r="A311" t="s">
        <v>71</v>
      </c>
      <c r="B311" t="s">
        <v>64</v>
      </c>
      <c r="C311" s="5">
        <v>0.31264018999999998</v>
      </c>
      <c r="D311" s="5">
        <v>0.356821212</v>
      </c>
      <c r="E311">
        <v>5</v>
      </c>
      <c r="F311" s="5">
        <v>7.7388535031847132</v>
      </c>
      <c r="G311" s="3">
        <f t="shared" si="23"/>
        <v>47.037380979406791</v>
      </c>
      <c r="H311" s="3">
        <f t="shared" si="24"/>
        <v>6.428333645612148</v>
      </c>
      <c r="I311" s="3">
        <f t="shared" si="20"/>
        <v>918.3333779445926</v>
      </c>
      <c r="J311" s="5">
        <f t="shared" si="22"/>
        <v>10.033772437015699</v>
      </c>
      <c r="K311" s="5">
        <f t="shared" si="21"/>
        <v>1433.3960624308143</v>
      </c>
      <c r="L311">
        <v>7</v>
      </c>
    </row>
    <row r="312" spans="1:12" x14ac:dyDescent="0.3">
      <c r="A312" t="s">
        <v>71</v>
      </c>
      <c r="B312" t="s">
        <v>64</v>
      </c>
      <c r="C312" s="5">
        <v>0.31264018999999998</v>
      </c>
      <c r="D312" s="5">
        <v>0.356821212</v>
      </c>
      <c r="E312" s="1">
        <v>4.5</v>
      </c>
      <c r="F312" s="5">
        <v>7.388535031847133</v>
      </c>
      <c r="G312" s="3">
        <f t="shared" si="23"/>
        <v>42.875239103720482</v>
      </c>
      <c r="H312" s="3">
        <f t="shared" si="24"/>
        <v>5.2986861859257255</v>
      </c>
      <c r="I312" s="3">
        <f t="shared" si="20"/>
        <v>756.95516941796075</v>
      </c>
      <c r="J312" s="5">
        <f t="shared" si="22"/>
        <v>9.8454995861901082</v>
      </c>
      <c r="K312" s="5">
        <f t="shared" si="21"/>
        <v>1406.4999408843012</v>
      </c>
      <c r="L312">
        <v>7</v>
      </c>
    </row>
    <row r="313" spans="1:12" x14ac:dyDescent="0.3">
      <c r="A313" t="s">
        <v>71</v>
      </c>
      <c r="B313" t="s">
        <v>50</v>
      </c>
      <c r="C313" s="5">
        <v>0.52500000000000002</v>
      </c>
      <c r="D313" s="5">
        <v>0.52500000000000002</v>
      </c>
      <c r="E313">
        <v>6</v>
      </c>
      <c r="F313" s="5">
        <v>6.5286624203821653</v>
      </c>
      <c r="G313" s="3">
        <f t="shared" si="23"/>
        <v>33.476365995352509</v>
      </c>
      <c r="H313" s="3">
        <f t="shared" si="24"/>
        <v>8.0334672671401179</v>
      </c>
      <c r="I313" s="3">
        <f t="shared" si="20"/>
        <v>1147.6381810200169</v>
      </c>
      <c r="J313" s="5">
        <f t="shared" si="22"/>
        <v>9.8807920929855158</v>
      </c>
      <c r="K313" s="5">
        <f t="shared" si="21"/>
        <v>1411.5417275693594</v>
      </c>
      <c r="L313">
        <v>7</v>
      </c>
    </row>
    <row r="314" spans="1:12" x14ac:dyDescent="0.3">
      <c r="A314" t="s">
        <v>71</v>
      </c>
      <c r="B314" t="s">
        <v>50</v>
      </c>
      <c r="C314" s="5">
        <v>0.52500000000000002</v>
      </c>
      <c r="D314" s="5">
        <v>0.52500000000000002</v>
      </c>
      <c r="E314">
        <v>8</v>
      </c>
      <c r="F314" s="5">
        <v>15.796178343949045</v>
      </c>
      <c r="G314" s="3">
        <f t="shared" si="23"/>
        <v>195.97196089738594</v>
      </c>
      <c r="H314" s="3">
        <f t="shared" si="24"/>
        <v>59.687024776492926</v>
      </c>
      <c r="I314" s="3">
        <f t="shared" si="20"/>
        <v>8526.7178252132744</v>
      </c>
      <c r="J314" s="5">
        <f t="shared" si="22"/>
        <v>15.972239007667653</v>
      </c>
      <c r="K314" s="5">
        <f t="shared" si="21"/>
        <v>2281.7484296668076</v>
      </c>
      <c r="L314">
        <v>7</v>
      </c>
    </row>
    <row r="315" spans="1:12" x14ac:dyDescent="0.3">
      <c r="A315" t="s">
        <v>71</v>
      </c>
      <c r="B315" t="s">
        <v>50</v>
      </c>
      <c r="C315" s="5">
        <v>0.52500000000000002</v>
      </c>
      <c r="D315" s="5">
        <v>0.52500000000000002</v>
      </c>
      <c r="E315">
        <v>10</v>
      </c>
      <c r="F315" s="5">
        <v>37.802547770700635</v>
      </c>
      <c r="G315" s="3">
        <f t="shared" si="23"/>
        <v>1122.359593577771</v>
      </c>
      <c r="H315" s="3">
        <f t="shared" si="24"/>
        <v>407.57888295186126</v>
      </c>
      <c r="I315" s="3">
        <f t="shared" si="20"/>
        <v>58225.554707408752</v>
      </c>
      <c r="J315" s="5">
        <f t="shared" si="22"/>
        <v>59.001841628463623</v>
      </c>
      <c r="K315" s="5">
        <f t="shared" si="21"/>
        <v>8428.8345183519468</v>
      </c>
      <c r="L315">
        <v>7</v>
      </c>
    </row>
    <row r="316" spans="1:12" x14ac:dyDescent="0.3">
      <c r="A316" t="s">
        <v>71</v>
      </c>
      <c r="B316" t="s">
        <v>50</v>
      </c>
      <c r="C316" s="5">
        <v>0.52500000000000002</v>
      </c>
      <c r="D316" s="5">
        <v>0.52500000000000002</v>
      </c>
      <c r="E316" s="1">
        <v>6.5</v>
      </c>
      <c r="F316" s="5">
        <v>8.7261146496815272</v>
      </c>
      <c r="G316" s="3">
        <f t="shared" si="23"/>
        <v>59.804203532827714</v>
      </c>
      <c r="H316" s="3">
        <f t="shared" si="24"/>
        <v>15.302993931128864</v>
      </c>
      <c r="I316" s="3">
        <f t="shared" si="20"/>
        <v>2186.1419901612662</v>
      </c>
      <c r="J316" s="5">
        <f t="shared" si="22"/>
        <v>10.718000499006044</v>
      </c>
      <c r="K316" s="5">
        <f t="shared" si="21"/>
        <v>1531.142928429435</v>
      </c>
      <c r="L316">
        <v>7</v>
      </c>
    </row>
    <row r="317" spans="1:12" x14ac:dyDescent="0.3">
      <c r="A317" t="s">
        <v>71</v>
      </c>
      <c r="B317" t="s">
        <v>50</v>
      </c>
      <c r="C317" s="5">
        <v>0.52500000000000002</v>
      </c>
      <c r="D317" s="5">
        <v>0.52500000000000002</v>
      </c>
      <c r="E317">
        <v>5</v>
      </c>
      <c r="F317" s="5">
        <v>8.7579617834394909</v>
      </c>
      <c r="G317" s="3">
        <f t="shared" si="23"/>
        <v>60.241527148091237</v>
      </c>
      <c r="H317" s="3">
        <f t="shared" si="24"/>
        <v>11.930427719329533</v>
      </c>
      <c r="I317" s="3">
        <f t="shared" si="20"/>
        <v>1704.3468170470762</v>
      </c>
      <c r="J317" s="5">
        <f t="shared" si="22"/>
        <v>10.327983155503265</v>
      </c>
      <c r="K317" s="5">
        <f t="shared" si="21"/>
        <v>1475.426165071895</v>
      </c>
      <c r="L317">
        <v>7</v>
      </c>
    </row>
    <row r="318" spans="1:12" x14ac:dyDescent="0.3">
      <c r="A318" t="s">
        <v>71</v>
      </c>
      <c r="B318" t="s">
        <v>51</v>
      </c>
      <c r="C318" s="5">
        <v>0.39984676499999999</v>
      </c>
      <c r="D318" s="5">
        <v>0.450333333</v>
      </c>
      <c r="E318">
        <v>7</v>
      </c>
      <c r="F318" s="5">
        <v>18.375796178343951</v>
      </c>
      <c r="G318" s="3">
        <f t="shared" si="23"/>
        <v>265.20530766131395</v>
      </c>
      <c r="H318" s="3">
        <f t="shared" si="24"/>
        <v>60.602221056554534</v>
      </c>
      <c r="I318" s="3">
        <f t="shared" si="20"/>
        <v>8657.460150936362</v>
      </c>
      <c r="J318" s="5">
        <f t="shared" si="22"/>
        <v>17.258612187106984</v>
      </c>
      <c r="K318" s="5">
        <f t="shared" si="21"/>
        <v>2465.5160267295691</v>
      </c>
      <c r="L318">
        <v>7</v>
      </c>
    </row>
    <row r="319" spans="1:12" x14ac:dyDescent="0.3">
      <c r="A319" t="s">
        <v>71</v>
      </c>
      <c r="B319" t="s">
        <v>51</v>
      </c>
      <c r="C319" s="5">
        <v>0.39984676499999999</v>
      </c>
      <c r="D319" s="5">
        <v>0.450333333</v>
      </c>
      <c r="E319">
        <v>7</v>
      </c>
      <c r="F319" s="5">
        <v>16.273885350318473</v>
      </c>
      <c r="G319" s="3">
        <f t="shared" si="23"/>
        <v>208.00433468346091</v>
      </c>
      <c r="H319" s="3">
        <f t="shared" si="24"/>
        <v>47.809142139369754</v>
      </c>
      <c r="I319" s="3">
        <f t="shared" si="20"/>
        <v>6829.877448481393</v>
      </c>
      <c r="J319" s="5">
        <f t="shared" si="22"/>
        <v>15.4742639376851</v>
      </c>
      <c r="K319" s="5">
        <f t="shared" si="21"/>
        <v>2210.6091339550144</v>
      </c>
      <c r="L319">
        <v>7</v>
      </c>
    </row>
    <row r="320" spans="1:12" x14ac:dyDescent="0.3">
      <c r="A320" t="s">
        <v>71</v>
      </c>
      <c r="B320" t="s">
        <v>17</v>
      </c>
      <c r="C320" s="5">
        <v>0.43836446099999998</v>
      </c>
      <c r="D320" s="5">
        <v>0.58666666700000003</v>
      </c>
      <c r="E320">
        <v>6</v>
      </c>
      <c r="F320" s="5">
        <v>11.273885350318473</v>
      </c>
      <c r="G320" s="3">
        <f t="shared" si="23"/>
        <v>99.824492113589457</v>
      </c>
      <c r="H320" s="3">
        <f t="shared" si="24"/>
        <v>26.006888664178685</v>
      </c>
      <c r="I320" s="3">
        <f t="shared" si="20"/>
        <v>3715.2698091683837</v>
      </c>
      <c r="J320" s="5">
        <f t="shared" si="22"/>
        <v>11.654810308734636</v>
      </c>
      <c r="K320" s="5">
        <f t="shared" si="21"/>
        <v>1664.9729012478051</v>
      </c>
      <c r="L320">
        <v>7</v>
      </c>
    </row>
    <row r="321" spans="1:12" x14ac:dyDescent="0.3">
      <c r="A321" t="s">
        <v>71</v>
      </c>
      <c r="B321" t="s">
        <v>17</v>
      </c>
      <c r="C321" s="5">
        <v>0.43836446099999998</v>
      </c>
      <c r="D321" s="5">
        <v>0.58666666700000003</v>
      </c>
      <c r="E321" s="1">
        <v>5.5</v>
      </c>
      <c r="F321" s="5">
        <v>10.668789808917197</v>
      </c>
      <c r="G321" s="3">
        <f t="shared" si="23"/>
        <v>89.396434832324445</v>
      </c>
      <c r="H321" s="3">
        <f t="shared" si="24"/>
        <v>21.450620469969529</v>
      </c>
      <c r="I321" s="3">
        <f t="shared" si="20"/>
        <v>3064.3743528527898</v>
      </c>
      <c r="J321" s="5">
        <f t="shared" si="22"/>
        <v>11.176794212746966</v>
      </c>
      <c r="K321" s="5">
        <f t="shared" si="21"/>
        <v>1596.6848875352807</v>
      </c>
      <c r="L321">
        <v>7</v>
      </c>
    </row>
    <row r="322" spans="1:12" x14ac:dyDescent="0.3">
      <c r="A322" t="s">
        <v>72</v>
      </c>
      <c r="B322" t="s">
        <v>64</v>
      </c>
      <c r="C322" s="5">
        <v>0.31264018999999998</v>
      </c>
      <c r="D322" s="5">
        <v>0.356821212</v>
      </c>
      <c r="E322">
        <v>3</v>
      </c>
      <c r="F322" s="5">
        <v>6.8471337579617835</v>
      </c>
      <c r="G322" s="3">
        <f t="shared" si="23"/>
        <v>36.822011139444854</v>
      </c>
      <c r="H322" s="3">
        <f t="shared" si="24"/>
        <v>3.0746129895454435</v>
      </c>
      <c r="I322" s="3">
        <f t="shared" ref="I322:I385" si="25">(H322*1000)/L322</f>
        <v>439.23042707792047</v>
      </c>
      <c r="J322" s="5">
        <f t="shared" si="22"/>
        <v>9.4779740273439081</v>
      </c>
      <c r="K322" s="5">
        <f t="shared" ref="K322:K385" si="26">(J322*1000)/L322</f>
        <v>1353.9962896205582</v>
      </c>
      <c r="L322">
        <v>7</v>
      </c>
    </row>
    <row r="323" spans="1:12" x14ac:dyDescent="0.3">
      <c r="A323" t="s">
        <v>72</v>
      </c>
      <c r="B323" t="s">
        <v>64</v>
      </c>
      <c r="C323" s="5">
        <v>0.31264018999999998</v>
      </c>
      <c r="D323" s="5">
        <v>0.356821212</v>
      </c>
      <c r="E323" s="1">
        <v>4.5</v>
      </c>
      <c r="F323" s="5">
        <v>8.4713375796178347</v>
      </c>
      <c r="G323" s="3">
        <f t="shared" si="23"/>
        <v>56.362968527475616</v>
      </c>
      <c r="H323" s="3">
        <f t="shared" si="24"/>
        <v>6.9199763059612165</v>
      </c>
      <c r="I323" s="3">
        <f t="shared" si="25"/>
        <v>988.56804370874522</v>
      </c>
      <c r="J323" s="5">
        <f t="shared" ref="J323:J386" si="27">8.9857 + 0.0035 * F323^2 * E323</f>
        <v>10.115976076108565</v>
      </c>
      <c r="K323" s="5">
        <f t="shared" si="26"/>
        <v>1445.1394394440808</v>
      </c>
      <c r="L323">
        <v>7</v>
      </c>
    </row>
    <row r="324" spans="1:12" x14ac:dyDescent="0.3">
      <c r="A324" t="s">
        <v>72</v>
      </c>
      <c r="B324" t="s">
        <v>64</v>
      </c>
      <c r="C324" s="5">
        <v>0.31264018999999998</v>
      </c>
      <c r="D324" s="5">
        <v>0.356821212</v>
      </c>
      <c r="E324" s="1">
        <v>4.5</v>
      </c>
      <c r="F324" s="5">
        <v>11.273885350318471</v>
      </c>
      <c r="G324" s="3">
        <f t="shared" ref="G324:G387" si="28">PI()*(F324/2)^2</f>
        <v>99.824492113589415</v>
      </c>
      <c r="H324" s="3">
        <f t="shared" ref="H324:H387" si="29">0.0673 * ((D324 * F324^2 * E324)^0.976)</f>
        <v>12.088990052027254</v>
      </c>
      <c r="I324" s="3">
        <f t="shared" si="25"/>
        <v>1726.9985788610363</v>
      </c>
      <c r="J324" s="5">
        <f t="shared" si="27"/>
        <v>10.987532731550974</v>
      </c>
      <c r="K324" s="5">
        <f t="shared" si="26"/>
        <v>1569.6475330787107</v>
      </c>
      <c r="L324">
        <v>7</v>
      </c>
    </row>
    <row r="325" spans="1:12" x14ac:dyDescent="0.3">
      <c r="A325" t="s">
        <v>72</v>
      </c>
      <c r="B325" t="s">
        <v>64</v>
      </c>
      <c r="C325" s="5">
        <v>0.31264018999999998</v>
      </c>
      <c r="D325" s="5">
        <v>0.356821212</v>
      </c>
      <c r="E325">
        <v>6</v>
      </c>
      <c r="F325" s="5">
        <v>14.108280254777069</v>
      </c>
      <c r="G325" s="3">
        <f t="shared" si="28"/>
        <v>156.32845568642318</v>
      </c>
      <c r="H325" s="3">
        <f t="shared" si="29"/>
        <v>24.800242831824804</v>
      </c>
      <c r="I325" s="3">
        <f t="shared" si="25"/>
        <v>3542.8918331178288</v>
      </c>
      <c r="J325" s="5">
        <f t="shared" si="27"/>
        <v>13.165615006693983</v>
      </c>
      <c r="K325" s="5">
        <f t="shared" si="26"/>
        <v>1880.802143813426</v>
      </c>
      <c r="L325">
        <v>7</v>
      </c>
    </row>
    <row r="326" spans="1:12" x14ac:dyDescent="0.3">
      <c r="A326" t="s">
        <v>72</v>
      </c>
      <c r="B326" t="s">
        <v>64</v>
      </c>
      <c r="C326" s="5">
        <v>0.31264018999999998</v>
      </c>
      <c r="D326" s="5">
        <v>0.356821212</v>
      </c>
      <c r="E326">
        <v>3</v>
      </c>
      <c r="F326" s="5">
        <v>7.388535031847133</v>
      </c>
      <c r="G326" s="3">
        <f t="shared" si="28"/>
        <v>42.875239103720482</v>
      </c>
      <c r="H326" s="3">
        <f t="shared" si="29"/>
        <v>3.5670001729642231</v>
      </c>
      <c r="I326" s="3">
        <f t="shared" si="25"/>
        <v>509.57145328060329</v>
      </c>
      <c r="J326" s="5">
        <f t="shared" si="27"/>
        <v>9.5588997241267393</v>
      </c>
      <c r="K326" s="5">
        <f t="shared" si="26"/>
        <v>1365.557103446677</v>
      </c>
      <c r="L326">
        <v>7</v>
      </c>
    </row>
    <row r="327" spans="1:12" x14ac:dyDescent="0.3">
      <c r="A327" t="s">
        <v>72</v>
      </c>
      <c r="B327" t="s">
        <v>64</v>
      </c>
      <c r="C327" s="5">
        <v>0.31264018999999998</v>
      </c>
      <c r="D327" s="5">
        <v>0.356821212</v>
      </c>
      <c r="E327">
        <v>5</v>
      </c>
      <c r="F327" s="5">
        <v>10.286624203821654</v>
      </c>
      <c r="G327" s="3">
        <f t="shared" si="28"/>
        <v>83.106621961430847</v>
      </c>
      <c r="H327" s="3">
        <f t="shared" si="29"/>
        <v>11.203617857153048</v>
      </c>
      <c r="I327" s="3">
        <f t="shared" si="25"/>
        <v>1600.5168367361498</v>
      </c>
      <c r="J327" s="5">
        <f t="shared" si="27"/>
        <v>10.837456156436366</v>
      </c>
      <c r="K327" s="5">
        <f t="shared" si="26"/>
        <v>1548.2080223480521</v>
      </c>
      <c r="L327">
        <v>7</v>
      </c>
    </row>
    <row r="328" spans="1:12" x14ac:dyDescent="0.3">
      <c r="A328" t="s">
        <v>72</v>
      </c>
      <c r="B328" t="s">
        <v>64</v>
      </c>
      <c r="C328" s="5">
        <v>0.31264018999999998</v>
      </c>
      <c r="D328" s="5">
        <v>0.356821212</v>
      </c>
      <c r="E328">
        <v>5</v>
      </c>
      <c r="F328" s="5">
        <v>5.8917197452229297</v>
      </c>
      <c r="G328" s="3">
        <f t="shared" si="28"/>
        <v>27.263025013466741</v>
      </c>
      <c r="H328" s="3">
        <f t="shared" si="29"/>
        <v>3.774975847709316</v>
      </c>
      <c r="I328" s="3">
        <f t="shared" si="25"/>
        <v>539.28226395847366</v>
      </c>
      <c r="J328" s="5">
        <f t="shared" si="27"/>
        <v>9.5931663272343695</v>
      </c>
      <c r="K328" s="5">
        <f t="shared" si="26"/>
        <v>1370.4523324620529</v>
      </c>
      <c r="L328">
        <v>7</v>
      </c>
    </row>
    <row r="329" spans="1:12" x14ac:dyDescent="0.3">
      <c r="A329" t="s">
        <v>72</v>
      </c>
      <c r="B329" t="s">
        <v>50</v>
      </c>
      <c r="C329" s="5">
        <v>0.52500000000000002</v>
      </c>
      <c r="D329" s="5">
        <v>0.52500000000000002</v>
      </c>
      <c r="E329">
        <v>7</v>
      </c>
      <c r="F329" s="5">
        <v>11.942675159235668</v>
      </c>
      <c r="G329" s="3">
        <f t="shared" si="28"/>
        <v>112.01936866380598</v>
      </c>
      <c r="H329" s="3">
        <f t="shared" si="29"/>
        <v>30.353487214092148</v>
      </c>
      <c r="I329" s="3">
        <f t="shared" si="25"/>
        <v>4336.2124591560214</v>
      </c>
      <c r="J329" s="5">
        <f t="shared" si="27"/>
        <v>12.480073503996104</v>
      </c>
      <c r="K329" s="5">
        <f t="shared" si="26"/>
        <v>1782.8676434280148</v>
      </c>
      <c r="L329">
        <v>7</v>
      </c>
    </row>
    <row r="330" spans="1:12" x14ac:dyDescent="0.3">
      <c r="A330" t="s">
        <v>72</v>
      </c>
      <c r="B330" t="s">
        <v>50</v>
      </c>
      <c r="C330" s="5">
        <v>0.52500000000000002</v>
      </c>
      <c r="D330" s="5">
        <v>0.52500000000000002</v>
      </c>
      <c r="E330">
        <v>8</v>
      </c>
      <c r="F330" s="5">
        <v>17.070063694267514</v>
      </c>
      <c r="G330" s="3">
        <f t="shared" si="28"/>
        <v>228.85487317075058</v>
      </c>
      <c r="H330" s="3">
        <f t="shared" si="29"/>
        <v>69.443142886670458</v>
      </c>
      <c r="I330" s="3">
        <f t="shared" si="25"/>
        <v>9920.4489838100653</v>
      </c>
      <c r="J330" s="5">
        <f t="shared" si="27"/>
        <v>17.144538086737796</v>
      </c>
      <c r="K330" s="5">
        <f t="shared" si="26"/>
        <v>2449.219726676828</v>
      </c>
      <c r="L330">
        <v>7</v>
      </c>
    </row>
    <row r="331" spans="1:12" x14ac:dyDescent="0.3">
      <c r="A331" t="s">
        <v>72</v>
      </c>
      <c r="B331" t="s">
        <v>50</v>
      </c>
      <c r="C331" s="5">
        <v>0.52500000000000002</v>
      </c>
      <c r="D331" s="5">
        <v>0.52500000000000002</v>
      </c>
      <c r="E331">
        <v>8</v>
      </c>
      <c r="F331" s="5">
        <v>28.025477707006367</v>
      </c>
      <c r="G331" s="3">
        <f t="shared" si="28"/>
        <v>616.87323799645401</v>
      </c>
      <c r="H331" s="3">
        <f t="shared" si="29"/>
        <v>182.78050573909977</v>
      </c>
      <c r="I331" s="3">
        <f t="shared" si="25"/>
        <v>26111.500819871395</v>
      </c>
      <c r="J331" s="5">
        <f t="shared" si="27"/>
        <v>30.9776672197655</v>
      </c>
      <c r="K331" s="5">
        <f t="shared" si="26"/>
        <v>4425.3810313950717</v>
      </c>
      <c r="L331">
        <v>7</v>
      </c>
    </row>
    <row r="332" spans="1:12" x14ac:dyDescent="0.3">
      <c r="A332" t="s">
        <v>72</v>
      </c>
      <c r="B332" t="s">
        <v>50</v>
      </c>
      <c r="C332" s="5">
        <v>0.52500000000000002</v>
      </c>
      <c r="D332" s="5">
        <v>0.52500000000000002</v>
      </c>
      <c r="E332">
        <v>8</v>
      </c>
      <c r="F332" s="5">
        <v>10.891719745222931</v>
      </c>
      <c r="G332" s="3">
        <f t="shared" si="28"/>
        <v>93.171437769908678</v>
      </c>
      <c r="H332" s="3">
        <f t="shared" si="29"/>
        <v>28.888078637675598</v>
      </c>
      <c r="I332" s="3">
        <f t="shared" si="25"/>
        <v>4126.8683768107994</v>
      </c>
      <c r="J332" s="5">
        <f t="shared" si="27"/>
        <v>12.307327652237413</v>
      </c>
      <c r="K332" s="5">
        <f t="shared" si="26"/>
        <v>1758.1896646053447</v>
      </c>
      <c r="L332">
        <v>7</v>
      </c>
    </row>
    <row r="333" spans="1:12" x14ac:dyDescent="0.3">
      <c r="A333" t="s">
        <v>72</v>
      </c>
      <c r="B333" t="s">
        <v>51</v>
      </c>
      <c r="C333" s="5">
        <v>0.39984676499999999</v>
      </c>
      <c r="D333" s="5">
        <v>0.450333333</v>
      </c>
      <c r="E333">
        <v>8</v>
      </c>
      <c r="F333" s="5">
        <v>14.490445859872612</v>
      </c>
      <c r="G333" s="3">
        <f t="shared" si="28"/>
        <v>164.91242522755155</v>
      </c>
      <c r="H333" s="3">
        <f t="shared" si="29"/>
        <v>43.422191715493206</v>
      </c>
      <c r="I333" s="3">
        <f t="shared" si="25"/>
        <v>6203.1702450704588</v>
      </c>
      <c r="J333" s="5">
        <f t="shared" si="27"/>
        <v>14.86494459410118</v>
      </c>
      <c r="K333" s="5">
        <f t="shared" si="26"/>
        <v>2123.5635134430258</v>
      </c>
      <c r="L333">
        <v>7</v>
      </c>
    </row>
    <row r="334" spans="1:12" x14ac:dyDescent="0.3">
      <c r="A334" t="s">
        <v>72</v>
      </c>
      <c r="B334" t="s">
        <v>51</v>
      </c>
      <c r="C334" s="5">
        <v>0.39984676499999999</v>
      </c>
      <c r="D334" s="5">
        <v>0.450333333</v>
      </c>
      <c r="E334">
        <v>11</v>
      </c>
      <c r="F334" s="5">
        <v>15.987261146496815</v>
      </c>
      <c r="G334" s="3">
        <f t="shared" si="28"/>
        <v>200.74189497424902</v>
      </c>
      <c r="H334" s="3">
        <f t="shared" si="29"/>
        <v>71.784484090948396</v>
      </c>
      <c r="I334" s="3">
        <f t="shared" si="25"/>
        <v>10254.926298706912</v>
      </c>
      <c r="J334" s="5">
        <f t="shared" si="27"/>
        <v>18.826011980202036</v>
      </c>
      <c r="K334" s="5">
        <f t="shared" si="26"/>
        <v>2689.430282886005</v>
      </c>
      <c r="L334">
        <v>7</v>
      </c>
    </row>
    <row r="335" spans="1:12" x14ac:dyDescent="0.3">
      <c r="A335" t="s">
        <v>72</v>
      </c>
      <c r="B335" t="s">
        <v>73</v>
      </c>
      <c r="C335" s="5">
        <v>0.43538739399999998</v>
      </c>
      <c r="D335" s="5">
        <v>0.568333333</v>
      </c>
      <c r="E335" s="1">
        <v>6.5</v>
      </c>
      <c r="F335" s="5">
        <v>10.095541401273884</v>
      </c>
      <c r="G335" s="3">
        <f t="shared" si="28"/>
        <v>80.047746401117848</v>
      </c>
      <c r="H335" s="3">
        <f t="shared" si="29"/>
        <v>21.977189877389751</v>
      </c>
      <c r="I335" s="3">
        <f t="shared" si="25"/>
        <v>3139.5985539128219</v>
      </c>
      <c r="J335" s="5">
        <f t="shared" si="27"/>
        <v>11.304379003204996</v>
      </c>
      <c r="K335" s="5">
        <f t="shared" si="26"/>
        <v>1614.9112861721424</v>
      </c>
      <c r="L335">
        <v>7</v>
      </c>
    </row>
    <row r="336" spans="1:12" x14ac:dyDescent="0.3">
      <c r="A336" t="s">
        <v>72</v>
      </c>
      <c r="B336" t="s">
        <v>27</v>
      </c>
      <c r="C336" s="5">
        <v>0.65716857299999998</v>
      </c>
      <c r="D336" s="5">
        <v>0.85527777800000004</v>
      </c>
      <c r="E336">
        <v>6</v>
      </c>
      <c r="F336" s="5">
        <v>6.2101910828025479</v>
      </c>
      <c r="G336" s="3">
        <f t="shared" si="28"/>
        <v>30.290037286693146</v>
      </c>
      <c r="H336" s="3">
        <f t="shared" si="29"/>
        <v>11.731895574380706</v>
      </c>
      <c r="I336" s="3">
        <f t="shared" si="25"/>
        <v>1675.9850820543866</v>
      </c>
      <c r="J336" s="5">
        <f t="shared" si="27"/>
        <v>9.7955959389833254</v>
      </c>
      <c r="K336" s="5">
        <f t="shared" si="26"/>
        <v>1399.3708484261895</v>
      </c>
      <c r="L336">
        <v>7</v>
      </c>
    </row>
    <row r="337" spans="1:12" x14ac:dyDescent="0.3">
      <c r="A337" t="s">
        <v>72</v>
      </c>
      <c r="B337" t="s">
        <v>27</v>
      </c>
      <c r="C337" s="5">
        <v>0.65716857299999998</v>
      </c>
      <c r="D337" s="5">
        <v>0.85527777800000004</v>
      </c>
      <c r="E337">
        <v>6</v>
      </c>
      <c r="F337" s="5">
        <v>5.7961783439490437</v>
      </c>
      <c r="G337" s="3">
        <f t="shared" si="28"/>
        <v>26.385988036408239</v>
      </c>
      <c r="H337" s="3">
        <f t="shared" si="29"/>
        <v>10.253685121407155</v>
      </c>
      <c r="I337" s="3">
        <f t="shared" si="25"/>
        <v>1464.8121602010222</v>
      </c>
      <c r="J337" s="5">
        <f t="shared" si="27"/>
        <v>9.6912093512921409</v>
      </c>
      <c r="K337" s="5">
        <f t="shared" si="26"/>
        <v>1384.45847875602</v>
      </c>
      <c r="L337">
        <v>7</v>
      </c>
    </row>
    <row r="338" spans="1:12" x14ac:dyDescent="0.3">
      <c r="A338" t="s">
        <v>72</v>
      </c>
      <c r="B338" t="s">
        <v>27</v>
      </c>
      <c r="C338" s="5">
        <v>0.65716857299999998</v>
      </c>
      <c r="D338" s="5">
        <v>0.85527777800000004</v>
      </c>
      <c r="E338">
        <v>8</v>
      </c>
      <c r="F338" s="5">
        <v>12.611464968152864</v>
      </c>
      <c r="G338" s="3">
        <f t="shared" si="28"/>
        <v>124.91683069428193</v>
      </c>
      <c r="H338" s="3">
        <f t="shared" si="29"/>
        <v>61.924404256079256</v>
      </c>
      <c r="I338" s="3">
        <f t="shared" si="25"/>
        <v>8846.3434651541793</v>
      </c>
      <c r="J338" s="5">
        <f t="shared" si="27"/>
        <v>13.439073362002514</v>
      </c>
      <c r="K338" s="5">
        <f t="shared" si="26"/>
        <v>1919.8676231432162</v>
      </c>
      <c r="L338">
        <v>7</v>
      </c>
    </row>
    <row r="339" spans="1:12" x14ac:dyDescent="0.3">
      <c r="A339" t="s">
        <v>72</v>
      </c>
      <c r="B339" t="s">
        <v>17</v>
      </c>
      <c r="C339" s="5">
        <v>0.43836446099999998</v>
      </c>
      <c r="D339" s="5">
        <v>0.58666666700000003</v>
      </c>
      <c r="E339" s="1">
        <v>6.5</v>
      </c>
      <c r="F339" s="5">
        <v>18.598726114649679</v>
      </c>
      <c r="G339" s="3">
        <f t="shared" si="28"/>
        <v>271.6791310151325</v>
      </c>
      <c r="H339" s="3">
        <f t="shared" si="29"/>
        <v>74.71361054483674</v>
      </c>
      <c r="I339" s="3">
        <f t="shared" si="25"/>
        <v>10673.372934976678</v>
      </c>
      <c r="J339" s="5">
        <f t="shared" si="27"/>
        <v>16.855211947746355</v>
      </c>
      <c r="K339" s="5">
        <f t="shared" si="26"/>
        <v>2407.8874211066222</v>
      </c>
      <c r="L339">
        <v>7</v>
      </c>
    </row>
    <row r="340" spans="1:12" x14ac:dyDescent="0.3">
      <c r="A340" t="s">
        <v>72</v>
      </c>
      <c r="B340" t="s">
        <v>17</v>
      </c>
      <c r="C340" s="5">
        <v>0.43836446099999998</v>
      </c>
      <c r="D340" s="5">
        <v>0.58666666700000003</v>
      </c>
      <c r="E340" s="1">
        <v>7.5</v>
      </c>
      <c r="F340" s="5">
        <v>29.840764331210195</v>
      </c>
      <c r="G340" s="3">
        <f t="shared" si="28"/>
        <v>699.37445750323991</v>
      </c>
      <c r="H340" s="3">
        <f t="shared" si="29"/>
        <v>216.19910167376128</v>
      </c>
      <c r="I340" s="3">
        <f t="shared" si="25"/>
        <v>30885.585953394468</v>
      </c>
      <c r="J340" s="5">
        <f t="shared" si="27"/>
        <v>32.360569416609202</v>
      </c>
      <c r="K340" s="5">
        <f t="shared" si="26"/>
        <v>4622.9384880870293</v>
      </c>
      <c r="L340">
        <v>7</v>
      </c>
    </row>
    <row r="341" spans="1:12" x14ac:dyDescent="0.3">
      <c r="A341" t="s">
        <v>72</v>
      </c>
      <c r="B341" t="s">
        <v>42</v>
      </c>
      <c r="C341" s="5">
        <v>0.40238543599999999</v>
      </c>
      <c r="D341" s="5">
        <v>0.40883333300000002</v>
      </c>
      <c r="E341">
        <v>11</v>
      </c>
      <c r="F341" s="5">
        <v>20.828025477707008</v>
      </c>
      <c r="G341" s="3">
        <f t="shared" si="28"/>
        <v>340.71094248823789</v>
      </c>
      <c r="H341" s="3">
        <f t="shared" si="29"/>
        <v>109.46734954735675</v>
      </c>
      <c r="I341" s="3">
        <f t="shared" si="25"/>
        <v>15638.192792479535</v>
      </c>
      <c r="J341" s="5">
        <f t="shared" si="27"/>
        <v>25.687255844050469</v>
      </c>
      <c r="K341" s="5">
        <f t="shared" si="26"/>
        <v>3669.6079777214954</v>
      </c>
      <c r="L341">
        <v>7</v>
      </c>
    </row>
    <row r="342" spans="1:12" x14ac:dyDescent="0.3">
      <c r="A342" t="s">
        <v>72</v>
      </c>
      <c r="B342" t="s">
        <v>42</v>
      </c>
      <c r="C342" s="5">
        <v>0.40238543599999999</v>
      </c>
      <c r="D342" s="5">
        <v>0.40883333300000002</v>
      </c>
      <c r="E342">
        <v>12</v>
      </c>
      <c r="F342" s="5">
        <v>21.082802547770701</v>
      </c>
      <c r="G342" s="3">
        <f t="shared" si="28"/>
        <v>349.09735964942934</v>
      </c>
      <c r="H342" s="3">
        <f t="shared" si="29"/>
        <v>122.03187074470571</v>
      </c>
      <c r="I342" s="3">
        <f t="shared" si="25"/>
        <v>17433.124392100817</v>
      </c>
      <c r="J342" s="5">
        <f t="shared" si="27"/>
        <v>27.654051657268042</v>
      </c>
      <c r="K342" s="5">
        <f t="shared" si="26"/>
        <v>3950.5788081811488</v>
      </c>
      <c r="L342">
        <v>7</v>
      </c>
    </row>
    <row r="343" spans="1:12" x14ac:dyDescent="0.3">
      <c r="A343" t="s">
        <v>74</v>
      </c>
      <c r="B343" t="s">
        <v>21</v>
      </c>
      <c r="C343" s="5">
        <v>0.80908761900000004</v>
      </c>
      <c r="D343" s="5">
        <v>0.87473809499999999</v>
      </c>
      <c r="E343">
        <v>14</v>
      </c>
      <c r="F343" s="5">
        <v>30.668789808917197</v>
      </c>
      <c r="G343" s="3">
        <f t="shared" si="28"/>
        <v>738.72561705518297</v>
      </c>
      <c r="H343" s="3">
        <f t="shared" si="29"/>
        <v>619.35669148292709</v>
      </c>
      <c r="I343" s="3">
        <f t="shared" si="25"/>
        <v>88479.527354703867</v>
      </c>
      <c r="J343" s="5">
        <f t="shared" si="27"/>
        <v>55.073858748833622</v>
      </c>
      <c r="K343" s="5">
        <f t="shared" si="26"/>
        <v>7867.6941069762315</v>
      </c>
      <c r="L343">
        <v>7</v>
      </c>
    </row>
    <row r="344" spans="1:12" x14ac:dyDescent="0.3">
      <c r="A344" t="s">
        <v>74</v>
      </c>
      <c r="B344" t="s">
        <v>21</v>
      </c>
      <c r="C344" s="5">
        <v>0.80908761900000004</v>
      </c>
      <c r="D344" s="5">
        <v>0.87473809499999999</v>
      </c>
      <c r="E344">
        <v>11</v>
      </c>
      <c r="F344" s="5">
        <v>75.859872611464965</v>
      </c>
      <c r="G344" s="3">
        <f t="shared" si="28"/>
        <v>4519.7467329878527</v>
      </c>
      <c r="H344" s="3">
        <f t="shared" si="29"/>
        <v>2867.2854402598559</v>
      </c>
      <c r="I344" s="3">
        <f t="shared" si="25"/>
        <v>409612.20575140795</v>
      </c>
      <c r="J344" s="5">
        <f t="shared" si="27"/>
        <v>230.54243049616616</v>
      </c>
      <c r="K344" s="5">
        <f t="shared" si="26"/>
        <v>32934.632928023741</v>
      </c>
      <c r="L344">
        <v>7</v>
      </c>
    </row>
    <row r="345" spans="1:12" x14ac:dyDescent="0.3">
      <c r="A345" t="s">
        <v>74</v>
      </c>
      <c r="B345" t="s">
        <v>64</v>
      </c>
      <c r="C345" s="5">
        <v>0.31264018999999998</v>
      </c>
      <c r="D345" s="5">
        <v>0.356821212</v>
      </c>
      <c r="E345">
        <v>5</v>
      </c>
      <c r="F345" s="5">
        <v>9.968152866242038</v>
      </c>
      <c r="G345" s="3">
        <f t="shared" si="28"/>
        <v>78.040359314662467</v>
      </c>
      <c r="H345" s="3">
        <f t="shared" si="29"/>
        <v>10.536527631470989</v>
      </c>
      <c r="I345" s="3">
        <f t="shared" si="25"/>
        <v>1505.218233067284</v>
      </c>
      <c r="J345" s="5">
        <f t="shared" si="27"/>
        <v>10.724571252383463</v>
      </c>
      <c r="K345" s="5">
        <f t="shared" si="26"/>
        <v>1532.0816074833517</v>
      </c>
      <c r="L345">
        <v>7</v>
      </c>
    </row>
    <row r="346" spans="1:12" x14ac:dyDescent="0.3">
      <c r="A346" t="s">
        <v>74</v>
      </c>
      <c r="B346" t="s">
        <v>50</v>
      </c>
      <c r="C346" s="5">
        <v>0.52500000000000002</v>
      </c>
      <c r="D346" s="5">
        <v>0.52500000000000002</v>
      </c>
      <c r="E346">
        <v>7</v>
      </c>
      <c r="F346" s="5">
        <v>16.719745222929937</v>
      </c>
      <c r="G346" s="3">
        <f t="shared" si="28"/>
        <v>219.55796258105977</v>
      </c>
      <c r="H346" s="3">
        <f t="shared" si="29"/>
        <v>58.539703524684612</v>
      </c>
      <c r="I346" s="3">
        <f t="shared" si="25"/>
        <v>8362.8147892406596</v>
      </c>
      <c r="J346" s="5">
        <f t="shared" si="27"/>
        <v>15.834672067832365</v>
      </c>
      <c r="K346" s="5">
        <f t="shared" si="26"/>
        <v>2262.0960096903377</v>
      </c>
      <c r="L346">
        <v>7</v>
      </c>
    </row>
    <row r="347" spans="1:12" x14ac:dyDescent="0.3">
      <c r="A347" t="s">
        <v>74</v>
      </c>
      <c r="B347" t="s">
        <v>50</v>
      </c>
      <c r="C347" s="5">
        <v>0.52500000000000002</v>
      </c>
      <c r="D347" s="5">
        <v>0.52500000000000002</v>
      </c>
      <c r="E347" s="1">
        <v>6.5</v>
      </c>
      <c r="F347" s="5">
        <v>8.6942675159235669</v>
      </c>
      <c r="G347" s="3">
        <f t="shared" si="28"/>
        <v>59.368473081918566</v>
      </c>
      <c r="H347" s="3">
        <f t="shared" si="29"/>
        <v>15.194163465206746</v>
      </c>
      <c r="I347" s="3">
        <f t="shared" si="25"/>
        <v>2170.594780743821</v>
      </c>
      <c r="J347" s="5">
        <f t="shared" si="27"/>
        <v>10.705379043774595</v>
      </c>
      <c r="K347" s="5">
        <f t="shared" si="26"/>
        <v>1529.3398633963709</v>
      </c>
      <c r="L347">
        <v>7</v>
      </c>
    </row>
    <row r="348" spans="1:12" x14ac:dyDescent="0.3">
      <c r="A348" t="s">
        <v>74</v>
      </c>
      <c r="B348" t="s">
        <v>50</v>
      </c>
      <c r="C348" s="5">
        <v>0.52500000000000002</v>
      </c>
      <c r="D348" s="5">
        <v>0.52500000000000002</v>
      </c>
      <c r="E348">
        <v>9</v>
      </c>
      <c r="F348" s="5">
        <v>46.43312101910827</v>
      </c>
      <c r="G348" s="3">
        <f t="shared" si="28"/>
        <v>1693.3457152586438</v>
      </c>
      <c r="H348" s="3">
        <f t="shared" si="29"/>
        <v>549.38809894685733</v>
      </c>
      <c r="I348" s="3">
        <f t="shared" si="25"/>
        <v>78484.014135265345</v>
      </c>
      <c r="J348" s="5">
        <f t="shared" si="27"/>
        <v>76.900793918617353</v>
      </c>
      <c r="K348" s="5">
        <f t="shared" si="26"/>
        <v>10985.827702659621</v>
      </c>
      <c r="L348">
        <v>7</v>
      </c>
    </row>
    <row r="349" spans="1:12" x14ac:dyDescent="0.3">
      <c r="A349" t="s">
        <v>74</v>
      </c>
      <c r="B349" t="s">
        <v>51</v>
      </c>
      <c r="C349" s="5">
        <v>0.39984676499999999</v>
      </c>
      <c r="D349" s="5">
        <v>0.450333333</v>
      </c>
      <c r="E349">
        <v>12</v>
      </c>
      <c r="F349" s="5">
        <v>41.019108280254777</v>
      </c>
      <c r="G349" s="3">
        <f t="shared" si="28"/>
        <v>1321.4852233145527</v>
      </c>
      <c r="H349" s="3">
        <f t="shared" si="29"/>
        <v>491.69334212418971</v>
      </c>
      <c r="I349" s="3">
        <f t="shared" si="25"/>
        <v>70241.906017741392</v>
      </c>
      <c r="J349" s="5">
        <f t="shared" si="27"/>
        <v>79.653524252505164</v>
      </c>
      <c r="K349" s="5">
        <f t="shared" si="26"/>
        <v>11379.074893215022</v>
      </c>
      <c r="L349">
        <v>7</v>
      </c>
    </row>
    <row r="350" spans="1:12" x14ac:dyDescent="0.3">
      <c r="A350" t="s">
        <v>74</v>
      </c>
      <c r="B350" t="s">
        <v>51</v>
      </c>
      <c r="C350" s="5">
        <v>0.39984676499999999</v>
      </c>
      <c r="D350" s="5">
        <v>0.450333333</v>
      </c>
      <c r="E350">
        <v>12</v>
      </c>
      <c r="F350" s="5">
        <v>23.98089171974522</v>
      </c>
      <c r="G350" s="3">
        <f t="shared" si="28"/>
        <v>451.66926369206016</v>
      </c>
      <c r="H350" s="3">
        <f t="shared" si="29"/>
        <v>172.44172419818179</v>
      </c>
      <c r="I350" s="3">
        <f t="shared" si="25"/>
        <v>24634.532028311685</v>
      </c>
      <c r="J350" s="5">
        <f t="shared" si="27"/>
        <v>33.139193042314083</v>
      </c>
      <c r="K350" s="5">
        <f t="shared" si="26"/>
        <v>4734.1704346162969</v>
      </c>
      <c r="L350">
        <v>7</v>
      </c>
    </row>
    <row r="351" spans="1:12" x14ac:dyDescent="0.3">
      <c r="A351" t="s">
        <v>74</v>
      </c>
      <c r="B351" t="s">
        <v>51</v>
      </c>
      <c r="C351" s="5">
        <v>0.39984676499999999</v>
      </c>
      <c r="D351" s="5">
        <v>0.450333333</v>
      </c>
      <c r="E351">
        <v>13</v>
      </c>
      <c r="F351" s="5">
        <v>41.401273885350314</v>
      </c>
      <c r="G351" s="3">
        <f t="shared" si="28"/>
        <v>1346.2238794085838</v>
      </c>
      <c r="H351" s="3">
        <f t="shared" si="29"/>
        <v>541.35705694347928</v>
      </c>
      <c r="I351" s="3">
        <f t="shared" si="25"/>
        <v>77336.722420497026</v>
      </c>
      <c r="J351" s="5">
        <f t="shared" si="27"/>
        <v>86.975679309505438</v>
      </c>
      <c r="K351" s="5">
        <f t="shared" si="26"/>
        <v>12425.097044215061</v>
      </c>
      <c r="L351">
        <v>7</v>
      </c>
    </row>
    <row r="352" spans="1:12" x14ac:dyDescent="0.3">
      <c r="A352" t="s">
        <v>74</v>
      </c>
      <c r="B352" t="s">
        <v>51</v>
      </c>
      <c r="C352" s="5">
        <v>0.39984676499999999</v>
      </c>
      <c r="D352" s="5">
        <v>0.450333333</v>
      </c>
      <c r="E352">
        <v>12</v>
      </c>
      <c r="F352" s="5">
        <v>38.471337579617831</v>
      </c>
      <c r="G352" s="3">
        <f t="shared" si="28"/>
        <v>1162.4236941782769</v>
      </c>
      <c r="H352" s="3">
        <f t="shared" si="29"/>
        <v>433.84362356922162</v>
      </c>
      <c r="I352" s="3">
        <f t="shared" si="25"/>
        <v>61977.660509888803</v>
      </c>
      <c r="J352" s="5">
        <f t="shared" si="27"/>
        <v>71.147540236926446</v>
      </c>
      <c r="K352" s="5">
        <f t="shared" si="26"/>
        <v>10163.934319560922</v>
      </c>
      <c r="L352">
        <v>7</v>
      </c>
    </row>
    <row r="353" spans="1:12" x14ac:dyDescent="0.3">
      <c r="A353" t="s">
        <v>74</v>
      </c>
      <c r="B353" t="s">
        <v>51</v>
      </c>
      <c r="C353" s="5">
        <v>0.39984676499999999</v>
      </c>
      <c r="D353" s="5">
        <v>0.450333333</v>
      </c>
      <c r="E353">
        <v>12</v>
      </c>
      <c r="F353" s="5">
        <v>18.885350318471335</v>
      </c>
      <c r="G353" s="3">
        <f t="shared" si="28"/>
        <v>280.11732601783973</v>
      </c>
      <c r="H353" s="3">
        <f t="shared" si="29"/>
        <v>108.17859198084813</v>
      </c>
      <c r="I353" s="3">
        <f t="shared" si="25"/>
        <v>15454.08456869259</v>
      </c>
      <c r="J353" s="5">
        <f t="shared" si="27"/>
        <v>23.965271179358183</v>
      </c>
      <c r="K353" s="5">
        <f t="shared" si="26"/>
        <v>3423.6101684797404</v>
      </c>
      <c r="L353">
        <v>7</v>
      </c>
    </row>
    <row r="354" spans="1:12" x14ac:dyDescent="0.3">
      <c r="A354" t="s">
        <v>74</v>
      </c>
      <c r="B354" t="s">
        <v>51</v>
      </c>
      <c r="C354" s="5">
        <v>0.39984676499999999</v>
      </c>
      <c r="D354" s="5">
        <v>0.450333333</v>
      </c>
      <c r="E354">
        <v>10</v>
      </c>
      <c r="F354" s="5">
        <v>19.554140127388536</v>
      </c>
      <c r="G354" s="3">
        <f t="shared" si="28"/>
        <v>300.308294462437</v>
      </c>
      <c r="H354" s="3">
        <f t="shared" si="29"/>
        <v>96.908601749874705</v>
      </c>
      <c r="I354" s="3">
        <f t="shared" si="25"/>
        <v>13844.085964267815</v>
      </c>
      <c r="J354" s="5">
        <f t="shared" si="27"/>
        <v>22.368453864254128</v>
      </c>
      <c r="K354" s="5">
        <f t="shared" si="26"/>
        <v>3195.4934091791615</v>
      </c>
      <c r="L354">
        <v>7</v>
      </c>
    </row>
    <row r="355" spans="1:12" x14ac:dyDescent="0.3">
      <c r="A355" t="s">
        <v>74</v>
      </c>
      <c r="B355" t="s">
        <v>75</v>
      </c>
      <c r="C355" s="5">
        <v>0.54</v>
      </c>
      <c r="D355" s="5">
        <v>0.61247410899999999</v>
      </c>
      <c r="E355">
        <v>6</v>
      </c>
      <c r="F355" s="5">
        <v>7.1019108280254777</v>
      </c>
      <c r="G355" s="3">
        <f t="shared" si="28"/>
        <v>39.613235088230461</v>
      </c>
      <c r="H355" s="3">
        <f t="shared" si="29"/>
        <v>11.004561280164936</v>
      </c>
      <c r="I355" s="3">
        <f t="shared" si="25"/>
        <v>1572.080182880705</v>
      </c>
      <c r="J355" s="5">
        <f t="shared" si="27"/>
        <v>10.044879885593735</v>
      </c>
      <c r="K355" s="5">
        <f t="shared" si="26"/>
        <v>1434.9828407991049</v>
      </c>
      <c r="L355">
        <v>7</v>
      </c>
    </row>
    <row r="356" spans="1:12" x14ac:dyDescent="0.3">
      <c r="A356" t="s">
        <v>74</v>
      </c>
      <c r="B356" t="s">
        <v>17</v>
      </c>
      <c r="C356" s="5">
        <v>0.43836446099999998</v>
      </c>
      <c r="D356" s="5">
        <v>0.58666666700000003</v>
      </c>
      <c r="E356">
        <v>6</v>
      </c>
      <c r="F356" s="5">
        <v>17.261146496815286</v>
      </c>
      <c r="G356" s="3">
        <f t="shared" si="28"/>
        <v>234.00716669265282</v>
      </c>
      <c r="H356" s="3">
        <f t="shared" si="29"/>
        <v>59.731117270844578</v>
      </c>
      <c r="I356" s="3">
        <f t="shared" si="25"/>
        <v>8533.0167529777973</v>
      </c>
      <c r="J356" s="5">
        <f t="shared" si="27"/>
        <v>15.242590746074891</v>
      </c>
      <c r="K356" s="5">
        <f t="shared" si="26"/>
        <v>2177.5129637249843</v>
      </c>
      <c r="L356">
        <v>7</v>
      </c>
    </row>
    <row r="357" spans="1:12" x14ac:dyDescent="0.3">
      <c r="A357" t="s">
        <v>74</v>
      </c>
      <c r="B357" t="s">
        <v>42</v>
      </c>
      <c r="C357" s="5">
        <v>0.40238543599999999</v>
      </c>
      <c r="D357" s="5">
        <v>0.40883333300000002</v>
      </c>
      <c r="E357">
        <v>11</v>
      </c>
      <c r="F357" s="5">
        <v>15.445859872611464</v>
      </c>
      <c r="G357" s="3">
        <f t="shared" si="28"/>
        <v>187.37604262360011</v>
      </c>
      <c r="H357" s="3">
        <f t="shared" si="29"/>
        <v>61.072361315582846</v>
      </c>
      <c r="I357" s="3">
        <f t="shared" si="25"/>
        <v>8724.6230450832627</v>
      </c>
      <c r="J357" s="5">
        <f t="shared" si="27"/>
        <v>18.170821607367436</v>
      </c>
      <c r="K357" s="5">
        <f t="shared" si="26"/>
        <v>2595.8316581953482</v>
      </c>
      <c r="L357">
        <v>7</v>
      </c>
    </row>
    <row r="358" spans="1:12" x14ac:dyDescent="0.3">
      <c r="A358" t="s">
        <v>74</v>
      </c>
      <c r="B358" t="s">
        <v>42</v>
      </c>
      <c r="C358" s="5">
        <v>0.40238543599999999</v>
      </c>
      <c r="D358" s="5">
        <v>0.40883333300000002</v>
      </c>
      <c r="E358">
        <v>8</v>
      </c>
      <c r="F358" s="5">
        <v>15.19108280254777</v>
      </c>
      <c r="G358" s="3">
        <f t="shared" si="28"/>
        <v>181.24554618813946</v>
      </c>
      <c r="H358" s="3">
        <f t="shared" si="29"/>
        <v>43.327265529516296</v>
      </c>
      <c r="I358" s="3">
        <f t="shared" si="25"/>
        <v>6189.6093613594712</v>
      </c>
      <c r="J358" s="5">
        <f t="shared" si="27"/>
        <v>15.447231907988153</v>
      </c>
      <c r="K358" s="5">
        <f t="shared" si="26"/>
        <v>2206.7474154268789</v>
      </c>
      <c r="L358">
        <v>7</v>
      </c>
    </row>
    <row r="359" spans="1:12" x14ac:dyDescent="0.3">
      <c r="A359" t="s">
        <v>74</v>
      </c>
      <c r="B359" t="s">
        <v>42</v>
      </c>
      <c r="C359" s="5">
        <v>0.40238543599999999</v>
      </c>
      <c r="D359" s="5">
        <v>0.40883333300000002</v>
      </c>
      <c r="E359">
        <v>8</v>
      </c>
      <c r="F359" s="5">
        <v>16.433121019108281</v>
      </c>
      <c r="G359" s="3">
        <f t="shared" si="28"/>
        <v>212.09478416320235</v>
      </c>
      <c r="H359" s="3">
        <f t="shared" si="29"/>
        <v>50.51095996515626</v>
      </c>
      <c r="I359" s="3">
        <f t="shared" si="25"/>
        <v>7215.8514235937519</v>
      </c>
      <c r="J359" s="5">
        <f t="shared" si="27"/>
        <v>16.547029060002433</v>
      </c>
      <c r="K359" s="5">
        <f t="shared" si="26"/>
        <v>2363.8612942860623</v>
      </c>
      <c r="L359">
        <v>7</v>
      </c>
    </row>
    <row r="360" spans="1:12" x14ac:dyDescent="0.3">
      <c r="A360" t="s">
        <v>74</v>
      </c>
      <c r="B360" t="s">
        <v>57</v>
      </c>
      <c r="C360" s="5">
        <v>0.693333333</v>
      </c>
      <c r="D360" s="5">
        <v>0.64166666699999997</v>
      </c>
      <c r="E360">
        <v>5</v>
      </c>
      <c r="F360" s="5">
        <v>5.8280254777070066</v>
      </c>
      <c r="G360" s="3">
        <f t="shared" si="28"/>
        <v>26.676740531073417</v>
      </c>
      <c r="H360" s="3">
        <f t="shared" si="29"/>
        <v>6.5530230325623595</v>
      </c>
      <c r="I360" s="3">
        <f t="shared" si="25"/>
        <v>936.14614750890848</v>
      </c>
      <c r="J360" s="5">
        <f t="shared" si="27"/>
        <v>9.5801029169540346</v>
      </c>
      <c r="K360" s="5">
        <f t="shared" si="26"/>
        <v>1368.5861309934335</v>
      </c>
      <c r="L360">
        <v>7</v>
      </c>
    </row>
    <row r="361" spans="1:12" x14ac:dyDescent="0.3">
      <c r="A361" t="s">
        <v>74</v>
      </c>
      <c r="B361" t="s">
        <v>57</v>
      </c>
      <c r="C361" s="5">
        <v>0.693333333</v>
      </c>
      <c r="D361" s="5">
        <v>0.64166666699999997</v>
      </c>
      <c r="E361">
        <v>7</v>
      </c>
      <c r="F361" s="5">
        <v>17.00636942675159</v>
      </c>
      <c r="G361" s="3">
        <f t="shared" si="28"/>
        <v>227.1501873116178</v>
      </c>
      <c r="H361" s="3">
        <f t="shared" si="29"/>
        <v>73.606923095541589</v>
      </c>
      <c r="I361" s="3">
        <f t="shared" si="25"/>
        <v>10515.274727934511</v>
      </c>
      <c r="J361" s="5">
        <f t="shared" si="27"/>
        <v>16.071506726439203</v>
      </c>
      <c r="K361" s="5">
        <f t="shared" si="26"/>
        <v>2295.9295323484575</v>
      </c>
      <c r="L361">
        <v>7</v>
      </c>
    </row>
    <row r="362" spans="1:12" x14ac:dyDescent="0.3">
      <c r="A362" t="s">
        <v>76</v>
      </c>
      <c r="B362" t="s">
        <v>64</v>
      </c>
      <c r="C362" s="5">
        <v>0.31264018999999998</v>
      </c>
      <c r="D362" s="5">
        <v>0.356821212</v>
      </c>
      <c r="E362" s="1">
        <v>2.7</v>
      </c>
      <c r="F362" s="4">
        <v>2.3885350320000001</v>
      </c>
      <c r="G362" s="3">
        <f t="shared" si="28"/>
        <v>4.4807747471257793</v>
      </c>
      <c r="H362" s="3">
        <f t="shared" si="29"/>
        <v>0.35508380030736086</v>
      </c>
      <c r="I362" s="3">
        <f t="shared" si="25"/>
        <v>59.180633384560146</v>
      </c>
      <c r="J362" s="5">
        <f t="shared" si="27"/>
        <v>9.0396131912114122</v>
      </c>
      <c r="K362" s="5">
        <f t="shared" si="26"/>
        <v>1506.6021985352354</v>
      </c>
      <c r="L362">
        <v>6</v>
      </c>
    </row>
    <row r="363" spans="1:12" x14ac:dyDescent="0.3">
      <c r="A363" t="s">
        <v>76</v>
      </c>
      <c r="B363" t="s">
        <v>10</v>
      </c>
      <c r="C363" s="5">
        <v>0.47982689899999997</v>
      </c>
      <c r="D363" s="5">
        <v>0.51</v>
      </c>
      <c r="E363">
        <v>6</v>
      </c>
      <c r="F363" s="4">
        <v>8.6624203820000005</v>
      </c>
      <c r="G363" s="3">
        <f t="shared" si="28"/>
        <v>58.93433579311035</v>
      </c>
      <c r="H363" s="3">
        <f t="shared" si="29"/>
        <v>13.562851419139609</v>
      </c>
      <c r="I363" s="3">
        <f t="shared" si="25"/>
        <v>2260.475236523268</v>
      </c>
      <c r="J363" s="5">
        <f t="shared" si="27"/>
        <v>10.561488064364269</v>
      </c>
      <c r="K363" s="5">
        <f t="shared" si="26"/>
        <v>1760.2480107273784</v>
      </c>
      <c r="L363">
        <v>6</v>
      </c>
    </row>
    <row r="364" spans="1:12" x14ac:dyDescent="0.3">
      <c r="A364" t="s">
        <v>76</v>
      </c>
      <c r="B364" t="s">
        <v>10</v>
      </c>
      <c r="C364" s="5">
        <v>0.47982689899999997</v>
      </c>
      <c r="D364" s="5">
        <v>0.51</v>
      </c>
      <c r="E364">
        <v>6</v>
      </c>
      <c r="F364" s="4">
        <v>7.1019108280000003</v>
      </c>
      <c r="G364" s="3">
        <f t="shared" si="28"/>
        <v>39.613235087946244</v>
      </c>
      <c r="H364" s="3">
        <f t="shared" si="29"/>
        <v>9.2037242006687592</v>
      </c>
      <c r="I364" s="3">
        <f t="shared" si="25"/>
        <v>1533.9540334447931</v>
      </c>
      <c r="J364" s="5">
        <f t="shared" si="27"/>
        <v>10.044879885586136</v>
      </c>
      <c r="K364" s="5">
        <f t="shared" si="26"/>
        <v>1674.1466475976893</v>
      </c>
      <c r="L364">
        <v>6</v>
      </c>
    </row>
    <row r="365" spans="1:12" x14ac:dyDescent="0.3">
      <c r="A365" t="s">
        <v>76</v>
      </c>
      <c r="B365" t="s">
        <v>61</v>
      </c>
      <c r="C365" s="5">
        <v>0.62643652800000005</v>
      </c>
      <c r="D365" s="5">
        <v>0.57808694400000005</v>
      </c>
      <c r="E365">
        <v>6</v>
      </c>
      <c r="F365" s="4">
        <v>43.184713379999998</v>
      </c>
      <c r="G365" s="3">
        <f t="shared" si="28"/>
        <v>1464.7043263965377</v>
      </c>
      <c r="H365" s="3">
        <f t="shared" si="29"/>
        <v>352.66328677133208</v>
      </c>
      <c r="I365" s="3">
        <f t="shared" si="25"/>
        <v>58777.214461888681</v>
      </c>
      <c r="J365" s="5">
        <f t="shared" si="27"/>
        <v>48.149008863967772</v>
      </c>
      <c r="K365" s="5">
        <f t="shared" si="26"/>
        <v>8024.8348106612948</v>
      </c>
      <c r="L365">
        <v>6</v>
      </c>
    </row>
    <row r="366" spans="1:12" x14ac:dyDescent="0.3">
      <c r="A366" t="s">
        <v>76</v>
      </c>
      <c r="B366" t="s">
        <v>61</v>
      </c>
      <c r="C366" s="5">
        <v>0.62643652800000005</v>
      </c>
      <c r="D366" s="5">
        <v>0.57808694400000005</v>
      </c>
      <c r="E366">
        <v>7</v>
      </c>
      <c r="F366" s="4">
        <v>35.414012739999997</v>
      </c>
      <c r="G366" s="3">
        <f t="shared" si="28"/>
        <v>985.00891174390063</v>
      </c>
      <c r="H366" s="3">
        <f t="shared" si="29"/>
        <v>278.30816517745774</v>
      </c>
      <c r="I366" s="3">
        <f t="shared" si="25"/>
        <v>46384.694196242956</v>
      </c>
      <c r="J366" s="5">
        <f t="shared" si="27"/>
        <v>39.712431309547611</v>
      </c>
      <c r="K366" s="5">
        <f t="shared" si="26"/>
        <v>6618.7385515912683</v>
      </c>
      <c r="L366">
        <v>6</v>
      </c>
    </row>
    <row r="367" spans="1:12" x14ac:dyDescent="0.3">
      <c r="A367" t="s">
        <v>76</v>
      </c>
      <c r="B367" t="s">
        <v>61</v>
      </c>
      <c r="C367" s="5">
        <v>0.62643652800000005</v>
      </c>
      <c r="D367" s="5">
        <v>0.57808694400000005</v>
      </c>
      <c r="E367">
        <v>6</v>
      </c>
      <c r="F367" s="4">
        <v>27.866242039999999</v>
      </c>
      <c r="G367" s="3">
        <f t="shared" si="28"/>
        <v>609.88322946989774</v>
      </c>
      <c r="H367" s="3">
        <f t="shared" si="29"/>
        <v>149.96470455962128</v>
      </c>
      <c r="I367" s="3">
        <f t="shared" si="25"/>
        <v>24994.117426603549</v>
      </c>
      <c r="J367" s="5">
        <f t="shared" si="27"/>
        <v>25.292776354069133</v>
      </c>
      <c r="K367" s="5">
        <f t="shared" si="26"/>
        <v>4215.4627256781887</v>
      </c>
      <c r="L367">
        <v>6</v>
      </c>
    </row>
    <row r="368" spans="1:12" x14ac:dyDescent="0.3">
      <c r="A368" t="s">
        <v>76</v>
      </c>
      <c r="B368" t="s">
        <v>61</v>
      </c>
      <c r="C368" s="5">
        <v>0.62643652800000005</v>
      </c>
      <c r="D368" s="5">
        <v>0.57808694400000005</v>
      </c>
      <c r="E368">
        <v>6</v>
      </c>
      <c r="F368" s="4">
        <v>38.270700640000001</v>
      </c>
      <c r="G368" s="3">
        <f t="shared" si="28"/>
        <v>1150.3306927064905</v>
      </c>
      <c r="H368" s="3">
        <f t="shared" si="29"/>
        <v>278.58084295980143</v>
      </c>
      <c r="I368" s="3">
        <f t="shared" si="25"/>
        <v>46430.140493300241</v>
      </c>
      <c r="J368" s="5">
        <f t="shared" si="27"/>
        <v>39.743277077006425</v>
      </c>
      <c r="K368" s="5">
        <f t="shared" si="26"/>
        <v>6623.8795128344036</v>
      </c>
      <c r="L368">
        <v>6</v>
      </c>
    </row>
    <row r="369" spans="1:12" x14ac:dyDescent="0.3">
      <c r="A369" t="s">
        <v>76</v>
      </c>
      <c r="B369" t="s">
        <v>51</v>
      </c>
      <c r="C369" s="5">
        <v>0.39984676499999999</v>
      </c>
      <c r="D369" s="5">
        <v>0.450333333</v>
      </c>
      <c r="E369">
        <v>11</v>
      </c>
      <c r="F369" s="4">
        <v>38.72611465</v>
      </c>
      <c r="G369" s="3">
        <f t="shared" si="28"/>
        <v>1177.8710157772305</v>
      </c>
      <c r="H369" s="3">
        <f t="shared" si="29"/>
        <v>403.68932561045892</v>
      </c>
      <c r="I369" s="3">
        <f t="shared" si="25"/>
        <v>67281.554268409818</v>
      </c>
      <c r="J369" s="5">
        <f t="shared" si="27"/>
        <v>66.724610301570365</v>
      </c>
      <c r="K369" s="5">
        <f t="shared" si="26"/>
        <v>11120.768383595061</v>
      </c>
      <c r="L369">
        <v>6</v>
      </c>
    </row>
    <row r="370" spans="1:12" x14ac:dyDescent="0.3">
      <c r="A370" t="s">
        <v>76</v>
      </c>
      <c r="B370" t="s">
        <v>42</v>
      </c>
      <c r="C370" s="5">
        <v>0.40238543599999999</v>
      </c>
      <c r="D370" s="5">
        <v>0.40883333300000002</v>
      </c>
      <c r="E370">
        <v>6</v>
      </c>
      <c r="F370" s="4">
        <v>15.95541401</v>
      </c>
      <c r="G370" s="3">
        <f t="shared" si="28"/>
        <v>199.94292298190959</v>
      </c>
      <c r="H370" s="3">
        <f t="shared" si="29"/>
        <v>36.011104232459161</v>
      </c>
      <c r="I370" s="3">
        <f t="shared" si="25"/>
        <v>6001.85070540986</v>
      </c>
      <c r="J370" s="5">
        <f t="shared" si="27"/>
        <v>14.33177996084059</v>
      </c>
      <c r="K370" s="5">
        <f t="shared" si="26"/>
        <v>2388.6299934734316</v>
      </c>
      <c r="L370">
        <v>6</v>
      </c>
    </row>
    <row r="371" spans="1:12" x14ac:dyDescent="0.3">
      <c r="A371" t="s">
        <v>76</v>
      </c>
      <c r="B371" t="s">
        <v>42</v>
      </c>
      <c r="C371" s="5">
        <v>0.40238543599999999</v>
      </c>
      <c r="D371" s="5">
        <v>0.40883333300000002</v>
      </c>
      <c r="E371">
        <v>8</v>
      </c>
      <c r="F371" s="4">
        <v>14.076433120000001</v>
      </c>
      <c r="G371" s="3">
        <f t="shared" si="28"/>
        <v>155.62348043709864</v>
      </c>
      <c r="H371" s="3">
        <f t="shared" si="29"/>
        <v>37.338569423258868</v>
      </c>
      <c r="I371" s="3">
        <f t="shared" si="25"/>
        <v>6223.0949038764775</v>
      </c>
      <c r="J371" s="5">
        <f t="shared" si="27"/>
        <v>14.533787142691324</v>
      </c>
      <c r="K371" s="5">
        <f t="shared" si="26"/>
        <v>2422.2978571152207</v>
      </c>
      <c r="L371">
        <v>6</v>
      </c>
    </row>
    <row r="372" spans="1:12" x14ac:dyDescent="0.3">
      <c r="A372" t="s">
        <v>76</v>
      </c>
      <c r="B372" t="s">
        <v>42</v>
      </c>
      <c r="C372" s="5">
        <v>0.40238543599999999</v>
      </c>
      <c r="D372" s="5">
        <v>0.40883333300000002</v>
      </c>
      <c r="E372">
        <v>7</v>
      </c>
      <c r="F372" s="4">
        <v>12.61146497</v>
      </c>
      <c r="G372" s="3">
        <f t="shared" si="28"/>
        <v>124.91683073087377</v>
      </c>
      <c r="H372" s="3">
        <f t="shared" si="29"/>
        <v>26.448087170142614</v>
      </c>
      <c r="I372" s="3">
        <f t="shared" si="25"/>
        <v>4408.0145283571028</v>
      </c>
      <c r="J372" s="5">
        <f t="shared" si="27"/>
        <v>12.882401692893659</v>
      </c>
      <c r="K372" s="5">
        <f t="shared" si="26"/>
        <v>2147.0669488156095</v>
      </c>
      <c r="L372">
        <v>6</v>
      </c>
    </row>
    <row r="373" spans="1:12" x14ac:dyDescent="0.3">
      <c r="A373" t="s">
        <v>76</v>
      </c>
      <c r="B373" t="s">
        <v>42</v>
      </c>
      <c r="C373" s="5">
        <v>0.40238543599999999</v>
      </c>
      <c r="D373" s="5">
        <v>0.40883333300000002</v>
      </c>
      <c r="E373">
        <v>7</v>
      </c>
      <c r="F373" s="4">
        <v>11.33757962</v>
      </c>
      <c r="G373" s="3">
        <f t="shared" si="28"/>
        <v>100.95563884373082</v>
      </c>
      <c r="H373" s="3">
        <f t="shared" si="29"/>
        <v>21.484421332831829</v>
      </c>
      <c r="I373" s="3">
        <f t="shared" si="25"/>
        <v>3580.7368888053047</v>
      </c>
      <c r="J373" s="5">
        <f t="shared" si="27"/>
        <v>12.134947435176063</v>
      </c>
      <c r="K373" s="5">
        <f t="shared" si="26"/>
        <v>2022.4912391960104</v>
      </c>
      <c r="L373">
        <v>6</v>
      </c>
    </row>
    <row r="374" spans="1:12" x14ac:dyDescent="0.3">
      <c r="A374" t="s">
        <v>76</v>
      </c>
      <c r="B374" t="s">
        <v>42</v>
      </c>
      <c r="C374" s="5">
        <v>0.40238543599999999</v>
      </c>
      <c r="D374" s="5">
        <v>0.40883333300000002</v>
      </c>
      <c r="E374">
        <v>7</v>
      </c>
      <c r="F374" s="4">
        <v>13.853503180000001</v>
      </c>
      <c r="G374" s="3">
        <f t="shared" si="28"/>
        <v>150.73326237144946</v>
      </c>
      <c r="H374" s="3">
        <f t="shared" si="29"/>
        <v>31.770517857283473</v>
      </c>
      <c r="I374" s="3">
        <f t="shared" si="25"/>
        <v>5295.0863095472459</v>
      </c>
      <c r="J374" s="5">
        <f t="shared" si="27"/>
        <v>13.687728983777617</v>
      </c>
      <c r="K374" s="5">
        <f t="shared" si="26"/>
        <v>2281.2881639629363</v>
      </c>
      <c r="L374">
        <v>6</v>
      </c>
    </row>
    <row r="375" spans="1:12" x14ac:dyDescent="0.3">
      <c r="A375" t="s">
        <v>76</v>
      </c>
      <c r="B375" t="s">
        <v>42</v>
      </c>
      <c r="C375" s="5">
        <v>0.40238543599999999</v>
      </c>
      <c r="D375" s="5">
        <v>0.40883333300000002</v>
      </c>
      <c r="E375">
        <v>7</v>
      </c>
      <c r="F375" s="4">
        <v>14.10828025</v>
      </c>
      <c r="G375" s="3">
        <f t="shared" si="28"/>
        <v>156.32845558055743</v>
      </c>
      <c r="H375" s="3">
        <f t="shared" si="29"/>
        <v>32.921024189513865</v>
      </c>
      <c r="I375" s="3">
        <f t="shared" si="25"/>
        <v>5486.837364918978</v>
      </c>
      <c r="J375" s="5">
        <f t="shared" si="27"/>
        <v>13.862267504507232</v>
      </c>
      <c r="K375" s="5">
        <f t="shared" si="26"/>
        <v>2310.3779174178721</v>
      </c>
      <c r="L375">
        <v>6</v>
      </c>
    </row>
    <row r="376" spans="1:12" x14ac:dyDescent="0.3">
      <c r="A376" t="s">
        <v>76</v>
      </c>
      <c r="B376" t="s">
        <v>42</v>
      </c>
      <c r="C376" s="5">
        <v>0.40238543599999999</v>
      </c>
      <c r="D376" s="5">
        <v>0.40883333300000002</v>
      </c>
      <c r="E376">
        <v>8</v>
      </c>
      <c r="F376" s="4">
        <v>12.229299360000001</v>
      </c>
      <c r="G376" s="3">
        <f t="shared" si="28"/>
        <v>117.46082145728865</v>
      </c>
      <c r="H376" s="3">
        <f t="shared" si="29"/>
        <v>28.373176167205518</v>
      </c>
      <c r="I376" s="3">
        <f t="shared" si="25"/>
        <v>4728.862694534253</v>
      </c>
      <c r="J376" s="5">
        <f t="shared" si="27"/>
        <v>13.1732613594219</v>
      </c>
      <c r="K376" s="5">
        <f t="shared" si="26"/>
        <v>2195.54355990365</v>
      </c>
      <c r="L376">
        <v>6</v>
      </c>
    </row>
    <row r="377" spans="1:12" x14ac:dyDescent="0.3">
      <c r="A377" t="s">
        <v>76</v>
      </c>
      <c r="B377" t="s">
        <v>42</v>
      </c>
      <c r="C377" s="5">
        <v>0.40238543599999999</v>
      </c>
      <c r="D377" s="5">
        <v>0.40883333300000002</v>
      </c>
      <c r="E377">
        <v>8</v>
      </c>
      <c r="F377" s="4">
        <v>13.15286624</v>
      </c>
      <c r="G377" s="3">
        <f t="shared" si="28"/>
        <v>135.87222533471953</v>
      </c>
      <c r="H377" s="3">
        <f t="shared" si="29"/>
        <v>32.706035629090614</v>
      </c>
      <c r="I377" s="3">
        <f t="shared" si="25"/>
        <v>5451.0059381817691</v>
      </c>
      <c r="J377" s="5">
        <f t="shared" si="27"/>
        <v>13.829640929165288</v>
      </c>
      <c r="K377" s="5">
        <f t="shared" si="26"/>
        <v>2304.9401548608816</v>
      </c>
      <c r="L377">
        <v>6</v>
      </c>
    </row>
    <row r="378" spans="1:12" x14ac:dyDescent="0.3">
      <c r="A378" t="s">
        <v>76</v>
      </c>
      <c r="B378" t="s">
        <v>42</v>
      </c>
      <c r="C378" s="5">
        <v>0.40238543599999999</v>
      </c>
      <c r="D378" s="5">
        <v>0.40883333300000002</v>
      </c>
      <c r="E378">
        <v>8</v>
      </c>
      <c r="F378" s="4">
        <v>14.076433120000001</v>
      </c>
      <c r="G378" s="3">
        <f t="shared" si="28"/>
        <v>155.62348043709864</v>
      </c>
      <c r="H378" s="3">
        <f t="shared" si="29"/>
        <v>37.338569423258868</v>
      </c>
      <c r="I378" s="3">
        <f t="shared" si="25"/>
        <v>6223.0949038764775</v>
      </c>
      <c r="J378" s="5">
        <f t="shared" si="27"/>
        <v>14.533787142691324</v>
      </c>
      <c r="K378" s="5">
        <f t="shared" si="26"/>
        <v>2422.2978571152207</v>
      </c>
      <c r="L378">
        <v>6</v>
      </c>
    </row>
    <row r="379" spans="1:12" x14ac:dyDescent="0.3">
      <c r="A379" t="s">
        <v>76</v>
      </c>
      <c r="B379" t="s">
        <v>77</v>
      </c>
      <c r="C379" s="5">
        <v>0.46679999999999999</v>
      </c>
      <c r="D379" s="5">
        <v>0.81159999999999999</v>
      </c>
      <c r="E379">
        <v>8</v>
      </c>
      <c r="F379" s="4">
        <v>17.006369429999999</v>
      </c>
      <c r="G379" s="3">
        <f t="shared" si="28"/>
        <v>227.15018739839431</v>
      </c>
      <c r="H379" s="3">
        <f t="shared" si="29"/>
        <v>105.4635975523872</v>
      </c>
      <c r="I379" s="3">
        <f t="shared" si="25"/>
        <v>17577.266258731201</v>
      </c>
      <c r="J379" s="5">
        <f t="shared" si="27"/>
        <v>17.083764833309878</v>
      </c>
      <c r="K379" s="5">
        <f t="shared" si="26"/>
        <v>2847.2941388849795</v>
      </c>
      <c r="L379">
        <v>6</v>
      </c>
    </row>
    <row r="380" spans="1:12" x14ac:dyDescent="0.3">
      <c r="A380" t="s">
        <v>76</v>
      </c>
      <c r="B380" t="s">
        <v>77</v>
      </c>
      <c r="C380" s="5">
        <v>0.46679999999999999</v>
      </c>
      <c r="D380" s="5">
        <v>0.81159999999999999</v>
      </c>
      <c r="E380">
        <v>5</v>
      </c>
      <c r="F380" s="4">
        <v>14.58598726</v>
      </c>
      <c r="G380" s="3">
        <f t="shared" si="28"/>
        <v>167.09426378453796</v>
      </c>
      <c r="H380" s="3">
        <f t="shared" si="29"/>
        <v>49.400387759586074</v>
      </c>
      <c r="I380" s="3">
        <f t="shared" si="25"/>
        <v>8233.3979599310132</v>
      </c>
      <c r="J380" s="5">
        <f t="shared" si="27"/>
        <v>12.70884292610544</v>
      </c>
      <c r="K380" s="5">
        <f t="shared" si="26"/>
        <v>2118.1404876842403</v>
      </c>
      <c r="L380">
        <v>6</v>
      </c>
    </row>
    <row r="381" spans="1:12" x14ac:dyDescent="0.3">
      <c r="A381" t="s">
        <v>76</v>
      </c>
      <c r="B381" t="s">
        <v>77</v>
      </c>
      <c r="C381" s="5">
        <v>0.46679999999999999</v>
      </c>
      <c r="D381" s="5">
        <v>0.81159999999999999</v>
      </c>
      <c r="E381">
        <v>6</v>
      </c>
      <c r="F381" s="4">
        <v>4.9681528659999996</v>
      </c>
      <c r="G381" s="3">
        <f t="shared" si="28"/>
        <v>19.385623861594752</v>
      </c>
      <c r="H381" s="3">
        <f t="shared" si="29"/>
        <v>7.2107602660856314</v>
      </c>
      <c r="I381" s="3">
        <f t="shared" si="25"/>
        <v>1201.7933776809384</v>
      </c>
      <c r="J381" s="5">
        <f t="shared" si="27"/>
        <v>9.5040334008988232</v>
      </c>
      <c r="K381" s="5">
        <f t="shared" si="26"/>
        <v>1584.0055668164705</v>
      </c>
      <c r="L381">
        <v>6</v>
      </c>
    </row>
    <row r="382" spans="1:12" x14ac:dyDescent="0.3">
      <c r="A382" t="s">
        <v>78</v>
      </c>
      <c r="B382" t="s">
        <v>10</v>
      </c>
      <c r="C382" s="5">
        <v>0.47982689899999997</v>
      </c>
      <c r="D382" s="5">
        <v>0.51</v>
      </c>
      <c r="E382">
        <v>8</v>
      </c>
      <c r="F382" s="2">
        <v>10.350318471337578</v>
      </c>
      <c r="G382" s="3">
        <f t="shared" si="28"/>
        <v>84.138992463036487</v>
      </c>
      <c r="H382" s="3">
        <f t="shared" si="29"/>
        <v>25.421959996716282</v>
      </c>
      <c r="I382" s="3">
        <f t="shared" si="25"/>
        <v>4236.9933327860472</v>
      </c>
      <c r="J382" s="5">
        <f t="shared" si="27"/>
        <v>11.985314588827132</v>
      </c>
      <c r="K382" s="5">
        <f t="shared" si="26"/>
        <v>1997.5524314711886</v>
      </c>
      <c r="L382">
        <v>6</v>
      </c>
    </row>
    <row r="383" spans="1:12" x14ac:dyDescent="0.3">
      <c r="A383" t="s">
        <v>78</v>
      </c>
      <c r="B383" t="s">
        <v>10</v>
      </c>
      <c r="C383" s="5">
        <v>0.47982689899999997</v>
      </c>
      <c r="D383" s="5">
        <v>0.51</v>
      </c>
      <c r="E383">
        <v>8</v>
      </c>
      <c r="F383" s="2">
        <v>6.5605095541401273</v>
      </c>
      <c r="G383" s="3">
        <f t="shared" si="28"/>
        <v>33.803761270167257</v>
      </c>
      <c r="H383" s="3">
        <f t="shared" si="29"/>
        <v>10.439543890715761</v>
      </c>
      <c r="I383" s="3">
        <f t="shared" si="25"/>
        <v>1739.92398178596</v>
      </c>
      <c r="J383" s="5">
        <f t="shared" si="27"/>
        <v>10.190827997078989</v>
      </c>
      <c r="K383" s="5">
        <f t="shared" si="26"/>
        <v>1698.4713328464979</v>
      </c>
      <c r="L383">
        <v>6</v>
      </c>
    </row>
    <row r="384" spans="1:12" x14ac:dyDescent="0.3">
      <c r="A384" t="s">
        <v>78</v>
      </c>
      <c r="B384" t="s">
        <v>10</v>
      </c>
      <c r="C384" s="5">
        <v>0.47982689899999997</v>
      </c>
      <c r="D384" s="5">
        <v>0.51</v>
      </c>
      <c r="E384">
        <v>9</v>
      </c>
      <c r="F384" s="2">
        <v>10.414012738853504</v>
      </c>
      <c r="G384" s="3">
        <f t="shared" si="28"/>
        <v>85.177735622059473</v>
      </c>
      <c r="H384" s="3">
        <f t="shared" si="29"/>
        <v>28.86255579431289</v>
      </c>
      <c r="I384" s="3">
        <f t="shared" si="25"/>
        <v>4810.425965718815</v>
      </c>
      <c r="J384" s="5">
        <f t="shared" si="27"/>
        <v>12.401927331737596</v>
      </c>
      <c r="K384" s="5">
        <f t="shared" si="26"/>
        <v>2066.9878886229326</v>
      </c>
      <c r="L384">
        <v>6</v>
      </c>
    </row>
    <row r="385" spans="1:12" x14ac:dyDescent="0.3">
      <c r="A385" t="s">
        <v>78</v>
      </c>
      <c r="B385" t="s">
        <v>61</v>
      </c>
      <c r="C385" s="5">
        <v>0.62643652800000005</v>
      </c>
      <c r="D385" s="5">
        <v>0.57808694400000005</v>
      </c>
      <c r="E385">
        <v>5</v>
      </c>
      <c r="F385" s="2">
        <v>27.802547770700635</v>
      </c>
      <c r="G385" s="3">
        <f t="shared" si="28"/>
        <v>607.09837810046429</v>
      </c>
      <c r="H385" s="3">
        <f t="shared" si="29"/>
        <v>124.95920233962403</v>
      </c>
      <c r="I385" s="3">
        <f t="shared" si="25"/>
        <v>20826.53372327067</v>
      </c>
      <c r="J385" s="5">
        <f t="shared" si="27"/>
        <v>22.512879094486589</v>
      </c>
      <c r="K385" s="5">
        <f t="shared" si="26"/>
        <v>3752.1465157477651</v>
      </c>
      <c r="L385">
        <v>6</v>
      </c>
    </row>
    <row r="386" spans="1:12" x14ac:dyDescent="0.3">
      <c r="A386" t="s">
        <v>78</v>
      </c>
      <c r="B386" t="s">
        <v>61</v>
      </c>
      <c r="C386" s="5">
        <v>0.62643652800000005</v>
      </c>
      <c r="D386" s="5">
        <v>0.57808694400000005</v>
      </c>
      <c r="E386">
        <v>7</v>
      </c>
      <c r="F386" s="2">
        <v>61.942675159235669</v>
      </c>
      <c r="G386" s="3">
        <f t="shared" si="28"/>
        <v>3013.4902907690289</v>
      </c>
      <c r="H386" s="3">
        <f t="shared" si="29"/>
        <v>828.8968202676333</v>
      </c>
      <c r="I386" s="3">
        <f t="shared" ref="I386:I449" si="30">(H386*1000)/L386</f>
        <v>138149.47004460555</v>
      </c>
      <c r="J386" s="5">
        <f t="shared" si="27"/>
        <v>102.9896276441235</v>
      </c>
      <c r="K386" s="5">
        <f t="shared" ref="K386:K449" si="31">(J386*1000)/L386</f>
        <v>17164.93794068725</v>
      </c>
      <c r="L386">
        <v>6</v>
      </c>
    </row>
    <row r="387" spans="1:12" x14ac:dyDescent="0.3">
      <c r="A387" t="s">
        <v>78</v>
      </c>
      <c r="B387" t="s">
        <v>61</v>
      </c>
      <c r="C387" s="5">
        <v>0.62643652800000005</v>
      </c>
      <c r="D387" s="5">
        <v>0.57808694400000005</v>
      </c>
      <c r="E387">
        <v>7</v>
      </c>
      <c r="F387" s="2">
        <v>59.203821656050955</v>
      </c>
      <c r="G387" s="3">
        <f t="shared" si="28"/>
        <v>2752.8932110026135</v>
      </c>
      <c r="H387" s="3">
        <f t="shared" si="29"/>
        <v>758.86194083768464</v>
      </c>
      <c r="I387" s="3">
        <f t="shared" si="30"/>
        <v>126476.99013961411</v>
      </c>
      <c r="J387" s="5">
        <f t="shared" ref="J387:J450" si="32">8.9857 + 0.0035 * F387^2 * E387</f>
        <v>94.860466217696441</v>
      </c>
      <c r="K387" s="5">
        <f t="shared" si="31"/>
        <v>15810.077702949406</v>
      </c>
      <c r="L387">
        <v>6</v>
      </c>
    </row>
    <row r="388" spans="1:12" x14ac:dyDescent="0.3">
      <c r="A388" t="s">
        <v>78</v>
      </c>
      <c r="B388" t="s">
        <v>61</v>
      </c>
      <c r="C388" s="5">
        <v>0.62643652800000005</v>
      </c>
      <c r="D388" s="5">
        <v>0.57808694400000005</v>
      </c>
      <c r="E388">
        <v>7</v>
      </c>
      <c r="F388" s="2">
        <v>64.363057324840767</v>
      </c>
      <c r="G388" s="3">
        <f t="shared" ref="G388:G451" si="33">PI()*(F388/2)^2</f>
        <v>3253.5929042813473</v>
      </c>
      <c r="H388" s="3">
        <f t="shared" ref="H388:H451" si="34">0.0673 * ((D388 * F388^2 * E388)^0.976)</f>
        <v>893.29488529400498</v>
      </c>
      <c r="I388" s="3">
        <f t="shared" si="30"/>
        <v>148882.48088233417</v>
      </c>
      <c r="J388" s="5">
        <f t="shared" si="32"/>
        <v>110.47947713091808</v>
      </c>
      <c r="K388" s="5">
        <f t="shared" si="31"/>
        <v>18413.246188486348</v>
      </c>
      <c r="L388">
        <v>6</v>
      </c>
    </row>
    <row r="389" spans="1:12" x14ac:dyDescent="0.3">
      <c r="A389" t="s">
        <v>78</v>
      </c>
      <c r="B389" t="s">
        <v>61</v>
      </c>
      <c r="C389" s="5">
        <v>0.62643652800000005</v>
      </c>
      <c r="D389" s="5">
        <v>0.57808694400000005</v>
      </c>
      <c r="E389">
        <v>7</v>
      </c>
      <c r="F389" s="2">
        <v>34.617834394904456</v>
      </c>
      <c r="G389" s="3">
        <f t="shared" si="33"/>
        <v>941.21680649048585</v>
      </c>
      <c r="H389" s="3">
        <f t="shared" si="34"/>
        <v>266.22539093782513</v>
      </c>
      <c r="I389" s="3">
        <f t="shared" si="30"/>
        <v>44370.898489637526</v>
      </c>
      <c r="J389" s="5">
        <f t="shared" si="32"/>
        <v>38.346364225729239</v>
      </c>
      <c r="K389" s="5">
        <f t="shared" si="31"/>
        <v>6391.0607042882066</v>
      </c>
      <c r="L389">
        <v>6</v>
      </c>
    </row>
    <row r="390" spans="1:12" x14ac:dyDescent="0.3">
      <c r="A390" t="s">
        <v>78</v>
      </c>
      <c r="B390" t="s">
        <v>61</v>
      </c>
      <c r="C390" s="5">
        <v>0.62643652800000005</v>
      </c>
      <c r="D390" s="5">
        <v>0.57808694400000005</v>
      </c>
      <c r="E390">
        <v>7</v>
      </c>
      <c r="F390" s="2">
        <v>58.535031847133759</v>
      </c>
      <c r="G390" s="3">
        <f t="shared" si="33"/>
        <v>2691.0489605140669</v>
      </c>
      <c r="H390" s="3">
        <f t="shared" si="34"/>
        <v>742.21859928524566</v>
      </c>
      <c r="I390" s="3">
        <f t="shared" si="30"/>
        <v>123703.09988087427</v>
      </c>
      <c r="J390" s="5">
        <f t="shared" si="32"/>
        <v>92.931273856951591</v>
      </c>
      <c r="K390" s="5">
        <f t="shared" si="31"/>
        <v>15488.545642825266</v>
      </c>
      <c r="L390">
        <v>6</v>
      </c>
    </row>
    <row r="391" spans="1:12" x14ac:dyDescent="0.3">
      <c r="A391" t="s">
        <v>79</v>
      </c>
      <c r="B391" t="s">
        <v>64</v>
      </c>
      <c r="C391" s="5">
        <v>0.31264018999999998</v>
      </c>
      <c r="D391" s="5">
        <v>0.356821212</v>
      </c>
      <c r="E391">
        <v>5</v>
      </c>
      <c r="F391" s="2">
        <v>9.7133757961783438</v>
      </c>
      <c r="G391" s="3">
        <f t="shared" si="33"/>
        <v>74.102057030759482</v>
      </c>
      <c r="H391" s="3">
        <f t="shared" si="34"/>
        <v>10.017243941741139</v>
      </c>
      <c r="I391" s="3">
        <f t="shared" si="30"/>
        <v>1669.5406569568565</v>
      </c>
      <c r="J391" s="5">
        <f t="shared" si="32"/>
        <v>10.636819213761207</v>
      </c>
      <c r="K391" s="5">
        <f t="shared" si="31"/>
        <v>1772.8032022935347</v>
      </c>
      <c r="L391">
        <v>6</v>
      </c>
    </row>
    <row r="392" spans="1:12" x14ac:dyDescent="0.3">
      <c r="A392" t="s">
        <v>79</v>
      </c>
      <c r="B392" t="s">
        <v>80</v>
      </c>
      <c r="C392" s="5">
        <v>0.6</v>
      </c>
      <c r="D392" s="5">
        <v>0.66674999999999995</v>
      </c>
      <c r="E392">
        <v>8</v>
      </c>
      <c r="F392" s="2">
        <v>10.031847133757962</v>
      </c>
      <c r="G392" s="3">
        <f t="shared" si="33"/>
        <v>79.040866529181514</v>
      </c>
      <c r="H392" s="3">
        <f t="shared" si="34"/>
        <v>31.068074024936699</v>
      </c>
      <c r="I392" s="3">
        <f t="shared" si="30"/>
        <v>5178.0123374894501</v>
      </c>
      <c r="J392" s="5">
        <f t="shared" si="32"/>
        <v>11.80356279362246</v>
      </c>
      <c r="K392" s="5">
        <f t="shared" si="31"/>
        <v>1967.2604656037431</v>
      </c>
      <c r="L392">
        <v>6</v>
      </c>
    </row>
    <row r="393" spans="1:12" x14ac:dyDescent="0.3">
      <c r="A393" t="s">
        <v>79</v>
      </c>
      <c r="B393" t="s">
        <v>10</v>
      </c>
      <c r="C393" s="5">
        <v>0.47982689899999997</v>
      </c>
      <c r="D393" s="5">
        <v>0.51</v>
      </c>
      <c r="E393">
        <v>5</v>
      </c>
      <c r="F393" s="2">
        <v>4.0127388535031843</v>
      </c>
      <c r="G393" s="3">
        <f t="shared" si="33"/>
        <v>12.64653864466904</v>
      </c>
      <c r="H393" s="3">
        <f t="shared" si="34"/>
        <v>2.5276382067380969</v>
      </c>
      <c r="I393" s="3">
        <f t="shared" si="30"/>
        <v>421.27303445634948</v>
      </c>
      <c r="J393" s="5">
        <f t="shared" si="32"/>
        <v>9.2674862793622452</v>
      </c>
      <c r="K393" s="5">
        <f t="shared" si="31"/>
        <v>1544.5810465603743</v>
      </c>
      <c r="L393">
        <v>6</v>
      </c>
    </row>
    <row r="394" spans="1:12" x14ac:dyDescent="0.3">
      <c r="A394" t="s">
        <v>79</v>
      </c>
      <c r="B394" t="s">
        <v>10</v>
      </c>
      <c r="C394" s="5">
        <v>0.47982689899999997</v>
      </c>
      <c r="D394" s="5">
        <v>0.51</v>
      </c>
      <c r="E394">
        <v>4</v>
      </c>
      <c r="F394" s="2">
        <v>2.6751592356687897</v>
      </c>
      <c r="G394" s="3">
        <f t="shared" si="33"/>
        <v>5.6206838420751293</v>
      </c>
      <c r="H394" s="3">
        <f t="shared" si="34"/>
        <v>0.92129900257995967</v>
      </c>
      <c r="I394" s="3">
        <f t="shared" si="30"/>
        <v>153.5498337633266</v>
      </c>
      <c r="J394" s="5">
        <f t="shared" si="32"/>
        <v>9.0858906771065762</v>
      </c>
      <c r="K394" s="5">
        <f t="shared" si="31"/>
        <v>1514.315112851096</v>
      </c>
      <c r="L394">
        <v>6</v>
      </c>
    </row>
    <row r="395" spans="1:12" x14ac:dyDescent="0.3">
      <c r="A395" t="s">
        <v>79</v>
      </c>
      <c r="B395" t="s">
        <v>61</v>
      </c>
      <c r="C395" s="5">
        <v>0.62643652800000005</v>
      </c>
      <c r="D395" s="5">
        <v>0.57808694400000005</v>
      </c>
      <c r="E395">
        <v>6</v>
      </c>
      <c r="F395" s="2">
        <v>41.910828025477706</v>
      </c>
      <c r="G395" s="3">
        <f t="shared" si="33"/>
        <v>1379.5656230159957</v>
      </c>
      <c r="H395" s="3">
        <f t="shared" si="34"/>
        <v>332.64180805887514</v>
      </c>
      <c r="I395" s="3">
        <f t="shared" si="30"/>
        <v>55440.30134314586</v>
      </c>
      <c r="J395" s="5">
        <f t="shared" si="32"/>
        <v>45.872567621404521</v>
      </c>
      <c r="K395" s="5">
        <f t="shared" si="31"/>
        <v>7645.4279369007536</v>
      </c>
      <c r="L395">
        <v>6</v>
      </c>
    </row>
    <row r="396" spans="1:12" x14ac:dyDescent="0.3">
      <c r="A396" t="s">
        <v>79</v>
      </c>
      <c r="B396" t="s">
        <v>61</v>
      </c>
      <c r="C396" s="5">
        <v>0.62643652800000005</v>
      </c>
      <c r="D396" s="5">
        <v>0.57808694400000005</v>
      </c>
      <c r="E396">
        <v>6</v>
      </c>
      <c r="F396" s="2">
        <v>45.859872611464965</v>
      </c>
      <c r="G396" s="3">
        <f t="shared" si="33"/>
        <v>1651.7928025690176</v>
      </c>
      <c r="H396" s="3">
        <f t="shared" si="34"/>
        <v>396.56366651622477</v>
      </c>
      <c r="I396" s="3">
        <f t="shared" si="30"/>
        <v>66093.944419370804</v>
      </c>
      <c r="J396" s="5">
        <f t="shared" si="32"/>
        <v>53.151386234735689</v>
      </c>
      <c r="K396" s="5">
        <f t="shared" si="31"/>
        <v>8858.5643724559486</v>
      </c>
      <c r="L396">
        <v>6</v>
      </c>
    </row>
    <row r="397" spans="1:12" x14ac:dyDescent="0.3">
      <c r="A397" t="s">
        <v>79</v>
      </c>
      <c r="B397" t="s">
        <v>61</v>
      </c>
      <c r="C397" s="5">
        <v>0.62643652800000005</v>
      </c>
      <c r="D397" s="5">
        <v>0.57808694400000005</v>
      </c>
      <c r="E397">
        <v>6</v>
      </c>
      <c r="F397" s="2">
        <v>58.152866242038222</v>
      </c>
      <c r="G397" s="3">
        <f t="shared" si="33"/>
        <v>2656.0248353484835</v>
      </c>
      <c r="H397" s="3">
        <f t="shared" si="34"/>
        <v>630.43286613538851</v>
      </c>
      <c r="I397" s="3">
        <f t="shared" si="30"/>
        <v>105072.14435589808</v>
      </c>
      <c r="J397" s="5">
        <f t="shared" si="32"/>
        <v>80.002572895452161</v>
      </c>
      <c r="K397" s="5">
        <f t="shared" si="31"/>
        <v>13333.762149242028</v>
      </c>
      <c r="L397">
        <v>6</v>
      </c>
    </row>
    <row r="398" spans="1:12" x14ac:dyDescent="0.3">
      <c r="A398" t="s">
        <v>79</v>
      </c>
      <c r="B398" t="s">
        <v>61</v>
      </c>
      <c r="C398" s="5">
        <v>0.62643652800000005</v>
      </c>
      <c r="D398" s="5">
        <v>0.57808694400000005</v>
      </c>
      <c r="E398">
        <v>7</v>
      </c>
      <c r="F398" s="2">
        <v>52.133757961783431</v>
      </c>
      <c r="G398" s="3">
        <f t="shared" si="33"/>
        <v>2134.6562243188523</v>
      </c>
      <c r="H398" s="3">
        <f t="shared" si="34"/>
        <v>592.04187531820583</v>
      </c>
      <c r="I398" s="3">
        <f t="shared" si="30"/>
        <v>98673.645886367638</v>
      </c>
      <c r="J398" s="5">
        <f t="shared" si="32"/>
        <v>75.57495362083651</v>
      </c>
      <c r="K398" s="5">
        <f t="shared" si="31"/>
        <v>12595.825603472753</v>
      </c>
      <c r="L398">
        <v>6</v>
      </c>
    </row>
    <row r="399" spans="1:12" x14ac:dyDescent="0.3">
      <c r="A399" t="s">
        <v>79</v>
      </c>
      <c r="B399" t="s">
        <v>61</v>
      </c>
      <c r="C399" s="5">
        <v>0.62643652800000005</v>
      </c>
      <c r="D399" s="5">
        <v>0.57808694400000005</v>
      </c>
      <c r="E399">
        <v>7</v>
      </c>
      <c r="F399" s="2">
        <v>68.184713375796179</v>
      </c>
      <c r="G399" s="3">
        <f t="shared" si="33"/>
        <v>3651.4379068445564</v>
      </c>
      <c r="H399" s="3">
        <f t="shared" si="34"/>
        <v>999.75397130367901</v>
      </c>
      <c r="I399" s="3">
        <f t="shared" si="30"/>
        <v>166625.66188394651</v>
      </c>
      <c r="J399" s="5">
        <f t="shared" si="32"/>
        <v>122.8900008844172</v>
      </c>
      <c r="K399" s="5">
        <f t="shared" si="31"/>
        <v>20481.666814069536</v>
      </c>
      <c r="L399">
        <v>6</v>
      </c>
    </row>
    <row r="400" spans="1:12" x14ac:dyDescent="0.3">
      <c r="A400" t="s">
        <v>79</v>
      </c>
      <c r="B400" t="s">
        <v>61</v>
      </c>
      <c r="C400" s="5">
        <v>0.62643652800000005</v>
      </c>
      <c r="D400" s="5">
        <v>0.57808694400000005</v>
      </c>
      <c r="E400">
        <v>6</v>
      </c>
      <c r="F400" s="2">
        <v>48.089171974522294</v>
      </c>
      <c r="G400" s="3">
        <f t="shared" si="33"/>
        <v>1816.2870221535579</v>
      </c>
      <c r="H400" s="3">
        <f t="shared" si="34"/>
        <v>435.06318793683613</v>
      </c>
      <c r="I400" s="3">
        <f t="shared" si="30"/>
        <v>72510.531322806026</v>
      </c>
      <c r="J400" s="5">
        <f t="shared" si="32"/>
        <v>57.549637685098794</v>
      </c>
      <c r="K400" s="5">
        <f t="shared" si="31"/>
        <v>9591.6062808497991</v>
      </c>
      <c r="L400">
        <v>6</v>
      </c>
    </row>
    <row r="401" spans="1:12" x14ac:dyDescent="0.3">
      <c r="A401" t="s">
        <v>79</v>
      </c>
      <c r="B401" t="s">
        <v>61</v>
      </c>
      <c r="C401" s="5">
        <v>0.62643652800000005</v>
      </c>
      <c r="D401" s="5">
        <v>0.57808694400000005</v>
      </c>
      <c r="E401">
        <v>6</v>
      </c>
      <c r="F401" s="2">
        <v>52.738853503184707</v>
      </c>
      <c r="G401" s="3">
        <f t="shared" si="33"/>
        <v>2184.4959813975256</v>
      </c>
      <c r="H401" s="3">
        <f t="shared" si="34"/>
        <v>520.94887638091745</v>
      </c>
      <c r="I401" s="3">
        <f t="shared" si="30"/>
        <v>86824.812730152902</v>
      </c>
      <c r="J401" s="5">
        <f t="shared" si="32"/>
        <v>67.394820045437939</v>
      </c>
      <c r="K401" s="5">
        <f t="shared" si="31"/>
        <v>11232.470007572991</v>
      </c>
      <c r="L401">
        <v>6</v>
      </c>
    </row>
    <row r="402" spans="1:12" x14ac:dyDescent="0.3">
      <c r="A402" t="s">
        <v>79</v>
      </c>
      <c r="B402" t="s">
        <v>61</v>
      </c>
      <c r="C402" s="5">
        <v>0.62643652800000005</v>
      </c>
      <c r="D402" s="5">
        <v>0.57808694400000005</v>
      </c>
      <c r="E402" s="1">
        <v>6.5</v>
      </c>
      <c r="F402" s="2">
        <v>38.726114649681527</v>
      </c>
      <c r="G402" s="3">
        <f t="shared" si="33"/>
        <v>1177.8710157578575</v>
      </c>
      <c r="H402" s="3">
        <f t="shared" si="34"/>
        <v>308.25312686477821</v>
      </c>
      <c r="I402" s="3">
        <f t="shared" si="30"/>
        <v>51375.521144129707</v>
      </c>
      <c r="J402" s="5">
        <f t="shared" si="32"/>
        <v>43.104146995821331</v>
      </c>
      <c r="K402" s="5">
        <f t="shared" si="31"/>
        <v>7184.0244993035558</v>
      </c>
      <c r="L402">
        <v>6</v>
      </c>
    </row>
    <row r="403" spans="1:12" x14ac:dyDescent="0.3">
      <c r="A403" t="s">
        <v>79</v>
      </c>
      <c r="B403" t="s">
        <v>61</v>
      </c>
      <c r="C403" s="5">
        <v>0.62643652800000005</v>
      </c>
      <c r="D403" s="5">
        <v>0.57808694400000005</v>
      </c>
      <c r="E403">
        <v>5</v>
      </c>
      <c r="F403" s="2">
        <v>45.859872611464965</v>
      </c>
      <c r="G403" s="3">
        <f t="shared" si="33"/>
        <v>1651.7928025690176</v>
      </c>
      <c r="H403" s="3">
        <f t="shared" si="34"/>
        <v>331.91893255315193</v>
      </c>
      <c r="I403" s="3">
        <f t="shared" si="30"/>
        <v>55319.822092191986</v>
      </c>
      <c r="J403" s="5">
        <f t="shared" si="32"/>
        <v>45.790438528946403</v>
      </c>
      <c r="K403" s="5">
        <f t="shared" si="31"/>
        <v>7631.7397548244007</v>
      </c>
      <c r="L403">
        <v>6</v>
      </c>
    </row>
    <row r="404" spans="1:12" x14ac:dyDescent="0.3">
      <c r="A404" t="s">
        <v>79</v>
      </c>
      <c r="B404" t="s">
        <v>51</v>
      </c>
      <c r="C404" s="5">
        <v>0.39984676499999999</v>
      </c>
      <c r="D404" s="5">
        <v>0.450333333</v>
      </c>
      <c r="E404">
        <v>10</v>
      </c>
      <c r="F404" s="2">
        <v>15.35031847133758</v>
      </c>
      <c r="G404" s="3">
        <f t="shared" si="33"/>
        <v>185.06515772764493</v>
      </c>
      <c r="H404" s="3">
        <f t="shared" si="34"/>
        <v>60.417880457086518</v>
      </c>
      <c r="I404" s="3">
        <f t="shared" si="30"/>
        <v>10069.646742847754</v>
      </c>
      <c r="J404" s="5">
        <f t="shared" si="32"/>
        <v>17.232829701002068</v>
      </c>
      <c r="K404" s="5">
        <f t="shared" si="31"/>
        <v>2872.1382835003446</v>
      </c>
      <c r="L404">
        <v>6</v>
      </c>
    </row>
    <row r="405" spans="1:12" x14ac:dyDescent="0.3">
      <c r="A405" t="s">
        <v>79</v>
      </c>
      <c r="B405" t="s">
        <v>51</v>
      </c>
      <c r="C405" s="5">
        <v>0.39984676499999999</v>
      </c>
      <c r="D405" s="5">
        <v>0.450333333</v>
      </c>
      <c r="E405">
        <v>10</v>
      </c>
      <c r="F405" s="2">
        <v>50.222929936305725</v>
      </c>
      <c r="G405" s="3">
        <f t="shared" si="33"/>
        <v>1981.0433172743847</v>
      </c>
      <c r="H405" s="3">
        <f t="shared" si="34"/>
        <v>610.97738067478883</v>
      </c>
      <c r="I405" s="3">
        <f t="shared" si="30"/>
        <v>101829.56344579814</v>
      </c>
      <c r="J405" s="5">
        <f t="shared" si="32"/>
        <v>97.267694198547574</v>
      </c>
      <c r="K405" s="5">
        <f t="shared" si="31"/>
        <v>16211.282366424595</v>
      </c>
      <c r="L405">
        <v>6</v>
      </c>
    </row>
    <row r="406" spans="1:12" x14ac:dyDescent="0.3">
      <c r="A406" t="s">
        <v>79</v>
      </c>
      <c r="B406" t="s">
        <v>51</v>
      </c>
      <c r="C406" s="5">
        <v>0.39984676499999999</v>
      </c>
      <c r="D406" s="5">
        <v>0.450333333</v>
      </c>
      <c r="E406">
        <v>12</v>
      </c>
      <c r="F406" s="2">
        <v>24.044585987261147</v>
      </c>
      <c r="G406" s="3">
        <f t="shared" si="33"/>
        <v>454.07175553838948</v>
      </c>
      <c r="H406" s="3">
        <f t="shared" si="34"/>
        <v>173.33689495737727</v>
      </c>
      <c r="I406" s="3">
        <f t="shared" si="30"/>
        <v>28889.482492896208</v>
      </c>
      <c r="J406" s="5">
        <f t="shared" si="32"/>
        <v>33.267668842549398</v>
      </c>
      <c r="K406" s="5">
        <f t="shared" si="31"/>
        <v>5544.6114737582329</v>
      </c>
      <c r="L406">
        <v>6</v>
      </c>
    </row>
    <row r="407" spans="1:12" x14ac:dyDescent="0.3">
      <c r="A407" t="s">
        <v>79</v>
      </c>
      <c r="B407" t="s">
        <v>73</v>
      </c>
      <c r="C407" s="5">
        <v>0.43538739399999998</v>
      </c>
      <c r="D407" s="5">
        <v>0.568333333</v>
      </c>
      <c r="E407">
        <v>5</v>
      </c>
      <c r="F407" s="2">
        <v>14.840764331210188</v>
      </c>
      <c r="G407" s="3">
        <f t="shared" si="33"/>
        <v>172.98259926440852</v>
      </c>
      <c r="H407" s="3">
        <f t="shared" si="34"/>
        <v>36.089850088210476</v>
      </c>
      <c r="I407" s="3">
        <f t="shared" si="30"/>
        <v>6014.9750147017467</v>
      </c>
      <c r="J407" s="5">
        <f t="shared" si="32"/>
        <v>12.84004500385411</v>
      </c>
      <c r="K407" s="5">
        <f t="shared" si="31"/>
        <v>2140.0075006423517</v>
      </c>
      <c r="L407">
        <v>6</v>
      </c>
    </row>
    <row r="408" spans="1:12" x14ac:dyDescent="0.3">
      <c r="A408" t="s">
        <v>79</v>
      </c>
      <c r="B408" t="s">
        <v>17</v>
      </c>
      <c r="C408" s="5">
        <v>0.43836446099999998</v>
      </c>
      <c r="D408" s="5">
        <v>0.58666666700000003</v>
      </c>
      <c r="E408">
        <v>7</v>
      </c>
      <c r="F408" s="2">
        <v>10.085987261146498</v>
      </c>
      <c r="G408" s="3">
        <f t="shared" si="33"/>
        <v>79.896308163417089</v>
      </c>
      <c r="H408" s="3">
        <f t="shared" si="34"/>
        <v>24.324230901202633</v>
      </c>
      <c r="I408" s="3">
        <f t="shared" si="30"/>
        <v>4054.0384835337718</v>
      </c>
      <c r="J408" s="5">
        <f t="shared" si="32"/>
        <v>11.47801490628423</v>
      </c>
      <c r="K408" s="5">
        <f t="shared" si="31"/>
        <v>1913.002484380705</v>
      </c>
      <c r="L408">
        <v>6</v>
      </c>
    </row>
    <row r="409" spans="1:12" x14ac:dyDescent="0.3">
      <c r="A409" t="s">
        <v>79</v>
      </c>
      <c r="B409" t="s">
        <v>17</v>
      </c>
      <c r="C409" s="5">
        <v>0.43836446099999998</v>
      </c>
      <c r="D409" s="5">
        <v>0.58666666700000003</v>
      </c>
      <c r="E409">
        <v>4</v>
      </c>
      <c r="F409" s="2">
        <v>5.6050955414012744</v>
      </c>
      <c r="G409" s="3">
        <f t="shared" si="33"/>
        <v>24.674929519858171</v>
      </c>
      <c r="H409" s="3">
        <f t="shared" si="34"/>
        <v>4.4751715666800909</v>
      </c>
      <c r="I409" s="3">
        <f t="shared" si="30"/>
        <v>745.86192778001521</v>
      </c>
      <c r="J409" s="5">
        <f t="shared" si="32"/>
        <v>9.4255393443953093</v>
      </c>
      <c r="K409" s="5">
        <f t="shared" si="31"/>
        <v>1570.9232240658848</v>
      </c>
      <c r="L409">
        <v>6</v>
      </c>
    </row>
    <row r="410" spans="1:12" x14ac:dyDescent="0.3">
      <c r="A410" t="s">
        <v>79</v>
      </c>
      <c r="B410" t="s">
        <v>42</v>
      </c>
      <c r="C410" s="5">
        <v>0.40238543599999999</v>
      </c>
      <c r="D410" s="5">
        <v>0.40883333300000002</v>
      </c>
      <c r="E410">
        <v>9</v>
      </c>
      <c r="F410" s="2">
        <v>10.031847133757962</v>
      </c>
      <c r="G410" s="3">
        <f t="shared" si="33"/>
        <v>79.040866529181514</v>
      </c>
      <c r="H410" s="3">
        <f t="shared" si="34"/>
        <v>21.62322501710204</v>
      </c>
      <c r="I410" s="3">
        <f t="shared" si="30"/>
        <v>3603.870836183673</v>
      </c>
      <c r="J410" s="5">
        <f t="shared" si="32"/>
        <v>12.155795642825266</v>
      </c>
      <c r="K410" s="5">
        <f t="shared" si="31"/>
        <v>2025.9659404708775</v>
      </c>
      <c r="L410">
        <v>6</v>
      </c>
    </row>
    <row r="411" spans="1:12" x14ac:dyDescent="0.3">
      <c r="A411" t="s">
        <v>79</v>
      </c>
      <c r="B411" t="s">
        <v>42</v>
      </c>
      <c r="C411" s="5">
        <v>0.40238543599999999</v>
      </c>
      <c r="D411" s="5">
        <v>0.40883333300000002</v>
      </c>
      <c r="E411">
        <v>8</v>
      </c>
      <c r="F411" s="2">
        <v>4.9044585987261149</v>
      </c>
      <c r="G411" s="3">
        <f t="shared" si="33"/>
        <v>18.891742913641409</v>
      </c>
      <c r="H411" s="3">
        <f t="shared" si="34"/>
        <v>4.767973707772156</v>
      </c>
      <c r="I411" s="3">
        <f t="shared" si="30"/>
        <v>794.66228462869265</v>
      </c>
      <c r="J411" s="5">
        <f t="shared" si="32"/>
        <v>9.6592039961053189</v>
      </c>
      <c r="K411" s="5">
        <f t="shared" si="31"/>
        <v>1609.8673326842199</v>
      </c>
      <c r="L411">
        <v>6</v>
      </c>
    </row>
    <row r="412" spans="1:12" x14ac:dyDescent="0.3">
      <c r="A412" t="s">
        <v>79</v>
      </c>
      <c r="B412" t="s">
        <v>42</v>
      </c>
      <c r="C412" s="5">
        <v>0.40238543599999999</v>
      </c>
      <c r="D412" s="5">
        <v>0.40883333300000002</v>
      </c>
      <c r="E412" s="1">
        <v>8.5</v>
      </c>
      <c r="F412" s="2">
        <v>10.859872611464969</v>
      </c>
      <c r="G412" s="3">
        <f t="shared" si="33"/>
        <v>92.627372142905088</v>
      </c>
      <c r="H412" s="3">
        <f t="shared" si="34"/>
        <v>23.874099349573637</v>
      </c>
      <c r="I412" s="3">
        <f t="shared" si="30"/>
        <v>3979.0165582622726</v>
      </c>
      <c r="J412" s="5">
        <f t="shared" si="32"/>
        <v>12.494320785833096</v>
      </c>
      <c r="K412" s="5">
        <f t="shared" si="31"/>
        <v>2082.3867976388497</v>
      </c>
      <c r="L412">
        <v>6</v>
      </c>
    </row>
    <row r="413" spans="1:12" x14ac:dyDescent="0.3">
      <c r="A413" t="s">
        <v>79</v>
      </c>
      <c r="B413" t="s">
        <v>42</v>
      </c>
      <c r="C413" s="5">
        <v>0.40238543599999999</v>
      </c>
      <c r="D413" s="5">
        <v>0.40883333300000002</v>
      </c>
      <c r="E413">
        <v>8</v>
      </c>
      <c r="F413" s="2">
        <v>16.305732484076433</v>
      </c>
      <c r="G413" s="3">
        <f t="shared" si="33"/>
        <v>208.81923825070052</v>
      </c>
      <c r="H413" s="3">
        <f t="shared" si="34"/>
        <v>49.749459717905232</v>
      </c>
      <c r="I413" s="3">
        <f t="shared" si="30"/>
        <v>8291.5766196508721</v>
      </c>
      <c r="J413" s="5">
        <f t="shared" si="32"/>
        <v>16.430253531583432</v>
      </c>
      <c r="K413" s="5">
        <f t="shared" si="31"/>
        <v>2738.3755885972387</v>
      </c>
      <c r="L413">
        <v>6</v>
      </c>
    </row>
    <row r="414" spans="1:12" x14ac:dyDescent="0.3">
      <c r="A414" t="s">
        <v>79</v>
      </c>
      <c r="B414" t="s">
        <v>42</v>
      </c>
      <c r="C414" s="5">
        <v>0.40238543599999999</v>
      </c>
      <c r="D414" s="5">
        <v>0.40883333300000002</v>
      </c>
      <c r="E414">
        <v>8</v>
      </c>
      <c r="F414" s="2">
        <v>11.146496815286623</v>
      </c>
      <c r="G414" s="3">
        <f t="shared" si="33"/>
        <v>97.581316702693215</v>
      </c>
      <c r="H414" s="3">
        <f t="shared" si="34"/>
        <v>23.6763214334803</v>
      </c>
      <c r="I414" s="3">
        <f t="shared" si="30"/>
        <v>3946.0535722467171</v>
      </c>
      <c r="J414" s="5">
        <f t="shared" si="32"/>
        <v>12.464542955089454</v>
      </c>
      <c r="K414" s="5">
        <f t="shared" si="31"/>
        <v>2077.4238258482424</v>
      </c>
      <c r="L414">
        <v>6</v>
      </c>
    </row>
    <row r="415" spans="1:12" x14ac:dyDescent="0.3">
      <c r="A415" t="s">
        <v>81</v>
      </c>
      <c r="B415" t="s">
        <v>64</v>
      </c>
      <c r="C415" s="5">
        <v>0.31264018999999998</v>
      </c>
      <c r="D415" s="5">
        <v>0.356821212</v>
      </c>
      <c r="E415">
        <v>6</v>
      </c>
      <c r="F415" s="2">
        <v>12.898089171974522</v>
      </c>
      <c r="G415" s="3">
        <f t="shared" si="33"/>
        <v>130.65939160946331</v>
      </c>
      <c r="H415" s="3">
        <f t="shared" si="34"/>
        <v>20.817475632398985</v>
      </c>
      <c r="I415" s="3">
        <f t="shared" si="30"/>
        <v>3469.5792720664977</v>
      </c>
      <c r="J415" s="5">
        <f t="shared" si="32"/>
        <v>12.479274790052335</v>
      </c>
      <c r="K415" s="5">
        <f t="shared" si="31"/>
        <v>2079.8791316753891</v>
      </c>
      <c r="L415">
        <v>6</v>
      </c>
    </row>
    <row r="416" spans="1:12" x14ac:dyDescent="0.3">
      <c r="A416" t="s">
        <v>81</v>
      </c>
      <c r="B416" t="s">
        <v>64</v>
      </c>
      <c r="C416" s="5">
        <v>0.31264018999999998</v>
      </c>
      <c r="D416" s="5">
        <v>0.356821212</v>
      </c>
      <c r="E416" s="1">
        <v>4.5</v>
      </c>
      <c r="F416" s="2">
        <v>5.8917197452229297</v>
      </c>
      <c r="G416" s="3">
        <f t="shared" si="33"/>
        <v>27.263025013466741</v>
      </c>
      <c r="H416" s="3">
        <f t="shared" si="34"/>
        <v>3.4060801754594729</v>
      </c>
      <c r="I416" s="3">
        <f t="shared" si="30"/>
        <v>567.68002924324549</v>
      </c>
      <c r="J416" s="5">
        <f t="shared" si="32"/>
        <v>9.5324196945109332</v>
      </c>
      <c r="K416" s="5">
        <f t="shared" si="31"/>
        <v>1588.736615751822</v>
      </c>
      <c r="L416">
        <v>6</v>
      </c>
    </row>
    <row r="417" spans="1:12" x14ac:dyDescent="0.3">
      <c r="A417" t="s">
        <v>81</v>
      </c>
      <c r="B417" t="s">
        <v>64</v>
      </c>
      <c r="C417" s="5">
        <v>0.31264018999999998</v>
      </c>
      <c r="D417" s="5">
        <v>0.356821212</v>
      </c>
      <c r="E417">
        <v>6</v>
      </c>
      <c r="F417" s="2">
        <v>13.821656050955413</v>
      </c>
      <c r="G417" s="3">
        <f t="shared" si="33"/>
        <v>150.04103256206108</v>
      </c>
      <c r="H417" s="3">
        <f t="shared" si="34"/>
        <v>23.826256435556235</v>
      </c>
      <c r="I417" s="3">
        <f t="shared" si="30"/>
        <v>3971.0427392593724</v>
      </c>
      <c r="J417" s="5">
        <f t="shared" si="32"/>
        <v>12.997501695809159</v>
      </c>
      <c r="K417" s="5">
        <f t="shared" si="31"/>
        <v>2166.25028263486</v>
      </c>
      <c r="L417">
        <v>6</v>
      </c>
    </row>
    <row r="418" spans="1:12" x14ac:dyDescent="0.3">
      <c r="A418" t="s">
        <v>81</v>
      </c>
      <c r="B418" t="s">
        <v>80</v>
      </c>
      <c r="C418" s="5">
        <v>0.6</v>
      </c>
      <c r="D418" s="5">
        <v>0.66674999999999995</v>
      </c>
      <c r="E418">
        <v>6</v>
      </c>
      <c r="F418" s="2">
        <v>9.7770700636942678</v>
      </c>
      <c r="G418" s="3">
        <f t="shared" si="33"/>
        <v>75.077073615609251</v>
      </c>
      <c r="H418" s="3">
        <f t="shared" si="34"/>
        <v>22.313414458151563</v>
      </c>
      <c r="I418" s="3">
        <f t="shared" si="30"/>
        <v>3718.902409691927</v>
      </c>
      <c r="J418" s="5">
        <f t="shared" si="32"/>
        <v>10.993113079638119</v>
      </c>
      <c r="K418" s="5">
        <f t="shared" si="31"/>
        <v>1832.1855132730198</v>
      </c>
      <c r="L418">
        <v>6</v>
      </c>
    </row>
    <row r="419" spans="1:12" x14ac:dyDescent="0.3">
      <c r="A419" t="s">
        <v>81</v>
      </c>
      <c r="B419" t="s">
        <v>80</v>
      </c>
      <c r="C419" s="5">
        <v>0.6</v>
      </c>
      <c r="D419" s="5">
        <v>0.66674999999999995</v>
      </c>
      <c r="E419">
        <v>5</v>
      </c>
      <c r="F419" s="2">
        <v>23.662420382165603</v>
      </c>
      <c r="G419" s="3">
        <f t="shared" si="33"/>
        <v>439.75239432167416</v>
      </c>
      <c r="H419" s="3">
        <f t="shared" si="34"/>
        <v>104.84825133036051</v>
      </c>
      <c r="I419" s="3">
        <f t="shared" si="30"/>
        <v>17474.708555060086</v>
      </c>
      <c r="J419" s="5">
        <f t="shared" si="32"/>
        <v>18.784127420990707</v>
      </c>
      <c r="K419" s="5">
        <f t="shared" si="31"/>
        <v>3130.6879034984509</v>
      </c>
      <c r="L419">
        <v>6</v>
      </c>
    </row>
    <row r="420" spans="1:12" x14ac:dyDescent="0.3">
      <c r="A420" t="s">
        <v>81</v>
      </c>
      <c r="B420" t="s">
        <v>82</v>
      </c>
      <c r="C420" s="5">
        <v>0.59</v>
      </c>
      <c r="D420" s="5">
        <v>0.59</v>
      </c>
      <c r="E420">
        <v>6</v>
      </c>
      <c r="F420" s="2">
        <v>12.738853503184712</v>
      </c>
      <c r="G420" s="3">
        <f t="shared" si="33"/>
        <v>127.4531483463748</v>
      </c>
      <c r="H420" s="3">
        <f t="shared" si="34"/>
        <v>33.193777456567091</v>
      </c>
      <c r="I420" s="3">
        <f t="shared" si="30"/>
        <v>5532.2962427611819</v>
      </c>
      <c r="J420" s="5">
        <f t="shared" si="32"/>
        <v>12.393546160087629</v>
      </c>
      <c r="K420" s="5">
        <f t="shared" si="31"/>
        <v>2065.5910266812716</v>
      </c>
      <c r="L420">
        <v>6</v>
      </c>
    </row>
    <row r="421" spans="1:12" x14ac:dyDescent="0.3">
      <c r="A421" t="s">
        <v>81</v>
      </c>
      <c r="B421" t="s">
        <v>10</v>
      </c>
      <c r="C421" s="5">
        <v>0.47982689899999997</v>
      </c>
      <c r="D421" s="5">
        <v>0.51</v>
      </c>
      <c r="E421">
        <v>6</v>
      </c>
      <c r="F421" s="2">
        <v>11.337579617834395</v>
      </c>
      <c r="G421" s="3">
        <f t="shared" si="33"/>
        <v>100.9556388051635</v>
      </c>
      <c r="H421" s="3">
        <f t="shared" si="34"/>
        <v>22.935219426047357</v>
      </c>
      <c r="I421" s="3">
        <f t="shared" si="30"/>
        <v>3822.5365710078931</v>
      </c>
      <c r="J421" s="5">
        <f t="shared" si="32"/>
        <v>11.685054943405412</v>
      </c>
      <c r="K421" s="5">
        <f t="shared" si="31"/>
        <v>1947.5091572342353</v>
      </c>
      <c r="L421">
        <v>6</v>
      </c>
    </row>
    <row r="422" spans="1:12" x14ac:dyDescent="0.3">
      <c r="A422" t="s">
        <v>81</v>
      </c>
      <c r="B422" t="s">
        <v>10</v>
      </c>
      <c r="C422" s="5">
        <v>0.47982689899999997</v>
      </c>
      <c r="D422" s="5">
        <v>0.51</v>
      </c>
      <c r="E422">
        <v>8</v>
      </c>
      <c r="F422" s="2">
        <v>15.254777070063692</v>
      </c>
      <c r="G422" s="3">
        <f t="shared" si="33"/>
        <v>182.76861131087861</v>
      </c>
      <c r="H422" s="3">
        <f t="shared" si="34"/>
        <v>54.203537700377417</v>
      </c>
      <c r="I422" s="3">
        <f t="shared" si="30"/>
        <v>9033.9229500629026</v>
      </c>
      <c r="J422" s="5">
        <f t="shared" si="32"/>
        <v>15.501530256805548</v>
      </c>
      <c r="K422" s="5">
        <f t="shared" si="31"/>
        <v>2583.5883761342579</v>
      </c>
      <c r="L422">
        <v>6</v>
      </c>
    </row>
    <row r="423" spans="1:12" x14ac:dyDescent="0.3">
      <c r="A423" t="s">
        <v>81</v>
      </c>
      <c r="B423" t="s">
        <v>50</v>
      </c>
      <c r="C423" s="5">
        <v>0.52500000000000002</v>
      </c>
      <c r="D423" s="5">
        <v>0.52500000000000002</v>
      </c>
      <c r="E423">
        <v>8</v>
      </c>
      <c r="F423" s="2">
        <v>18.089171974522291</v>
      </c>
      <c r="G423" s="3">
        <f t="shared" si="33"/>
        <v>256.99652832563015</v>
      </c>
      <c r="H423" s="3">
        <f t="shared" si="34"/>
        <v>77.765621984808689</v>
      </c>
      <c r="I423" s="3">
        <f t="shared" si="30"/>
        <v>12960.936997468116</v>
      </c>
      <c r="J423" s="5">
        <f t="shared" si="32"/>
        <v>18.147807996267595</v>
      </c>
      <c r="K423" s="5">
        <f t="shared" si="31"/>
        <v>3024.6346660445993</v>
      </c>
      <c r="L423">
        <v>6</v>
      </c>
    </row>
    <row r="424" spans="1:12" x14ac:dyDescent="0.3">
      <c r="A424" t="s">
        <v>81</v>
      </c>
      <c r="B424" t="s">
        <v>50</v>
      </c>
      <c r="C424" s="5">
        <v>0.52500000000000002</v>
      </c>
      <c r="D424" s="5">
        <v>0.52500000000000002</v>
      </c>
      <c r="E424">
        <v>8</v>
      </c>
      <c r="F424" s="2">
        <v>16.337579617834393</v>
      </c>
      <c r="G424" s="3">
        <f t="shared" si="33"/>
        <v>209.63573498229442</v>
      </c>
      <c r="H424" s="3">
        <f t="shared" si="34"/>
        <v>63.745391877776719</v>
      </c>
      <c r="I424" s="3">
        <f t="shared" si="30"/>
        <v>10624.231979629452</v>
      </c>
      <c r="J424" s="5">
        <f t="shared" si="32"/>
        <v>16.459362217534178</v>
      </c>
      <c r="K424" s="5">
        <f t="shared" si="31"/>
        <v>2743.227036255696</v>
      </c>
      <c r="L424">
        <v>6</v>
      </c>
    </row>
    <row r="425" spans="1:12" x14ac:dyDescent="0.3">
      <c r="A425" t="s">
        <v>81</v>
      </c>
      <c r="B425" t="s">
        <v>33</v>
      </c>
      <c r="C425" s="5">
        <v>1082380952</v>
      </c>
      <c r="D425" s="5">
        <v>0.61247410899999999</v>
      </c>
      <c r="E425">
        <v>6</v>
      </c>
      <c r="F425" s="2">
        <v>20.764331210191077</v>
      </c>
      <c r="G425" s="3">
        <f t="shared" si="33"/>
        <v>338.63026984148308</v>
      </c>
      <c r="H425" s="3">
        <f t="shared" si="34"/>
        <v>89.349668875618292</v>
      </c>
      <c r="I425" s="3">
        <f t="shared" si="30"/>
        <v>14891.611479269714</v>
      </c>
      <c r="J425" s="5">
        <f t="shared" si="32"/>
        <v>18.04000646273682</v>
      </c>
      <c r="K425" s="5">
        <f t="shared" si="31"/>
        <v>3006.66774378947</v>
      </c>
      <c r="L425">
        <v>6</v>
      </c>
    </row>
    <row r="426" spans="1:12" x14ac:dyDescent="0.3">
      <c r="A426" t="s">
        <v>81</v>
      </c>
      <c r="B426" t="s">
        <v>73</v>
      </c>
      <c r="C426" s="5">
        <v>0.43538739399999998</v>
      </c>
      <c r="D426" s="5">
        <v>0.568333333</v>
      </c>
      <c r="E426">
        <v>7</v>
      </c>
      <c r="F426" s="2">
        <v>23.853503184713375</v>
      </c>
      <c r="G426" s="3">
        <f t="shared" si="33"/>
        <v>446.88339797165389</v>
      </c>
      <c r="H426" s="3">
        <f t="shared" si="34"/>
        <v>126.56255675925294</v>
      </c>
      <c r="I426" s="3">
        <f t="shared" si="30"/>
        <v>21093.759459875491</v>
      </c>
      <c r="J426" s="5">
        <f t="shared" si="32"/>
        <v>22.925945547486712</v>
      </c>
      <c r="K426" s="5">
        <f t="shared" si="31"/>
        <v>3820.9909245811191</v>
      </c>
      <c r="L426">
        <v>6</v>
      </c>
    </row>
    <row r="427" spans="1:12" x14ac:dyDescent="0.3">
      <c r="A427" t="s">
        <v>81</v>
      </c>
      <c r="B427" t="s">
        <v>73</v>
      </c>
      <c r="C427" s="5">
        <v>0.43538739399999998</v>
      </c>
      <c r="D427" s="5">
        <v>0.568333333</v>
      </c>
      <c r="E427">
        <v>8</v>
      </c>
      <c r="F427" s="2">
        <v>29.267515923566879</v>
      </c>
      <c r="G427" s="3">
        <f t="shared" si="33"/>
        <v>672.76224012851674</v>
      </c>
      <c r="H427" s="3">
        <f t="shared" si="34"/>
        <v>214.93579593726162</v>
      </c>
      <c r="I427" s="3">
        <f t="shared" si="30"/>
        <v>35822.632656210269</v>
      </c>
      <c r="J427" s="5">
        <f t="shared" si="32"/>
        <v>32.970149673414745</v>
      </c>
      <c r="K427" s="5">
        <f t="shared" si="31"/>
        <v>5495.0249455691237</v>
      </c>
      <c r="L427">
        <v>6</v>
      </c>
    </row>
    <row r="428" spans="1:12" x14ac:dyDescent="0.3">
      <c r="A428" t="s">
        <v>81</v>
      </c>
      <c r="B428" t="s">
        <v>68</v>
      </c>
      <c r="C428" s="5">
        <v>0.39</v>
      </c>
      <c r="D428" s="5">
        <v>0.28861111099999998</v>
      </c>
      <c r="E428">
        <v>4</v>
      </c>
      <c r="F428" s="2">
        <v>6.5286624203821653</v>
      </c>
      <c r="G428" s="3">
        <f t="shared" si="33"/>
        <v>33.476365995352509</v>
      </c>
      <c r="H428" s="3">
        <f t="shared" si="34"/>
        <v>3.0159769149157314</v>
      </c>
      <c r="I428" s="3">
        <f t="shared" si="30"/>
        <v>502.66281915262192</v>
      </c>
      <c r="J428" s="5">
        <f t="shared" si="32"/>
        <v>9.5824280619903437</v>
      </c>
      <c r="K428" s="5">
        <f t="shared" si="31"/>
        <v>1597.0713436650574</v>
      </c>
      <c r="L428">
        <v>6</v>
      </c>
    </row>
    <row r="429" spans="1:12" x14ac:dyDescent="0.3">
      <c r="A429" t="s">
        <v>81</v>
      </c>
      <c r="B429" t="s">
        <v>68</v>
      </c>
      <c r="C429" s="5">
        <v>0.39</v>
      </c>
      <c r="D429" s="5">
        <v>0.28861111099999998</v>
      </c>
      <c r="E429" s="1">
        <v>5.5</v>
      </c>
      <c r="F429" s="2">
        <v>14.585987261146496</v>
      </c>
      <c r="G429" s="3">
        <f t="shared" si="33"/>
        <v>167.09426381080601</v>
      </c>
      <c r="H429" s="3">
        <f t="shared" si="34"/>
        <v>19.764112746266424</v>
      </c>
      <c r="I429" s="3">
        <f t="shared" si="30"/>
        <v>3294.0187910444038</v>
      </c>
      <c r="J429" s="5">
        <f t="shared" si="32"/>
        <v>13.08115721935981</v>
      </c>
      <c r="K429" s="5">
        <f t="shared" si="31"/>
        <v>2180.1928698933016</v>
      </c>
      <c r="L429">
        <v>6</v>
      </c>
    </row>
    <row r="430" spans="1:12" x14ac:dyDescent="0.3">
      <c r="A430" t="s">
        <v>81</v>
      </c>
      <c r="B430" t="s">
        <v>57</v>
      </c>
      <c r="C430" s="5">
        <v>0.693333333</v>
      </c>
      <c r="D430" s="5">
        <v>0.64166666699999997</v>
      </c>
      <c r="E430">
        <v>7</v>
      </c>
      <c r="F430" s="2">
        <v>18.757961783439491</v>
      </c>
      <c r="G430" s="3">
        <f t="shared" si="33"/>
        <v>276.35108548420442</v>
      </c>
      <c r="H430" s="3">
        <f t="shared" si="34"/>
        <v>89.129852026871191</v>
      </c>
      <c r="I430" s="3">
        <f t="shared" si="30"/>
        <v>14854.975337811864</v>
      </c>
      <c r="J430" s="5">
        <f t="shared" si="32"/>
        <v>17.606297691589923</v>
      </c>
      <c r="K430" s="5">
        <f t="shared" si="31"/>
        <v>2934.3829485983206</v>
      </c>
      <c r="L430">
        <v>6</v>
      </c>
    </row>
    <row r="431" spans="1:12" x14ac:dyDescent="0.3">
      <c r="A431" t="s">
        <v>81</v>
      </c>
      <c r="B431" t="s">
        <v>57</v>
      </c>
      <c r="C431" s="5">
        <v>0.693333333</v>
      </c>
      <c r="D431" s="5">
        <v>0.64166666699999997</v>
      </c>
      <c r="E431">
        <v>6</v>
      </c>
      <c r="F431" s="2">
        <v>13.789808917197451</v>
      </c>
      <c r="G431" s="3">
        <f t="shared" si="33"/>
        <v>149.35039581445918</v>
      </c>
      <c r="H431" s="3">
        <f t="shared" si="34"/>
        <v>42.057401560213215</v>
      </c>
      <c r="I431" s="3">
        <f t="shared" si="30"/>
        <v>7009.5669267022022</v>
      </c>
      <c r="J431" s="5">
        <f t="shared" si="32"/>
        <v>12.979035429429185</v>
      </c>
      <c r="K431" s="5">
        <f t="shared" si="31"/>
        <v>2163.1725715715306</v>
      </c>
      <c r="L431">
        <v>6</v>
      </c>
    </row>
    <row r="432" spans="1:12" x14ac:dyDescent="0.3">
      <c r="A432" t="s">
        <v>81</v>
      </c>
      <c r="B432" t="s">
        <v>57</v>
      </c>
      <c r="C432" s="5">
        <v>0.693333333</v>
      </c>
      <c r="D432" s="5">
        <v>0.64166666699999997</v>
      </c>
      <c r="E432">
        <v>8</v>
      </c>
      <c r="F432" s="2">
        <v>23.917197452229296</v>
      </c>
      <c r="G432" s="3">
        <f t="shared" si="33"/>
        <v>449.27314450314827</v>
      </c>
      <c r="H432" s="3">
        <f t="shared" si="34"/>
        <v>163.15764471342811</v>
      </c>
      <c r="I432" s="3">
        <f t="shared" si="30"/>
        <v>27192.940785571351</v>
      </c>
      <c r="J432" s="5">
        <f t="shared" si="32"/>
        <v>25.002605351129858</v>
      </c>
      <c r="K432" s="5">
        <f t="shared" si="31"/>
        <v>4167.1008918549769</v>
      </c>
      <c r="L432">
        <v>6</v>
      </c>
    </row>
    <row r="433" spans="1:12" x14ac:dyDescent="0.3">
      <c r="A433" t="s">
        <v>81</v>
      </c>
      <c r="B433" t="s">
        <v>83</v>
      </c>
      <c r="C433" s="5">
        <v>0.77</v>
      </c>
      <c r="D433" s="5">
        <v>0.77</v>
      </c>
      <c r="E433">
        <v>3</v>
      </c>
      <c r="F433" s="2">
        <v>4.2675159235668794</v>
      </c>
      <c r="G433" s="3">
        <f t="shared" si="33"/>
        <v>14.303429573171918</v>
      </c>
      <c r="H433" s="3">
        <f t="shared" si="34"/>
        <v>2.5882263240525862</v>
      </c>
      <c r="I433" s="3">
        <f t="shared" si="30"/>
        <v>431.37105400876436</v>
      </c>
      <c r="J433" s="5">
        <f t="shared" si="32"/>
        <v>9.176922767657917</v>
      </c>
      <c r="K433" s="5">
        <f t="shared" si="31"/>
        <v>1529.4871279429863</v>
      </c>
      <c r="L433">
        <v>6</v>
      </c>
    </row>
    <row r="434" spans="1:12" x14ac:dyDescent="0.3">
      <c r="A434" t="s">
        <v>81</v>
      </c>
      <c r="B434" t="s">
        <v>83</v>
      </c>
      <c r="C434" s="5">
        <v>0.77</v>
      </c>
      <c r="D434" s="5">
        <v>0.77</v>
      </c>
      <c r="E434" s="1">
        <v>3.5</v>
      </c>
      <c r="F434" s="2">
        <v>3.6624203821656049</v>
      </c>
      <c r="G434" s="3">
        <f t="shared" si="33"/>
        <v>10.534799293005044</v>
      </c>
      <c r="H434" s="3">
        <f t="shared" si="34"/>
        <v>2.2321117550252167</v>
      </c>
      <c r="I434" s="3">
        <f t="shared" si="30"/>
        <v>372.01862583753609</v>
      </c>
      <c r="J434" s="5">
        <f t="shared" si="32"/>
        <v>9.1500132074323499</v>
      </c>
      <c r="K434" s="5">
        <f t="shared" si="31"/>
        <v>1525.0022012387251</v>
      </c>
      <c r="L434">
        <v>6</v>
      </c>
    </row>
    <row r="435" spans="1:12" x14ac:dyDescent="0.3">
      <c r="A435" t="s">
        <v>84</v>
      </c>
      <c r="B435" t="s">
        <v>21</v>
      </c>
      <c r="C435" s="5">
        <v>0.80908761900000004</v>
      </c>
      <c r="D435" s="5">
        <v>0.87473809499999999</v>
      </c>
      <c r="E435">
        <v>11</v>
      </c>
      <c r="F435" s="2">
        <v>27.261146496815282</v>
      </c>
      <c r="G435" s="3">
        <f t="shared" si="33"/>
        <v>583.68443816705803</v>
      </c>
      <c r="H435" s="3">
        <f t="shared" si="34"/>
        <v>388.92817712393003</v>
      </c>
      <c r="I435" s="3">
        <f t="shared" si="30"/>
        <v>64821.362853988336</v>
      </c>
      <c r="J435" s="5">
        <f t="shared" si="32"/>
        <v>37.597749170351733</v>
      </c>
      <c r="K435" s="5">
        <f t="shared" si="31"/>
        <v>6266.2915283919547</v>
      </c>
      <c r="L435">
        <v>6</v>
      </c>
    </row>
    <row r="436" spans="1:12" x14ac:dyDescent="0.3">
      <c r="A436" t="s">
        <v>84</v>
      </c>
      <c r="B436" t="s">
        <v>21</v>
      </c>
      <c r="C436" s="5">
        <v>0.80908761900000004</v>
      </c>
      <c r="D436" s="5">
        <v>0.87473809499999999</v>
      </c>
      <c r="E436">
        <v>5</v>
      </c>
      <c r="F436" s="2">
        <v>5.5732484076433115</v>
      </c>
      <c r="G436" s="3">
        <f t="shared" si="33"/>
        <v>24.395329175673304</v>
      </c>
      <c r="H436" s="3">
        <f t="shared" si="34"/>
        <v>8.1261784287459289</v>
      </c>
      <c r="I436" s="3">
        <f t="shared" si="30"/>
        <v>1354.3630714576548</v>
      </c>
      <c r="J436" s="5">
        <f t="shared" si="32"/>
        <v>9.5292692117327267</v>
      </c>
      <c r="K436" s="5">
        <f t="shared" si="31"/>
        <v>1588.2115352887877</v>
      </c>
      <c r="L436">
        <v>6</v>
      </c>
    </row>
    <row r="437" spans="1:12" x14ac:dyDescent="0.3">
      <c r="A437" t="s">
        <v>84</v>
      </c>
      <c r="B437" t="s">
        <v>21</v>
      </c>
      <c r="C437" s="5">
        <v>0.80908761900000004</v>
      </c>
      <c r="D437" s="5">
        <v>0.87473809499999999</v>
      </c>
      <c r="E437">
        <v>8</v>
      </c>
      <c r="F437" s="2">
        <v>31.210191082802545</v>
      </c>
      <c r="G437" s="3">
        <f t="shared" si="33"/>
        <v>765.03752294911476</v>
      </c>
      <c r="H437" s="3">
        <f t="shared" si="34"/>
        <v>371.16796500554665</v>
      </c>
      <c r="I437" s="3">
        <f t="shared" si="30"/>
        <v>61861.327500924439</v>
      </c>
      <c r="J437" s="5">
        <f t="shared" si="32"/>
        <v>36.259828767901332</v>
      </c>
      <c r="K437" s="5">
        <f t="shared" si="31"/>
        <v>6043.304794650222</v>
      </c>
      <c r="L437">
        <v>6</v>
      </c>
    </row>
    <row r="438" spans="1:12" x14ac:dyDescent="0.3">
      <c r="A438" t="s">
        <v>84</v>
      </c>
      <c r="B438" t="s">
        <v>21</v>
      </c>
      <c r="C438" s="5">
        <v>0.80908761900000004</v>
      </c>
      <c r="D438" s="5">
        <v>0.87473809499999999</v>
      </c>
      <c r="E438">
        <v>7</v>
      </c>
      <c r="F438" s="2">
        <v>16.019108280254777</v>
      </c>
      <c r="G438" s="3">
        <f t="shared" si="33"/>
        <v>201.54246006229965</v>
      </c>
      <c r="H438" s="3">
        <f t="shared" si="34"/>
        <v>88.625307007193143</v>
      </c>
      <c r="I438" s="3">
        <f t="shared" si="30"/>
        <v>14770.884501198858</v>
      </c>
      <c r="J438" s="5">
        <f t="shared" si="32"/>
        <v>15.272689837315914</v>
      </c>
      <c r="K438" s="5">
        <f t="shared" si="31"/>
        <v>2545.448306219319</v>
      </c>
      <c r="L438">
        <v>6</v>
      </c>
    </row>
    <row r="439" spans="1:12" x14ac:dyDescent="0.3">
      <c r="A439" t="s">
        <v>84</v>
      </c>
      <c r="B439" t="s">
        <v>85</v>
      </c>
      <c r="C439" s="5">
        <v>0.37226847299999999</v>
      </c>
      <c r="D439" s="5">
        <v>0.42234285700000002</v>
      </c>
      <c r="E439">
        <v>3</v>
      </c>
      <c r="F439" s="2">
        <v>3.9171974522292996</v>
      </c>
      <c r="G439" s="3">
        <f t="shared" si="33"/>
        <v>12.051491758326906</v>
      </c>
      <c r="H439" s="3">
        <f t="shared" si="34"/>
        <v>1.218492058669159</v>
      </c>
      <c r="I439" s="3">
        <f t="shared" si="30"/>
        <v>203.08200977819317</v>
      </c>
      <c r="J439" s="5">
        <f t="shared" si="32"/>
        <v>9.1468165767373932</v>
      </c>
      <c r="K439" s="5">
        <f t="shared" si="31"/>
        <v>1524.4694294562323</v>
      </c>
      <c r="L439">
        <v>6</v>
      </c>
    </row>
    <row r="440" spans="1:12" x14ac:dyDescent="0.3">
      <c r="A440" t="s">
        <v>84</v>
      </c>
      <c r="B440" t="s">
        <v>80</v>
      </c>
      <c r="C440" s="5">
        <v>0.6</v>
      </c>
      <c r="D440" s="5">
        <v>0.66674999999999995</v>
      </c>
      <c r="E440" s="1">
        <v>6.5</v>
      </c>
      <c r="F440" s="2">
        <v>4.6178343949044587</v>
      </c>
      <c r="G440" s="3">
        <f t="shared" si="33"/>
        <v>16.748140274890819</v>
      </c>
      <c r="H440" s="3">
        <f t="shared" si="34"/>
        <v>5.5794331623388533</v>
      </c>
      <c r="I440" s="3">
        <f t="shared" si="30"/>
        <v>929.90552705647553</v>
      </c>
      <c r="J440" s="5">
        <f t="shared" si="32"/>
        <v>9.4708299748468487</v>
      </c>
      <c r="K440" s="5">
        <f t="shared" si="31"/>
        <v>1578.4716624744749</v>
      </c>
      <c r="L440">
        <v>6</v>
      </c>
    </row>
    <row r="441" spans="1:12" x14ac:dyDescent="0.3">
      <c r="A441" t="s">
        <v>84</v>
      </c>
      <c r="B441" t="s">
        <v>80</v>
      </c>
      <c r="C441" s="5">
        <v>0.6</v>
      </c>
      <c r="D441" s="5">
        <v>0.66674999999999995</v>
      </c>
      <c r="E441">
        <v>6</v>
      </c>
      <c r="F441" s="2">
        <v>6.2101910828025479</v>
      </c>
      <c r="G441" s="3">
        <f t="shared" si="33"/>
        <v>30.290037286693146</v>
      </c>
      <c r="H441" s="3">
        <f t="shared" si="34"/>
        <v>9.2006706473116253</v>
      </c>
      <c r="I441" s="3">
        <f t="shared" si="30"/>
        <v>1533.4451078852708</v>
      </c>
      <c r="J441" s="5">
        <f t="shared" si="32"/>
        <v>9.7955959389833254</v>
      </c>
      <c r="K441" s="5">
        <f t="shared" si="31"/>
        <v>1632.5993231638877</v>
      </c>
      <c r="L441">
        <v>6</v>
      </c>
    </row>
    <row r="442" spans="1:12" x14ac:dyDescent="0.3">
      <c r="A442" t="s">
        <v>84</v>
      </c>
      <c r="B442" t="s">
        <v>56</v>
      </c>
      <c r="C442" s="5">
        <v>0.9</v>
      </c>
      <c r="D442" s="5">
        <v>0.61247410899999999</v>
      </c>
      <c r="E442">
        <v>4</v>
      </c>
      <c r="F442" s="2">
        <v>2.6114649681528661</v>
      </c>
      <c r="G442" s="3">
        <f t="shared" si="33"/>
        <v>5.3562185592564013</v>
      </c>
      <c r="H442" s="3">
        <f t="shared" si="34"/>
        <v>1.0509479600190543</v>
      </c>
      <c r="I442" s="3">
        <f t="shared" si="30"/>
        <v>175.15799333650907</v>
      </c>
      <c r="J442" s="5">
        <f t="shared" si="32"/>
        <v>9.0811764899184553</v>
      </c>
      <c r="K442" s="5">
        <f t="shared" si="31"/>
        <v>1513.5294149864092</v>
      </c>
      <c r="L442">
        <v>6</v>
      </c>
    </row>
    <row r="443" spans="1:12" x14ac:dyDescent="0.3">
      <c r="A443" t="s">
        <v>84</v>
      </c>
      <c r="B443" t="s">
        <v>61</v>
      </c>
      <c r="C443" s="5">
        <v>0.62643652800000005</v>
      </c>
      <c r="D443" s="5">
        <v>0.57808694400000005</v>
      </c>
      <c r="E443">
        <v>8</v>
      </c>
      <c r="F443" s="2">
        <v>82.738853503184714</v>
      </c>
      <c r="G443" s="3">
        <f t="shared" si="33"/>
        <v>5376.6142493205307</v>
      </c>
      <c r="H443" s="3">
        <f t="shared" si="34"/>
        <v>1661.5184113324447</v>
      </c>
      <c r="I443" s="3">
        <f t="shared" si="30"/>
        <v>276919.73522207414</v>
      </c>
      <c r="J443" s="5">
        <f t="shared" si="32"/>
        <v>200.66580061260092</v>
      </c>
      <c r="K443" s="5">
        <f t="shared" si="31"/>
        <v>33444.300102100155</v>
      </c>
      <c r="L443">
        <v>6</v>
      </c>
    </row>
    <row r="444" spans="1:12" x14ac:dyDescent="0.3">
      <c r="A444" t="s">
        <v>84</v>
      </c>
      <c r="B444" t="s">
        <v>61</v>
      </c>
      <c r="C444" s="5">
        <v>0.62643652800000005</v>
      </c>
      <c r="D444" s="5">
        <v>0.57808694400000005</v>
      </c>
      <c r="E444">
        <v>7</v>
      </c>
      <c r="F444" s="2">
        <v>69.522292993630572</v>
      </c>
      <c r="G444" s="3">
        <f t="shared" si="33"/>
        <v>3796.1036028751091</v>
      </c>
      <c r="H444" s="3">
        <f t="shared" si="34"/>
        <v>1038.3942999518572</v>
      </c>
      <c r="I444" s="3">
        <f t="shared" si="30"/>
        <v>173065.71665864286</v>
      </c>
      <c r="J444" s="5">
        <f t="shared" si="32"/>
        <v>127.40275596575927</v>
      </c>
      <c r="K444" s="5">
        <f t="shared" si="31"/>
        <v>21233.792660959876</v>
      </c>
      <c r="L444">
        <v>6</v>
      </c>
    </row>
    <row r="445" spans="1:12" x14ac:dyDescent="0.3">
      <c r="A445" t="s">
        <v>84</v>
      </c>
      <c r="B445" t="s">
        <v>68</v>
      </c>
      <c r="C445" s="5">
        <v>0.39</v>
      </c>
      <c r="D445" s="5">
        <v>0.28861111099999998</v>
      </c>
      <c r="E445">
        <v>4</v>
      </c>
      <c r="F445" s="2">
        <v>11.019108280254777</v>
      </c>
      <c r="G445" s="3">
        <f t="shared" si="33"/>
        <v>95.363631921466293</v>
      </c>
      <c r="H445" s="3">
        <f t="shared" si="34"/>
        <v>8.3783986600297169</v>
      </c>
      <c r="I445" s="3">
        <f t="shared" si="30"/>
        <v>1396.3997766716195</v>
      </c>
      <c r="J445" s="5">
        <f t="shared" si="32"/>
        <v>10.685590462087712</v>
      </c>
      <c r="K445" s="5">
        <f t="shared" si="31"/>
        <v>1780.9317436812853</v>
      </c>
      <c r="L445">
        <v>6</v>
      </c>
    </row>
    <row r="446" spans="1:12" x14ac:dyDescent="0.3">
      <c r="A446" t="s">
        <v>84</v>
      </c>
      <c r="B446" t="s">
        <v>68</v>
      </c>
      <c r="C446" s="5">
        <v>0.39</v>
      </c>
      <c r="D446" s="5">
        <v>0.28861111099999998</v>
      </c>
      <c r="E446">
        <v>4</v>
      </c>
      <c r="F446" s="2">
        <v>8.6942675159235669</v>
      </c>
      <c r="G446" s="3">
        <f t="shared" si="33"/>
        <v>59.368473081918566</v>
      </c>
      <c r="H446" s="3">
        <f t="shared" si="34"/>
        <v>5.2756255543509862</v>
      </c>
      <c r="I446" s="3">
        <f t="shared" si="30"/>
        <v>879.27092572516437</v>
      </c>
      <c r="J446" s="5">
        <f t="shared" si="32"/>
        <v>10.043964026938212</v>
      </c>
      <c r="K446" s="5">
        <f t="shared" si="31"/>
        <v>1673.9940044897021</v>
      </c>
      <c r="L446">
        <v>6</v>
      </c>
    </row>
    <row r="447" spans="1:12" x14ac:dyDescent="0.3">
      <c r="A447" t="s">
        <v>84</v>
      </c>
      <c r="B447" t="s">
        <v>57</v>
      </c>
      <c r="C447" s="5">
        <v>0.693333333</v>
      </c>
      <c r="D447" s="5">
        <v>0.64166666699999997</v>
      </c>
      <c r="E447">
        <v>7</v>
      </c>
      <c r="F447" s="2">
        <v>27.452229299363058</v>
      </c>
      <c r="G447" s="3">
        <f t="shared" si="33"/>
        <v>591.89560724927344</v>
      </c>
      <c r="H447" s="3">
        <f t="shared" si="34"/>
        <v>187.44260573306298</v>
      </c>
      <c r="I447" s="3">
        <f t="shared" si="30"/>
        <v>31240.43428884383</v>
      </c>
      <c r="J447" s="5">
        <f t="shared" si="32"/>
        <v>27.449509890867787</v>
      </c>
      <c r="K447" s="5">
        <f t="shared" si="31"/>
        <v>4574.9183151446314</v>
      </c>
      <c r="L447">
        <v>6</v>
      </c>
    </row>
    <row r="448" spans="1:12" x14ac:dyDescent="0.3">
      <c r="A448" t="s">
        <v>84</v>
      </c>
      <c r="B448" t="s">
        <v>57</v>
      </c>
      <c r="C448" s="5">
        <v>0.693333333</v>
      </c>
      <c r="D448" s="5">
        <v>0.64166666699999997</v>
      </c>
      <c r="E448">
        <v>7</v>
      </c>
      <c r="F448" s="2">
        <v>11.878980891719744</v>
      </c>
      <c r="G448" s="3">
        <f t="shared" si="33"/>
        <v>110.82768172676738</v>
      </c>
      <c r="H448" s="3">
        <f t="shared" si="34"/>
        <v>36.537074419754461</v>
      </c>
      <c r="I448" s="3">
        <f t="shared" si="30"/>
        <v>6089.5124032924105</v>
      </c>
      <c r="J448" s="5">
        <f t="shared" si="32"/>
        <v>12.442899582133148</v>
      </c>
      <c r="K448" s="5">
        <f t="shared" si="31"/>
        <v>2073.8165970221912</v>
      </c>
      <c r="L448">
        <v>6</v>
      </c>
    </row>
    <row r="449" spans="1:12" x14ac:dyDescent="0.3">
      <c r="A449" t="s">
        <v>84</v>
      </c>
      <c r="B449" t="s">
        <v>57</v>
      </c>
      <c r="C449" s="5">
        <v>0.693333333</v>
      </c>
      <c r="D449" s="5">
        <v>0.64166666699999997</v>
      </c>
      <c r="E449">
        <v>7</v>
      </c>
      <c r="F449" s="2">
        <v>11.592356687898087</v>
      </c>
      <c r="G449" s="3">
        <f t="shared" si="33"/>
        <v>105.54395214563296</v>
      </c>
      <c r="H449" s="3">
        <f t="shared" si="34"/>
        <v>34.835979873693304</v>
      </c>
      <c r="I449" s="3">
        <f t="shared" si="30"/>
        <v>5805.9966456155498</v>
      </c>
      <c r="J449" s="5">
        <f t="shared" si="32"/>
        <v>12.27807697269666</v>
      </c>
      <c r="K449" s="5">
        <f t="shared" si="31"/>
        <v>2046.3461621161098</v>
      </c>
      <c r="L449">
        <v>6</v>
      </c>
    </row>
    <row r="450" spans="1:12" x14ac:dyDescent="0.3">
      <c r="A450" t="s">
        <v>84</v>
      </c>
      <c r="B450" t="s">
        <v>57</v>
      </c>
      <c r="C450" s="5">
        <v>0.693333333</v>
      </c>
      <c r="D450" s="5">
        <v>0.64166666699999997</v>
      </c>
      <c r="E450">
        <v>8</v>
      </c>
      <c r="F450" s="2">
        <v>24.012738853503187</v>
      </c>
      <c r="G450" s="3">
        <f t="shared" si="33"/>
        <v>452.86971303304773</v>
      </c>
      <c r="H450" s="3">
        <f t="shared" si="34"/>
        <v>164.43230224755089</v>
      </c>
      <c r="I450" s="3">
        <f t="shared" ref="I450:I513" si="35">(H450*1000)/L450</f>
        <v>27405.38370792515</v>
      </c>
      <c r="J450" s="5">
        <f t="shared" si="32"/>
        <v>25.130825562903162</v>
      </c>
      <c r="K450" s="5">
        <f t="shared" ref="K450:K513" si="36">(J450*1000)/L450</f>
        <v>4188.4709271505271</v>
      </c>
      <c r="L450">
        <v>6</v>
      </c>
    </row>
    <row r="451" spans="1:12" x14ac:dyDescent="0.3">
      <c r="A451" t="s">
        <v>84</v>
      </c>
      <c r="B451" t="s">
        <v>57</v>
      </c>
      <c r="C451" s="5">
        <v>0.693333333</v>
      </c>
      <c r="D451" s="5">
        <v>0.64166666699999997</v>
      </c>
      <c r="E451">
        <v>6</v>
      </c>
      <c r="F451" s="2">
        <v>6.7515923566878975</v>
      </c>
      <c r="G451" s="3">
        <f t="shared" si="33"/>
        <v>35.801589370496679</v>
      </c>
      <c r="H451" s="3">
        <f t="shared" si="34"/>
        <v>10.433395341209913</v>
      </c>
      <c r="I451" s="3">
        <f t="shared" si="35"/>
        <v>1738.8992235349854</v>
      </c>
      <c r="J451" s="5">
        <f t="shared" ref="J451:J514" si="37">8.9857 + 0.0035 * F451^2 * E451</f>
        <v>9.9429639863686141</v>
      </c>
      <c r="K451" s="5">
        <f t="shared" si="36"/>
        <v>1657.1606643947689</v>
      </c>
      <c r="L451">
        <v>6</v>
      </c>
    </row>
    <row r="452" spans="1:12" x14ac:dyDescent="0.3">
      <c r="A452" t="s">
        <v>84</v>
      </c>
      <c r="B452" t="s">
        <v>57</v>
      </c>
      <c r="C452" s="5">
        <v>0.693333333</v>
      </c>
      <c r="D452" s="5">
        <v>0.64166666699999997</v>
      </c>
      <c r="E452">
        <v>8</v>
      </c>
      <c r="F452" s="2">
        <v>24.7452229299363</v>
      </c>
      <c r="G452" s="3">
        <f t="shared" ref="G452:G515" si="38">PI()*(F452/2)^2</f>
        <v>480.91976123755313</v>
      </c>
      <c r="H452" s="3">
        <f t="shared" ref="H452:H515" si="39">0.0673 * ((D452 * F452^2 * E452)^0.976)</f>
        <v>174.36531513314338</v>
      </c>
      <c r="I452" s="3">
        <f t="shared" si="35"/>
        <v>29060.885855523898</v>
      </c>
      <c r="J452" s="5">
        <f t="shared" si="37"/>
        <v>26.130829619862865</v>
      </c>
      <c r="K452" s="5">
        <f t="shared" si="36"/>
        <v>4355.1382699771448</v>
      </c>
      <c r="L452">
        <v>6</v>
      </c>
    </row>
    <row r="453" spans="1:12" x14ac:dyDescent="0.3">
      <c r="A453" t="s">
        <v>84</v>
      </c>
      <c r="B453" t="s">
        <v>57</v>
      </c>
      <c r="C453" s="5">
        <v>0.693333333</v>
      </c>
      <c r="D453" s="5">
        <v>0.64166666699999997</v>
      </c>
      <c r="E453">
        <v>7</v>
      </c>
      <c r="F453" s="2">
        <v>25.03184713375796</v>
      </c>
      <c r="G453" s="3">
        <f t="shared" si="38"/>
        <v>492.12528272373112</v>
      </c>
      <c r="H453" s="3">
        <f t="shared" si="39"/>
        <v>156.53913870426913</v>
      </c>
      <c r="I453" s="3">
        <f t="shared" si="35"/>
        <v>26089.856450711522</v>
      </c>
      <c r="J453" s="5">
        <f t="shared" si="37"/>
        <v>24.337237587731749</v>
      </c>
      <c r="K453" s="5">
        <f t="shared" si="36"/>
        <v>4056.2062646219583</v>
      </c>
      <c r="L453">
        <v>6</v>
      </c>
    </row>
    <row r="454" spans="1:12" x14ac:dyDescent="0.3">
      <c r="A454" t="s">
        <v>84</v>
      </c>
      <c r="B454" t="s">
        <v>57</v>
      </c>
      <c r="C454" s="5">
        <v>0.693333333</v>
      </c>
      <c r="D454" s="5">
        <v>0.64166666699999997</v>
      </c>
      <c r="E454">
        <v>8</v>
      </c>
      <c r="F454" s="2">
        <v>28.885350318471332</v>
      </c>
      <c r="G454" s="3">
        <f t="shared" si="38"/>
        <v>655.30753146248037</v>
      </c>
      <c r="H454" s="3">
        <f t="shared" si="39"/>
        <v>235.83469372672954</v>
      </c>
      <c r="I454" s="3">
        <f t="shared" si="35"/>
        <v>39305.782287788257</v>
      </c>
      <c r="J454" s="5">
        <f t="shared" si="37"/>
        <v>32.347876964582731</v>
      </c>
      <c r="K454" s="5">
        <f t="shared" si="36"/>
        <v>5391.3128274304554</v>
      </c>
      <c r="L454">
        <v>6</v>
      </c>
    </row>
    <row r="455" spans="1:12" x14ac:dyDescent="0.3">
      <c r="A455" t="s">
        <v>84</v>
      </c>
      <c r="B455" t="s">
        <v>57</v>
      </c>
      <c r="C455" s="5">
        <v>0.693333333</v>
      </c>
      <c r="D455" s="5">
        <v>0.64166666699999997</v>
      </c>
      <c r="E455">
        <v>7</v>
      </c>
      <c r="F455" s="2">
        <v>14.61783439490446</v>
      </c>
      <c r="G455" s="3">
        <f t="shared" si="38"/>
        <v>167.82472966726624</v>
      </c>
      <c r="H455" s="3">
        <f t="shared" si="39"/>
        <v>54.779301760064257</v>
      </c>
      <c r="I455" s="3">
        <f t="shared" si="35"/>
        <v>9129.883626677376</v>
      </c>
      <c r="J455" s="5">
        <f t="shared" si="37"/>
        <v>14.220886518722869</v>
      </c>
      <c r="K455" s="5">
        <f t="shared" si="36"/>
        <v>2370.1477531204782</v>
      </c>
      <c r="L455">
        <v>6</v>
      </c>
    </row>
    <row r="456" spans="1:12" x14ac:dyDescent="0.3">
      <c r="A456" t="s">
        <v>86</v>
      </c>
      <c r="B456" t="s">
        <v>70</v>
      </c>
      <c r="C456" s="5">
        <v>0.86</v>
      </c>
      <c r="D456" s="5">
        <v>0.65666666699999998</v>
      </c>
      <c r="E456">
        <v>5</v>
      </c>
      <c r="F456" s="5">
        <v>4.6178343949044587</v>
      </c>
      <c r="G456" s="3">
        <f t="shared" si="38"/>
        <v>16.748140274890819</v>
      </c>
      <c r="H456" s="3">
        <f t="shared" si="39"/>
        <v>4.255221269559466</v>
      </c>
      <c r="I456" s="3">
        <f t="shared" si="35"/>
        <v>607.88875279420949</v>
      </c>
      <c r="J456" s="5">
        <f t="shared" si="37"/>
        <v>9.3588769037283459</v>
      </c>
      <c r="K456" s="5">
        <f t="shared" si="36"/>
        <v>1336.982414818335</v>
      </c>
      <c r="L456">
        <v>7</v>
      </c>
    </row>
    <row r="457" spans="1:12" x14ac:dyDescent="0.3">
      <c r="A457" t="s">
        <v>86</v>
      </c>
      <c r="B457" t="s">
        <v>46</v>
      </c>
      <c r="C457" s="5">
        <v>0.40257753800000001</v>
      </c>
      <c r="D457" s="5">
        <v>0.40843333300000001</v>
      </c>
      <c r="E457">
        <v>4</v>
      </c>
      <c r="F457" s="5">
        <v>10.477707006369426</v>
      </c>
      <c r="G457" s="3">
        <f t="shared" si="38"/>
        <v>86.222851438499731</v>
      </c>
      <c r="H457" s="3">
        <f t="shared" si="39"/>
        <v>10.657113857411916</v>
      </c>
      <c r="I457" s="3">
        <f t="shared" si="35"/>
        <v>1522.4448367731309</v>
      </c>
      <c r="J457" s="5">
        <f t="shared" si="37"/>
        <v>10.522652817558521</v>
      </c>
      <c r="K457" s="5">
        <f t="shared" si="36"/>
        <v>1503.2361167940744</v>
      </c>
      <c r="L457">
        <v>7</v>
      </c>
    </row>
    <row r="458" spans="1:12" x14ac:dyDescent="0.3">
      <c r="A458" t="s">
        <v>86</v>
      </c>
      <c r="B458" t="s">
        <v>87</v>
      </c>
      <c r="C458" s="5">
        <v>0.80803492399999999</v>
      </c>
      <c r="D458" s="5">
        <v>0.87275320499999998</v>
      </c>
      <c r="E458">
        <v>7</v>
      </c>
      <c r="F458" s="5">
        <v>14.076433121019109</v>
      </c>
      <c r="G458" s="3">
        <f t="shared" si="38"/>
        <v>155.62348045963233</v>
      </c>
      <c r="H458" s="3">
        <f t="shared" si="39"/>
        <v>68.706591745873354</v>
      </c>
      <c r="I458" s="3">
        <f t="shared" si="35"/>
        <v>9815.2273922676231</v>
      </c>
      <c r="J458" s="5">
        <f t="shared" si="37"/>
        <v>13.840276250557832</v>
      </c>
      <c r="K458" s="5">
        <f t="shared" si="36"/>
        <v>1977.1823215082618</v>
      </c>
      <c r="L458">
        <v>7</v>
      </c>
    </row>
    <row r="459" spans="1:12" x14ac:dyDescent="0.3">
      <c r="A459" t="s">
        <v>86</v>
      </c>
      <c r="B459" t="s">
        <v>87</v>
      </c>
      <c r="C459" s="5">
        <v>0.80803492399999999</v>
      </c>
      <c r="D459" s="5">
        <v>0.87275320499999998</v>
      </c>
      <c r="E459">
        <v>7</v>
      </c>
      <c r="F459" s="5">
        <v>28.726114649681524</v>
      </c>
      <c r="G459" s="3">
        <f t="shared" si="38"/>
        <v>648.10244567002451</v>
      </c>
      <c r="H459" s="3">
        <f t="shared" si="39"/>
        <v>276.50137606960055</v>
      </c>
      <c r="I459" s="3">
        <f t="shared" si="35"/>
        <v>39500.196581371514</v>
      </c>
      <c r="J459" s="5">
        <f t="shared" si="37"/>
        <v>29.202846740232864</v>
      </c>
      <c r="K459" s="5">
        <f t="shared" si="36"/>
        <v>4171.8352486046952</v>
      </c>
      <c r="L459">
        <v>7</v>
      </c>
    </row>
    <row r="460" spans="1:12" x14ac:dyDescent="0.3">
      <c r="A460" t="s">
        <v>86</v>
      </c>
      <c r="B460" t="s">
        <v>55</v>
      </c>
      <c r="C460" s="5">
        <v>0.41</v>
      </c>
      <c r="D460" s="5">
        <v>0.33983503399999998</v>
      </c>
      <c r="E460">
        <v>9</v>
      </c>
      <c r="F460" s="5">
        <v>20.127388535031844</v>
      </c>
      <c r="G460" s="3">
        <f t="shared" si="38"/>
        <v>318.17403953189</v>
      </c>
      <c r="H460" s="3">
        <f t="shared" si="39"/>
        <v>70.285628132429068</v>
      </c>
      <c r="I460" s="3">
        <f t="shared" si="35"/>
        <v>10040.804018918438</v>
      </c>
      <c r="J460" s="5">
        <f t="shared" si="37"/>
        <v>21.746720731064137</v>
      </c>
      <c r="K460" s="5">
        <f t="shared" si="36"/>
        <v>3106.6743901520199</v>
      </c>
      <c r="L460">
        <v>7</v>
      </c>
    </row>
    <row r="461" spans="1:12" x14ac:dyDescent="0.3">
      <c r="A461" t="s">
        <v>86</v>
      </c>
      <c r="B461" t="s">
        <v>55</v>
      </c>
      <c r="C461" s="5">
        <v>0.41</v>
      </c>
      <c r="D461" s="5">
        <v>0.33983503399999998</v>
      </c>
      <c r="E461">
        <v>9</v>
      </c>
      <c r="F461" s="5">
        <v>8.4076433121019107</v>
      </c>
      <c r="G461" s="3">
        <f t="shared" si="38"/>
        <v>55.518591419680874</v>
      </c>
      <c r="H461" s="3">
        <f t="shared" si="39"/>
        <v>12.789031552981468</v>
      </c>
      <c r="I461" s="3">
        <f t="shared" si="35"/>
        <v>1827.0045075687813</v>
      </c>
      <c r="J461" s="5">
        <f t="shared" si="37"/>
        <v>11.212386681001258</v>
      </c>
      <c r="K461" s="5">
        <f t="shared" si="36"/>
        <v>1601.7695258573224</v>
      </c>
      <c r="L461">
        <v>7</v>
      </c>
    </row>
    <row r="462" spans="1:12" x14ac:dyDescent="0.3">
      <c r="A462" t="s">
        <v>86</v>
      </c>
      <c r="B462" t="s">
        <v>55</v>
      </c>
      <c r="C462" s="5">
        <v>0.41</v>
      </c>
      <c r="D462" s="5">
        <v>0.33983503399999998</v>
      </c>
      <c r="E462">
        <v>7</v>
      </c>
      <c r="F462" s="5">
        <v>7.1019108280254777</v>
      </c>
      <c r="G462" s="3">
        <f t="shared" si="38"/>
        <v>39.613235088230461</v>
      </c>
      <c r="H462" s="3">
        <f t="shared" si="39"/>
        <v>7.1983487553967018</v>
      </c>
      <c r="I462" s="3">
        <f t="shared" si="35"/>
        <v>1028.335536485243</v>
      </c>
      <c r="J462" s="5">
        <f t="shared" si="37"/>
        <v>10.221409866526026</v>
      </c>
      <c r="K462" s="5">
        <f t="shared" si="36"/>
        <v>1460.201409503718</v>
      </c>
      <c r="L462">
        <v>7</v>
      </c>
    </row>
    <row r="463" spans="1:12" x14ac:dyDescent="0.3">
      <c r="A463" t="s">
        <v>86</v>
      </c>
      <c r="B463" t="s">
        <v>85</v>
      </c>
      <c r="C463" s="5">
        <v>0.37226847299999999</v>
      </c>
      <c r="D463" s="5">
        <v>0.42234285700000002</v>
      </c>
      <c r="E463">
        <v>6</v>
      </c>
      <c r="F463" s="5">
        <v>6.2101910828025479</v>
      </c>
      <c r="G463" s="3">
        <f t="shared" si="38"/>
        <v>30.290037286693146</v>
      </c>
      <c r="H463" s="3">
        <f t="shared" si="39"/>
        <v>5.8922445408497444</v>
      </c>
      <c r="I463" s="3">
        <f t="shared" si="35"/>
        <v>841.749220121392</v>
      </c>
      <c r="J463" s="5">
        <f t="shared" si="37"/>
        <v>9.7955959389833254</v>
      </c>
      <c r="K463" s="5">
        <f t="shared" si="36"/>
        <v>1399.3708484261895</v>
      </c>
      <c r="L463">
        <v>7</v>
      </c>
    </row>
    <row r="464" spans="1:12" x14ac:dyDescent="0.3">
      <c r="A464" t="s">
        <v>86</v>
      </c>
      <c r="B464" t="s">
        <v>85</v>
      </c>
      <c r="C464" s="5">
        <v>0.37226847299999999</v>
      </c>
      <c r="D464" s="5">
        <v>0.42234285700000002</v>
      </c>
      <c r="E464" s="1">
        <v>3.5</v>
      </c>
      <c r="F464" s="5">
        <v>11.815286624203821</v>
      </c>
      <c r="G464" s="3">
        <f t="shared" si="38"/>
        <v>109.64236744714611</v>
      </c>
      <c r="H464" s="3">
        <f t="shared" si="39"/>
        <v>12.220412444814965</v>
      </c>
      <c r="I464" s="3">
        <f t="shared" si="35"/>
        <v>1745.7732064021379</v>
      </c>
      <c r="J464" s="5">
        <f t="shared" si="37"/>
        <v>10.695812225648099</v>
      </c>
      <c r="K464" s="5">
        <f t="shared" si="36"/>
        <v>1527.9731750925857</v>
      </c>
      <c r="L464">
        <v>7</v>
      </c>
    </row>
    <row r="465" spans="1:12" x14ac:dyDescent="0.3">
      <c r="A465" t="s">
        <v>86</v>
      </c>
      <c r="B465" t="s">
        <v>50</v>
      </c>
      <c r="C465" s="5">
        <v>0.52500000000000002</v>
      </c>
      <c r="D465" s="5">
        <v>0.52500000000000002</v>
      </c>
      <c r="E465">
        <v>7</v>
      </c>
      <c r="F465" s="5">
        <v>15.668789808917198</v>
      </c>
      <c r="G465" s="3">
        <f t="shared" si="38"/>
        <v>192.82386813323049</v>
      </c>
      <c r="H465" s="3">
        <f t="shared" si="39"/>
        <v>51.572173964266021</v>
      </c>
      <c r="I465" s="3">
        <f t="shared" si="35"/>
        <v>7367.4534234665743</v>
      </c>
      <c r="J465" s="5">
        <f t="shared" si="37"/>
        <v>15.000718864862673</v>
      </c>
      <c r="K465" s="5">
        <f t="shared" si="36"/>
        <v>2142.9598378375244</v>
      </c>
      <c r="L465">
        <v>7</v>
      </c>
    </row>
    <row r="466" spans="1:12" x14ac:dyDescent="0.3">
      <c r="A466" t="s">
        <v>86</v>
      </c>
      <c r="B466" t="s">
        <v>50</v>
      </c>
      <c r="C466" s="5">
        <v>0.52500000000000002</v>
      </c>
      <c r="D466" s="5">
        <v>0.52500000000000002</v>
      </c>
      <c r="E466">
        <v>7</v>
      </c>
      <c r="F466" s="5">
        <v>12.643312101910828</v>
      </c>
      <c r="G466" s="3">
        <f t="shared" si="38"/>
        <v>125.54852036077369</v>
      </c>
      <c r="H466" s="3">
        <f t="shared" si="39"/>
        <v>33.926466350297083</v>
      </c>
      <c r="I466" s="3">
        <f t="shared" si="35"/>
        <v>4846.6380500424402</v>
      </c>
      <c r="J466" s="5">
        <f t="shared" si="37"/>
        <v>12.902106852204957</v>
      </c>
      <c r="K466" s="5">
        <f t="shared" si="36"/>
        <v>1843.1581217435653</v>
      </c>
      <c r="L466">
        <v>7</v>
      </c>
    </row>
    <row r="467" spans="1:12" x14ac:dyDescent="0.3">
      <c r="A467" t="s">
        <v>86</v>
      </c>
      <c r="B467" t="s">
        <v>88</v>
      </c>
      <c r="C467" s="5">
        <v>0.85449533600000005</v>
      </c>
      <c r="D467" s="5">
        <v>0.81482857099999995</v>
      </c>
      <c r="E467">
        <v>5</v>
      </c>
      <c r="F467" s="5">
        <v>9.4904458598726116</v>
      </c>
      <c r="G467" s="3">
        <f t="shared" si="38"/>
        <v>70.739683660946696</v>
      </c>
      <c r="H467" s="3">
        <f t="shared" si="39"/>
        <v>21.432553749575355</v>
      </c>
      <c r="I467" s="3">
        <f t="shared" si="35"/>
        <v>3061.7933927964796</v>
      </c>
      <c r="J467" s="5">
        <f t="shared" si="37"/>
        <v>10.56189984583553</v>
      </c>
      <c r="K467" s="5">
        <f t="shared" si="36"/>
        <v>1508.8428351193616</v>
      </c>
      <c r="L467">
        <v>7</v>
      </c>
    </row>
    <row r="468" spans="1:12" x14ac:dyDescent="0.3">
      <c r="A468" t="s">
        <v>86</v>
      </c>
      <c r="B468" t="s">
        <v>73</v>
      </c>
      <c r="C468" s="5">
        <v>0.43538739399999998</v>
      </c>
      <c r="D468" s="5">
        <v>0.568333333</v>
      </c>
      <c r="E468">
        <v>8</v>
      </c>
      <c r="F468" s="5">
        <v>20.318471337579616</v>
      </c>
      <c r="G468" s="3">
        <f t="shared" si="38"/>
        <v>324.24399572188617</v>
      </c>
      <c r="H468" s="3">
        <f t="shared" si="39"/>
        <v>105.42092841766319</v>
      </c>
      <c r="I468" s="3">
        <f t="shared" si="35"/>
        <v>15060.132631094742</v>
      </c>
      <c r="J468" s="5">
        <f t="shared" si="37"/>
        <v>20.545227769889244</v>
      </c>
      <c r="K468" s="5">
        <f t="shared" si="36"/>
        <v>2935.0325385556062</v>
      </c>
      <c r="L468">
        <v>7</v>
      </c>
    </row>
    <row r="469" spans="1:12" x14ac:dyDescent="0.3">
      <c r="A469" t="s">
        <v>86</v>
      </c>
      <c r="B469" t="s">
        <v>42</v>
      </c>
      <c r="C469" s="5">
        <v>0.40238543599999999</v>
      </c>
      <c r="D469" s="5">
        <v>0.40883333300000002</v>
      </c>
      <c r="E469">
        <v>9</v>
      </c>
      <c r="F469" s="5">
        <v>18.312101910828027</v>
      </c>
      <c r="G469" s="3">
        <f t="shared" si="38"/>
        <v>263.3699823251261</v>
      </c>
      <c r="H469" s="3">
        <f t="shared" si="39"/>
        <v>69.998687926319477</v>
      </c>
      <c r="I469" s="3">
        <f t="shared" si="35"/>
        <v>9999.8125609027811</v>
      </c>
      <c r="J469" s="5">
        <f t="shared" si="37"/>
        <v>19.54869190636537</v>
      </c>
      <c r="K469" s="5">
        <f t="shared" si="36"/>
        <v>2792.6702723379099</v>
      </c>
      <c r="L469">
        <v>7</v>
      </c>
    </row>
    <row r="470" spans="1:12" x14ac:dyDescent="0.3">
      <c r="A470" t="s">
        <v>86</v>
      </c>
      <c r="B470" t="s">
        <v>42</v>
      </c>
      <c r="C470" s="5">
        <v>0.40238543599999999</v>
      </c>
      <c r="D470" s="5">
        <v>0.40883333300000002</v>
      </c>
      <c r="E470">
        <v>9</v>
      </c>
      <c r="F470" s="5">
        <v>18.312101910828027</v>
      </c>
      <c r="G470" s="3">
        <f t="shared" si="38"/>
        <v>263.3699823251261</v>
      </c>
      <c r="H470" s="3">
        <f t="shared" si="39"/>
        <v>69.998687926319477</v>
      </c>
      <c r="I470" s="3">
        <f t="shared" si="35"/>
        <v>9999.8125609027811</v>
      </c>
      <c r="J470" s="5">
        <f t="shared" si="37"/>
        <v>19.54869190636537</v>
      </c>
      <c r="K470" s="5">
        <f t="shared" si="36"/>
        <v>2792.6702723379099</v>
      </c>
      <c r="L470">
        <v>7</v>
      </c>
    </row>
    <row r="471" spans="1:12" x14ac:dyDescent="0.3">
      <c r="A471" t="s">
        <v>86</v>
      </c>
      <c r="B471" t="s">
        <v>42</v>
      </c>
      <c r="C471" s="5">
        <v>0.40238543599999999</v>
      </c>
      <c r="D471" s="5">
        <v>0.40883333300000002</v>
      </c>
      <c r="E471">
        <v>8</v>
      </c>
      <c r="F471" s="5">
        <v>17.35668789808917</v>
      </c>
      <c r="G471" s="3">
        <f t="shared" si="38"/>
        <v>236.60482117238735</v>
      </c>
      <c r="H471" s="3">
        <f t="shared" si="39"/>
        <v>56.200396200713875</v>
      </c>
      <c r="I471" s="3">
        <f t="shared" si="35"/>
        <v>8028.6280286734109</v>
      </c>
      <c r="J471" s="5">
        <f t="shared" si="37"/>
        <v>17.420829214166901</v>
      </c>
      <c r="K471" s="5">
        <f t="shared" si="36"/>
        <v>2488.6898877381286</v>
      </c>
      <c r="L471">
        <v>7</v>
      </c>
    </row>
    <row r="472" spans="1:12" x14ac:dyDescent="0.3">
      <c r="A472" t="s">
        <v>86</v>
      </c>
      <c r="B472" t="s">
        <v>42</v>
      </c>
      <c r="C472" s="5">
        <v>0.40238543599999999</v>
      </c>
      <c r="D472" s="5">
        <v>0.40883333300000002</v>
      </c>
      <c r="E472">
        <v>7</v>
      </c>
      <c r="F472" s="5">
        <v>17.00636942675159</v>
      </c>
      <c r="G472" s="3">
        <f t="shared" si="38"/>
        <v>227.1501873116178</v>
      </c>
      <c r="H472" s="3">
        <f t="shared" si="39"/>
        <v>47.408236241501427</v>
      </c>
      <c r="I472" s="3">
        <f t="shared" si="35"/>
        <v>6772.6051773573472</v>
      </c>
      <c r="J472" s="5">
        <f t="shared" si="37"/>
        <v>16.071506726439203</v>
      </c>
      <c r="K472" s="5">
        <f t="shared" si="36"/>
        <v>2295.9295323484575</v>
      </c>
      <c r="L472">
        <v>7</v>
      </c>
    </row>
    <row r="473" spans="1:12" x14ac:dyDescent="0.3">
      <c r="A473" t="s">
        <v>86</v>
      </c>
      <c r="B473" t="s">
        <v>89</v>
      </c>
      <c r="C473" s="5">
        <v>0.28577490700000002</v>
      </c>
      <c r="D473" s="5">
        <v>0.3422</v>
      </c>
      <c r="E473">
        <v>5</v>
      </c>
      <c r="F473" s="5">
        <v>29.968152866242036</v>
      </c>
      <c r="G473" s="3">
        <f t="shared" si="38"/>
        <v>705.35838281810197</v>
      </c>
      <c r="H473" s="3">
        <f t="shared" si="39"/>
        <v>86.717619092726352</v>
      </c>
      <c r="I473" s="3">
        <f t="shared" si="35"/>
        <v>12388.231298960907</v>
      </c>
      <c r="J473" s="5">
        <f t="shared" si="37"/>
        <v>24.702278258752891</v>
      </c>
      <c r="K473" s="5">
        <f t="shared" si="36"/>
        <v>3528.8968941075555</v>
      </c>
      <c r="L473">
        <v>7</v>
      </c>
    </row>
    <row r="474" spans="1:12" x14ac:dyDescent="0.3">
      <c r="A474" t="s">
        <v>86</v>
      </c>
      <c r="B474" t="s">
        <v>89</v>
      </c>
      <c r="C474" s="5">
        <v>0.28577490700000002</v>
      </c>
      <c r="D474" s="5">
        <v>0.3422</v>
      </c>
      <c r="E474" s="1">
        <v>6.5</v>
      </c>
      <c r="F474" s="5">
        <v>20.859872611464969</v>
      </c>
      <c r="G474" s="3">
        <f t="shared" si="38"/>
        <v>341.75366855814667</v>
      </c>
      <c r="H474" s="3">
        <f t="shared" si="39"/>
        <v>55.229629512847218</v>
      </c>
      <c r="I474" s="3">
        <f t="shared" si="35"/>
        <v>7889.9470732638883</v>
      </c>
      <c r="J474" s="5">
        <f t="shared" si="37"/>
        <v>18.88500499208893</v>
      </c>
      <c r="K474" s="5">
        <f t="shared" si="36"/>
        <v>2697.8578560127039</v>
      </c>
      <c r="L474">
        <v>7</v>
      </c>
    </row>
    <row r="475" spans="1:12" x14ac:dyDescent="0.3">
      <c r="A475" t="s">
        <v>90</v>
      </c>
      <c r="B475" t="s">
        <v>46</v>
      </c>
      <c r="C475" s="5">
        <v>0.40257753800000001</v>
      </c>
      <c r="D475" s="5">
        <v>0.40843333300000001</v>
      </c>
      <c r="E475" s="1">
        <v>3.5</v>
      </c>
      <c r="F475" s="5">
        <v>12.579617834394904</v>
      </c>
      <c r="G475" s="3">
        <f t="shared" si="38"/>
        <v>124.28673419214456</v>
      </c>
      <c r="H475" s="3">
        <f t="shared" si="39"/>
        <v>13.366897053088312</v>
      </c>
      <c r="I475" s="3">
        <f t="shared" si="35"/>
        <v>1909.556721869759</v>
      </c>
      <c r="J475" s="5">
        <f t="shared" si="37"/>
        <v>10.924223114527972</v>
      </c>
      <c r="K475" s="5">
        <f t="shared" si="36"/>
        <v>1560.6033020754246</v>
      </c>
      <c r="L475">
        <v>7</v>
      </c>
    </row>
    <row r="476" spans="1:12" x14ac:dyDescent="0.3">
      <c r="A476" t="s">
        <v>90</v>
      </c>
      <c r="B476" t="s">
        <v>46</v>
      </c>
      <c r="C476" s="5">
        <v>0.40257753800000001</v>
      </c>
      <c r="D476" s="5">
        <v>0.40843333300000001</v>
      </c>
      <c r="E476">
        <v>7</v>
      </c>
      <c r="F476" s="5">
        <v>11.942675159235668</v>
      </c>
      <c r="G476" s="3">
        <f t="shared" si="38"/>
        <v>112.01936866380598</v>
      </c>
      <c r="H476" s="3">
        <f t="shared" si="39"/>
        <v>23.756769447158185</v>
      </c>
      <c r="I476" s="3">
        <f t="shared" si="35"/>
        <v>3393.8242067368838</v>
      </c>
      <c r="J476" s="5">
        <f t="shared" si="37"/>
        <v>12.480073503996104</v>
      </c>
      <c r="K476" s="5">
        <f t="shared" si="36"/>
        <v>1782.8676434280148</v>
      </c>
      <c r="L476">
        <v>7</v>
      </c>
    </row>
    <row r="477" spans="1:12" x14ac:dyDescent="0.3">
      <c r="A477" t="s">
        <v>90</v>
      </c>
      <c r="B477" t="s">
        <v>87</v>
      </c>
      <c r="C477" s="5">
        <v>0.80803492399999999</v>
      </c>
      <c r="D477" s="5">
        <v>0.87275320499999998</v>
      </c>
      <c r="E477">
        <v>7</v>
      </c>
      <c r="F477" s="5">
        <v>6.5286624203821653</v>
      </c>
      <c r="G477" s="3">
        <f t="shared" si="38"/>
        <v>33.476365995352509</v>
      </c>
      <c r="H477" s="3">
        <f t="shared" si="39"/>
        <v>15.334784333807633</v>
      </c>
      <c r="I477" s="3">
        <f t="shared" si="35"/>
        <v>2190.6834762582334</v>
      </c>
      <c r="J477" s="5">
        <f t="shared" si="37"/>
        <v>10.029974108483103</v>
      </c>
      <c r="K477" s="5">
        <f t="shared" si="36"/>
        <v>1432.8534440690146</v>
      </c>
      <c r="L477">
        <v>7</v>
      </c>
    </row>
    <row r="478" spans="1:12" x14ac:dyDescent="0.3">
      <c r="A478" t="s">
        <v>90</v>
      </c>
      <c r="B478" t="s">
        <v>87</v>
      </c>
      <c r="C478" s="5">
        <v>0.80803492399999999</v>
      </c>
      <c r="D478" s="5">
        <v>0.87275320499999998</v>
      </c>
      <c r="E478">
        <v>8</v>
      </c>
      <c r="F478" s="5">
        <v>23.789808917197448</v>
      </c>
      <c r="G478" s="3">
        <f t="shared" si="38"/>
        <v>444.50002409757656</v>
      </c>
      <c r="H478" s="3">
        <f t="shared" si="39"/>
        <v>217.99979776651935</v>
      </c>
      <c r="I478" s="3">
        <f t="shared" si="35"/>
        <v>31142.828252359908</v>
      </c>
      <c r="J478" s="5">
        <f t="shared" si="37"/>
        <v>24.83244023286948</v>
      </c>
      <c r="K478" s="5">
        <f t="shared" si="36"/>
        <v>3547.4914618384973</v>
      </c>
      <c r="L478">
        <v>7</v>
      </c>
    </row>
    <row r="479" spans="1:12" x14ac:dyDescent="0.3">
      <c r="A479" t="s">
        <v>90</v>
      </c>
      <c r="B479" t="s">
        <v>87</v>
      </c>
      <c r="C479" s="5">
        <v>0.80803492399999999</v>
      </c>
      <c r="D479" s="5">
        <v>0.87275320499999998</v>
      </c>
      <c r="E479" s="1">
        <v>8.5</v>
      </c>
      <c r="F479" s="5">
        <v>15.764331210191083</v>
      </c>
      <c r="G479" s="3">
        <f t="shared" si="38"/>
        <v>195.18254795981557</v>
      </c>
      <c r="H479" s="3">
        <f t="shared" si="39"/>
        <v>103.58590590263773</v>
      </c>
      <c r="I479" s="3">
        <f t="shared" si="35"/>
        <v>14797.986557519676</v>
      </c>
      <c r="J479" s="5">
        <f t="shared" si="37"/>
        <v>16.378995620511986</v>
      </c>
      <c r="K479" s="5">
        <f t="shared" si="36"/>
        <v>2339.8565172159983</v>
      </c>
      <c r="L479">
        <v>7</v>
      </c>
    </row>
    <row r="480" spans="1:12" x14ac:dyDescent="0.3">
      <c r="A480" t="s">
        <v>90</v>
      </c>
      <c r="B480" t="s">
        <v>87</v>
      </c>
      <c r="C480" s="5">
        <v>0.80803492399999999</v>
      </c>
      <c r="D480" s="5">
        <v>0.87275320499999998</v>
      </c>
      <c r="E480">
        <v>8</v>
      </c>
      <c r="F480" s="5">
        <v>11.210191082802549</v>
      </c>
      <c r="G480" s="3">
        <f t="shared" si="38"/>
        <v>98.699718079432685</v>
      </c>
      <c r="H480" s="3">
        <f t="shared" si="39"/>
        <v>50.186343532392542</v>
      </c>
      <c r="I480" s="3">
        <f t="shared" si="35"/>
        <v>7169.4776474846494</v>
      </c>
      <c r="J480" s="5">
        <f t="shared" si="37"/>
        <v>12.504414755162482</v>
      </c>
      <c r="K480" s="5">
        <f t="shared" si="36"/>
        <v>1786.3449650232119</v>
      </c>
      <c r="L480">
        <v>7</v>
      </c>
    </row>
    <row r="481" spans="1:12" x14ac:dyDescent="0.3">
      <c r="A481" t="s">
        <v>90</v>
      </c>
      <c r="B481" t="s">
        <v>55</v>
      </c>
      <c r="C481" s="5">
        <v>0.41</v>
      </c>
      <c r="D481" s="5">
        <v>0.33983503399999998</v>
      </c>
      <c r="E481">
        <v>7</v>
      </c>
      <c r="F481" s="5">
        <v>6.4968152866242033</v>
      </c>
      <c r="G481" s="3">
        <f t="shared" si="38"/>
        <v>33.150563884892087</v>
      </c>
      <c r="H481" s="3">
        <f t="shared" si="39"/>
        <v>6.0497841292181711</v>
      </c>
      <c r="I481" s="3">
        <f t="shared" si="35"/>
        <v>864.25487560259592</v>
      </c>
      <c r="J481" s="5">
        <f t="shared" si="37"/>
        <v>10.019810917278591</v>
      </c>
      <c r="K481" s="5">
        <f t="shared" si="36"/>
        <v>1431.4015596112272</v>
      </c>
      <c r="L481">
        <v>7</v>
      </c>
    </row>
    <row r="482" spans="1:12" x14ac:dyDescent="0.3">
      <c r="A482" t="s">
        <v>90</v>
      </c>
      <c r="B482" t="s">
        <v>55</v>
      </c>
      <c r="C482" s="5">
        <v>0.41</v>
      </c>
      <c r="D482" s="5">
        <v>0.33983503399999998</v>
      </c>
      <c r="E482">
        <v>5</v>
      </c>
      <c r="F482" s="5">
        <v>6.4649681528662422</v>
      </c>
      <c r="G482" s="3">
        <f t="shared" si="38"/>
        <v>32.826354938786004</v>
      </c>
      <c r="H482" s="3">
        <f t="shared" si="39"/>
        <v>4.3147247372954656</v>
      </c>
      <c r="I482" s="3">
        <f t="shared" si="35"/>
        <v>616.38924818506644</v>
      </c>
      <c r="J482" s="5">
        <f t="shared" si="37"/>
        <v>9.7171267313075571</v>
      </c>
      <c r="K482" s="5">
        <f t="shared" si="36"/>
        <v>1388.1609616153653</v>
      </c>
      <c r="L482">
        <v>7</v>
      </c>
    </row>
    <row r="483" spans="1:12" x14ac:dyDescent="0.3">
      <c r="A483" t="s">
        <v>90</v>
      </c>
      <c r="B483" t="s">
        <v>64</v>
      </c>
      <c r="C483" s="5">
        <v>0.31264018999999998</v>
      </c>
      <c r="D483" s="5">
        <v>0.356821212</v>
      </c>
      <c r="E483" s="1">
        <v>3.5</v>
      </c>
      <c r="F483" s="5">
        <v>5.8917197452229297</v>
      </c>
      <c r="G483" s="3">
        <f t="shared" si="38"/>
        <v>27.263025013466741</v>
      </c>
      <c r="H483" s="3">
        <f t="shared" si="39"/>
        <v>2.6652003670840854</v>
      </c>
      <c r="I483" s="3">
        <f t="shared" si="35"/>
        <v>380.74290958344079</v>
      </c>
      <c r="J483" s="5">
        <f t="shared" si="37"/>
        <v>9.4109264290640589</v>
      </c>
      <c r="K483" s="5">
        <f t="shared" si="36"/>
        <v>1344.4180612948655</v>
      </c>
      <c r="L483">
        <v>7</v>
      </c>
    </row>
    <row r="484" spans="1:12" x14ac:dyDescent="0.3">
      <c r="A484" t="s">
        <v>90</v>
      </c>
      <c r="B484" t="s">
        <v>80</v>
      </c>
      <c r="C484" s="5">
        <v>0.6</v>
      </c>
      <c r="D484" s="5">
        <v>0.66674999999999995</v>
      </c>
      <c r="E484" s="1">
        <v>4.5</v>
      </c>
      <c r="F484" s="5">
        <v>5.2229299363057322</v>
      </c>
      <c r="G484" s="3">
        <f t="shared" si="38"/>
        <v>21.424874237025605</v>
      </c>
      <c r="H484" s="3">
        <f t="shared" si="39"/>
        <v>4.9557216796564791</v>
      </c>
      <c r="I484" s="3">
        <f t="shared" si="35"/>
        <v>707.9602399509256</v>
      </c>
      <c r="J484" s="5">
        <f t="shared" si="37"/>
        <v>9.4153442046330476</v>
      </c>
      <c r="K484" s="5">
        <f t="shared" si="36"/>
        <v>1345.0491720904354</v>
      </c>
      <c r="L484">
        <v>7</v>
      </c>
    </row>
    <row r="485" spans="1:12" x14ac:dyDescent="0.3">
      <c r="A485" t="s">
        <v>90</v>
      </c>
      <c r="B485" t="s">
        <v>91</v>
      </c>
      <c r="C485" s="5">
        <v>0.60413333300000005</v>
      </c>
      <c r="D485" s="5">
        <v>0.60831666699999998</v>
      </c>
      <c r="E485">
        <v>8</v>
      </c>
      <c r="F485" s="5">
        <v>13.757961783439491</v>
      </c>
      <c r="G485" s="3">
        <f t="shared" si="38"/>
        <v>148.66135223121162</v>
      </c>
      <c r="H485" s="3">
        <f t="shared" si="39"/>
        <v>52.625846515587817</v>
      </c>
      <c r="I485" s="3">
        <f t="shared" si="35"/>
        <v>7517.9780736554021</v>
      </c>
      <c r="J485" s="5">
        <f t="shared" si="37"/>
        <v>14.285582348168283</v>
      </c>
      <c r="K485" s="5">
        <f t="shared" si="36"/>
        <v>2040.7974783097548</v>
      </c>
      <c r="L485">
        <v>7</v>
      </c>
    </row>
    <row r="486" spans="1:12" x14ac:dyDescent="0.3">
      <c r="A486" t="s">
        <v>90</v>
      </c>
      <c r="B486" t="s">
        <v>50</v>
      </c>
      <c r="C486" s="5">
        <v>0.52500000000000002</v>
      </c>
      <c r="D486" s="5">
        <v>0.52500000000000002</v>
      </c>
      <c r="E486" s="1">
        <v>3.5</v>
      </c>
      <c r="F486" s="5">
        <v>2.9617834394904459</v>
      </c>
      <c r="G486" s="3">
        <f t="shared" si="38"/>
        <v>6.8896392502987247</v>
      </c>
      <c r="H486" s="3">
        <f t="shared" si="39"/>
        <v>1.0147825677595714</v>
      </c>
      <c r="I486" s="3">
        <f t="shared" si="35"/>
        <v>144.96893825136735</v>
      </c>
      <c r="J486" s="5">
        <f t="shared" si="37"/>
        <v>9.0931589739948873</v>
      </c>
      <c r="K486" s="5">
        <f t="shared" si="36"/>
        <v>1299.0227105706981</v>
      </c>
      <c r="L486">
        <v>7</v>
      </c>
    </row>
    <row r="487" spans="1:12" x14ac:dyDescent="0.3">
      <c r="A487" t="s">
        <v>90</v>
      </c>
      <c r="B487" t="s">
        <v>51</v>
      </c>
      <c r="C487" s="5">
        <v>0.39984676499999999</v>
      </c>
      <c r="D487" s="5">
        <v>0.450333333</v>
      </c>
      <c r="E487">
        <v>8</v>
      </c>
      <c r="F487" s="5">
        <v>28.025477707006367</v>
      </c>
      <c r="G487" s="3">
        <f t="shared" si="38"/>
        <v>616.87323799645401</v>
      </c>
      <c r="H487" s="3">
        <f t="shared" si="39"/>
        <v>157.36337820685355</v>
      </c>
      <c r="I487" s="3">
        <f t="shared" si="35"/>
        <v>22480.482600979078</v>
      </c>
      <c r="J487" s="5">
        <f t="shared" si="37"/>
        <v>30.9776672197655</v>
      </c>
      <c r="K487" s="5">
        <f t="shared" si="36"/>
        <v>4425.3810313950717</v>
      </c>
      <c r="L487">
        <v>7</v>
      </c>
    </row>
    <row r="488" spans="1:12" x14ac:dyDescent="0.3">
      <c r="A488" t="s">
        <v>90</v>
      </c>
      <c r="B488" t="s">
        <v>42</v>
      </c>
      <c r="C488" s="5">
        <v>0.40238543599999999</v>
      </c>
      <c r="D488" s="5">
        <v>0.40883333300000002</v>
      </c>
      <c r="E488">
        <v>6</v>
      </c>
      <c r="F488" s="5">
        <v>19.872611464968152</v>
      </c>
      <c r="G488" s="3">
        <f t="shared" si="38"/>
        <v>310.16998181573774</v>
      </c>
      <c r="H488" s="3">
        <f t="shared" si="39"/>
        <v>55.278152153802338</v>
      </c>
      <c r="I488" s="3">
        <f t="shared" si="35"/>
        <v>7896.8788791146198</v>
      </c>
      <c r="J488" s="5">
        <f t="shared" si="37"/>
        <v>17.279034415189258</v>
      </c>
      <c r="K488" s="5">
        <f t="shared" si="36"/>
        <v>2468.4334878841796</v>
      </c>
      <c r="L488">
        <v>7</v>
      </c>
    </row>
    <row r="489" spans="1:12" x14ac:dyDescent="0.3">
      <c r="A489" t="s">
        <v>90</v>
      </c>
      <c r="B489" t="s">
        <v>44</v>
      </c>
      <c r="C489" s="5">
        <v>0.57917600000000002</v>
      </c>
      <c r="D489" s="5">
        <v>0.60285714300000004</v>
      </c>
      <c r="E489">
        <v>9</v>
      </c>
      <c r="F489" s="5">
        <v>42.611464968152866</v>
      </c>
      <c r="G489" s="3">
        <f t="shared" si="38"/>
        <v>1426.0764631762966</v>
      </c>
      <c r="H489" s="3">
        <f t="shared" si="39"/>
        <v>531.71716313894319</v>
      </c>
      <c r="I489" s="3">
        <f t="shared" si="35"/>
        <v>75959.594734134735</v>
      </c>
      <c r="J489" s="5">
        <f t="shared" si="37"/>
        <v>66.181413822061742</v>
      </c>
      <c r="K489" s="5">
        <f t="shared" si="36"/>
        <v>9454.4876888659637</v>
      </c>
      <c r="L489">
        <v>7</v>
      </c>
    </row>
    <row r="490" spans="1:12" x14ac:dyDescent="0.3">
      <c r="A490" t="s">
        <v>90</v>
      </c>
      <c r="B490" t="s">
        <v>44</v>
      </c>
      <c r="C490" s="5">
        <v>0.57917600000000002</v>
      </c>
      <c r="D490" s="5">
        <v>0.60285714300000004</v>
      </c>
      <c r="E490">
        <v>8</v>
      </c>
      <c r="F490" s="5">
        <v>48.312101910828027</v>
      </c>
      <c r="G490" s="3">
        <f t="shared" si="38"/>
        <v>1833.1658019055037</v>
      </c>
      <c r="H490" s="3">
        <f t="shared" si="39"/>
        <v>605.61599572582588</v>
      </c>
      <c r="I490" s="3">
        <f t="shared" si="35"/>
        <v>86516.570817975124</v>
      </c>
      <c r="J490" s="5">
        <f t="shared" si="37"/>
        <v>74.339357349182521</v>
      </c>
      <c r="K490" s="5">
        <f t="shared" si="36"/>
        <v>10619.90819274036</v>
      </c>
      <c r="L490">
        <v>7</v>
      </c>
    </row>
    <row r="491" spans="1:12" x14ac:dyDescent="0.3">
      <c r="A491" t="s">
        <v>90</v>
      </c>
      <c r="B491" t="s">
        <v>89</v>
      </c>
      <c r="C491" s="5">
        <v>0.28577490700000002</v>
      </c>
      <c r="D491" s="5">
        <v>0.3422</v>
      </c>
      <c r="E491">
        <v>7</v>
      </c>
      <c r="F491" s="5">
        <v>9.6178343949044578</v>
      </c>
      <c r="G491" s="3">
        <f t="shared" si="38"/>
        <v>72.651480886142309</v>
      </c>
      <c r="H491" s="3">
        <f t="shared" si="39"/>
        <v>13.09950593473658</v>
      </c>
      <c r="I491" s="3">
        <f t="shared" si="35"/>
        <v>1871.3579906766543</v>
      </c>
      <c r="J491" s="5">
        <f t="shared" si="37"/>
        <v>11.252017091971275</v>
      </c>
      <c r="K491" s="5">
        <f t="shared" si="36"/>
        <v>1607.4310131387535</v>
      </c>
      <c r="L491">
        <v>7</v>
      </c>
    </row>
    <row r="492" spans="1:12" x14ac:dyDescent="0.3">
      <c r="A492" t="s">
        <v>92</v>
      </c>
      <c r="B492" t="s">
        <v>10</v>
      </c>
      <c r="C492" s="5">
        <v>0.47982689899999997</v>
      </c>
      <c r="D492" s="5">
        <v>0.51</v>
      </c>
      <c r="E492">
        <v>2</v>
      </c>
      <c r="F492" s="5">
        <v>2.9617834394904459</v>
      </c>
      <c r="G492" s="3">
        <f t="shared" si="38"/>
        <v>6.8896392502987247</v>
      </c>
      <c r="H492" s="3">
        <f t="shared" si="39"/>
        <v>0.57132190339228528</v>
      </c>
      <c r="I492" s="3">
        <f t="shared" si="35"/>
        <v>81.617414770326477</v>
      </c>
      <c r="J492" s="5">
        <f t="shared" si="37"/>
        <v>9.047105127997078</v>
      </c>
      <c r="K492" s="5">
        <f t="shared" si="36"/>
        <v>1292.4435897138683</v>
      </c>
      <c r="L492">
        <v>7</v>
      </c>
    </row>
    <row r="493" spans="1:12" x14ac:dyDescent="0.3">
      <c r="A493" t="s">
        <v>92</v>
      </c>
      <c r="B493" t="s">
        <v>10</v>
      </c>
      <c r="C493" s="5">
        <v>0.47982689899999997</v>
      </c>
      <c r="D493" s="5">
        <v>0.51</v>
      </c>
      <c r="E493">
        <v>6</v>
      </c>
      <c r="F493" s="5">
        <v>5.1910828025477711</v>
      </c>
      <c r="G493" s="3">
        <f t="shared" si="38"/>
        <v>21.164391865092711</v>
      </c>
      <c r="H493" s="3">
        <f t="shared" si="39"/>
        <v>4.991863568451822</v>
      </c>
      <c r="I493" s="3">
        <f t="shared" si="35"/>
        <v>713.1233669216889</v>
      </c>
      <c r="J493" s="5">
        <f t="shared" si="37"/>
        <v>9.5515941539210516</v>
      </c>
      <c r="K493" s="5">
        <f t="shared" si="36"/>
        <v>1364.5134505601502</v>
      </c>
      <c r="L493">
        <v>7</v>
      </c>
    </row>
    <row r="494" spans="1:12" x14ac:dyDescent="0.3">
      <c r="A494" t="s">
        <v>92</v>
      </c>
      <c r="B494" t="s">
        <v>10</v>
      </c>
      <c r="C494" s="5">
        <v>0.47982689899999997</v>
      </c>
      <c r="D494" s="5">
        <v>0.51</v>
      </c>
      <c r="E494">
        <v>3</v>
      </c>
      <c r="F494" s="5">
        <v>5.4140127388535033</v>
      </c>
      <c r="G494" s="3">
        <f t="shared" si="38"/>
        <v>23.021224920063954</v>
      </c>
      <c r="H494" s="3">
        <f t="shared" si="39"/>
        <v>2.7548853033951417</v>
      </c>
      <c r="I494" s="3">
        <f t="shared" si="35"/>
        <v>393.55504334216312</v>
      </c>
      <c r="J494" s="5">
        <f t="shared" si="37"/>
        <v>9.2934711063329143</v>
      </c>
      <c r="K494" s="5">
        <f t="shared" si="36"/>
        <v>1327.6387294761305</v>
      </c>
      <c r="L494">
        <v>7</v>
      </c>
    </row>
    <row r="495" spans="1:12" x14ac:dyDescent="0.3">
      <c r="A495" t="s">
        <v>92</v>
      </c>
      <c r="B495" t="s">
        <v>10</v>
      </c>
      <c r="C495" s="5">
        <v>0.47982689899999997</v>
      </c>
      <c r="D495" s="5">
        <v>0.51</v>
      </c>
      <c r="E495">
        <v>5</v>
      </c>
      <c r="F495" s="5">
        <v>3.6942675159235665</v>
      </c>
      <c r="G495" s="3">
        <f t="shared" si="38"/>
        <v>10.71880977593012</v>
      </c>
      <c r="H495" s="3">
        <f t="shared" si="39"/>
        <v>2.1508672271791673</v>
      </c>
      <c r="I495" s="3">
        <f t="shared" si="35"/>
        <v>307.26674673988106</v>
      </c>
      <c r="J495" s="5">
        <f t="shared" si="37"/>
        <v>9.2245332183861404</v>
      </c>
      <c r="K495" s="5">
        <f t="shared" si="36"/>
        <v>1317.7904597694487</v>
      </c>
      <c r="L495">
        <v>7</v>
      </c>
    </row>
    <row r="496" spans="1:12" x14ac:dyDescent="0.3">
      <c r="A496" t="s">
        <v>92</v>
      </c>
      <c r="B496" t="s">
        <v>10</v>
      </c>
      <c r="C496" s="5">
        <v>0.47982689899999997</v>
      </c>
      <c r="D496" s="5">
        <v>0.51</v>
      </c>
      <c r="E496">
        <v>3</v>
      </c>
      <c r="F496" s="5">
        <v>6.3057324840764331</v>
      </c>
      <c r="G496" s="3">
        <f t="shared" si="38"/>
        <v>31.229207673570492</v>
      </c>
      <c r="H496" s="3">
        <f t="shared" si="39"/>
        <v>3.709861351547179</v>
      </c>
      <c r="I496" s="3">
        <f t="shared" si="35"/>
        <v>529.98019307816844</v>
      </c>
      <c r="J496" s="5">
        <f t="shared" si="37"/>
        <v>9.4032037526877357</v>
      </c>
      <c r="K496" s="5">
        <f t="shared" si="36"/>
        <v>1343.3148218125336</v>
      </c>
      <c r="L496">
        <v>7</v>
      </c>
    </row>
    <row r="497" spans="1:12" x14ac:dyDescent="0.3">
      <c r="A497" t="s">
        <v>92</v>
      </c>
      <c r="B497" t="s">
        <v>50</v>
      </c>
      <c r="C497" s="5">
        <v>0.52500000000000002</v>
      </c>
      <c r="D497" s="5">
        <v>0.52500000000000002</v>
      </c>
      <c r="E497" s="1">
        <v>7.5</v>
      </c>
      <c r="F497" s="5">
        <v>10.636942675159235</v>
      </c>
      <c r="G497" s="3">
        <f t="shared" si="38"/>
        <v>88.863521355801183</v>
      </c>
      <c r="H497" s="3">
        <f t="shared" si="39"/>
        <v>25.899821299348609</v>
      </c>
      <c r="I497" s="3">
        <f t="shared" si="35"/>
        <v>3699.9744713355153</v>
      </c>
      <c r="J497" s="5">
        <f t="shared" si="37"/>
        <v>11.955744423708872</v>
      </c>
      <c r="K497" s="5">
        <f t="shared" si="36"/>
        <v>1707.9634891012672</v>
      </c>
      <c r="L497">
        <v>7</v>
      </c>
    </row>
    <row r="498" spans="1:12" x14ac:dyDescent="0.3">
      <c r="A498" t="s">
        <v>92</v>
      </c>
      <c r="B498" t="s">
        <v>44</v>
      </c>
      <c r="C498" s="5">
        <v>0.57917600000000002</v>
      </c>
      <c r="D498" s="5">
        <v>0.60285714300000004</v>
      </c>
      <c r="E498">
        <v>7</v>
      </c>
      <c r="F498" s="5">
        <v>13.439490445859873</v>
      </c>
      <c r="G498" s="3">
        <f t="shared" si="38"/>
        <v>141.85854043822386</v>
      </c>
      <c r="H498" s="3">
        <f t="shared" si="39"/>
        <v>43.744478927804856</v>
      </c>
      <c r="I498" s="3">
        <f t="shared" si="35"/>
        <v>6249.2112754006939</v>
      </c>
      <c r="J498" s="5">
        <f t="shared" si="37"/>
        <v>13.410887634386789</v>
      </c>
      <c r="K498" s="5">
        <f t="shared" si="36"/>
        <v>1915.841090626684</v>
      </c>
      <c r="L498">
        <v>7</v>
      </c>
    </row>
    <row r="499" spans="1:12" x14ac:dyDescent="0.3">
      <c r="A499" t="s">
        <v>92</v>
      </c>
      <c r="B499" t="s">
        <v>44</v>
      </c>
      <c r="C499" s="5">
        <v>0.57917600000000002</v>
      </c>
      <c r="D499" s="5">
        <v>0.60285714300000004</v>
      </c>
      <c r="E499" s="1">
        <v>5.5</v>
      </c>
      <c r="F499" s="5">
        <v>9.0127388535031852</v>
      </c>
      <c r="G499" s="3">
        <f t="shared" si="38"/>
        <v>63.797469986955093</v>
      </c>
      <c r="H499" s="3">
        <f t="shared" si="39"/>
        <v>15.848156947580271</v>
      </c>
      <c r="I499" s="3">
        <f t="shared" si="35"/>
        <v>2264.022421082896</v>
      </c>
      <c r="J499" s="5">
        <f t="shared" si="37"/>
        <v>10.549367136597834</v>
      </c>
      <c r="K499" s="5">
        <f t="shared" si="36"/>
        <v>1507.0524480854049</v>
      </c>
      <c r="L499">
        <v>7</v>
      </c>
    </row>
    <row r="500" spans="1:12" x14ac:dyDescent="0.3">
      <c r="A500" t="s">
        <v>92</v>
      </c>
      <c r="B500" t="s">
        <v>44</v>
      </c>
      <c r="C500" s="5">
        <v>0.57917600000000002</v>
      </c>
      <c r="D500" s="5">
        <v>0.60285714300000004</v>
      </c>
      <c r="E500">
        <v>7</v>
      </c>
      <c r="F500" s="7">
        <v>13.789808917197451</v>
      </c>
      <c r="G500" s="3">
        <f t="shared" si="38"/>
        <v>149.35039581445918</v>
      </c>
      <c r="H500" s="3">
        <f t="shared" si="39"/>
        <v>45.997869535317172</v>
      </c>
      <c r="I500" s="3">
        <f t="shared" si="35"/>
        <v>6571.1242193310245</v>
      </c>
      <c r="J500" s="5">
        <f t="shared" si="37"/>
        <v>13.644591334334049</v>
      </c>
      <c r="K500" s="5">
        <f t="shared" si="36"/>
        <v>1949.2273334762926</v>
      </c>
      <c r="L500">
        <v>7</v>
      </c>
    </row>
    <row r="501" spans="1:12" x14ac:dyDescent="0.3">
      <c r="A501" t="s">
        <v>92</v>
      </c>
      <c r="B501" t="s">
        <v>44</v>
      </c>
      <c r="C501" s="5">
        <v>0.57917600000000002</v>
      </c>
      <c r="D501" s="5">
        <v>0.60285714300000004</v>
      </c>
      <c r="E501" s="1">
        <v>6.5</v>
      </c>
      <c r="F501" s="7">
        <v>10.286624203821654</v>
      </c>
      <c r="G501" s="3">
        <f t="shared" si="38"/>
        <v>83.106621961430847</v>
      </c>
      <c r="H501" s="3">
        <f t="shared" si="39"/>
        <v>24.14706860739776</v>
      </c>
      <c r="I501" s="3">
        <f t="shared" si="35"/>
        <v>3449.5812296282515</v>
      </c>
      <c r="J501" s="5">
        <f t="shared" si="37"/>
        <v>11.392983003367275</v>
      </c>
      <c r="K501" s="5">
        <f t="shared" si="36"/>
        <v>1627.5690004810392</v>
      </c>
      <c r="L501">
        <v>7</v>
      </c>
    </row>
    <row r="502" spans="1:12" x14ac:dyDescent="0.3">
      <c r="A502" t="s">
        <v>92</v>
      </c>
      <c r="B502" t="s">
        <v>83</v>
      </c>
      <c r="C502" s="5">
        <v>0.77</v>
      </c>
      <c r="D502" s="5">
        <v>0.77</v>
      </c>
      <c r="E502">
        <v>6</v>
      </c>
      <c r="F502" s="5">
        <v>8.7579617834394909</v>
      </c>
      <c r="G502" s="3">
        <f t="shared" si="38"/>
        <v>60.241527148091237</v>
      </c>
      <c r="H502" s="3">
        <f t="shared" si="39"/>
        <v>20.714591711108412</v>
      </c>
      <c r="I502" s="3">
        <f t="shared" si="35"/>
        <v>2959.2273873012018</v>
      </c>
      <c r="J502" s="5">
        <f t="shared" si="37"/>
        <v>10.596439786603918</v>
      </c>
      <c r="K502" s="5">
        <f t="shared" si="36"/>
        <v>1513.7771123719883</v>
      </c>
      <c r="L502">
        <v>7</v>
      </c>
    </row>
    <row r="503" spans="1:12" x14ac:dyDescent="0.3">
      <c r="A503" t="s">
        <v>92</v>
      </c>
      <c r="B503" t="s">
        <v>83</v>
      </c>
      <c r="C503" s="5">
        <v>0.77</v>
      </c>
      <c r="D503" s="5">
        <v>0.77</v>
      </c>
      <c r="E503" s="1">
        <v>5.5</v>
      </c>
      <c r="F503" s="5">
        <v>9.6178343949044578</v>
      </c>
      <c r="G503" s="3">
        <f t="shared" si="38"/>
        <v>72.651480886142309</v>
      </c>
      <c r="H503" s="3">
        <f t="shared" si="39"/>
        <v>22.844984964112285</v>
      </c>
      <c r="I503" s="3">
        <f t="shared" si="35"/>
        <v>3263.5692805874692</v>
      </c>
      <c r="J503" s="5">
        <f t="shared" si="37"/>
        <v>10.766377715120289</v>
      </c>
      <c r="K503" s="5">
        <f t="shared" si="36"/>
        <v>1538.0539593028984</v>
      </c>
      <c r="L503">
        <v>7</v>
      </c>
    </row>
    <row r="504" spans="1:12" x14ac:dyDescent="0.3">
      <c r="A504" t="s">
        <v>92</v>
      </c>
      <c r="B504" t="s">
        <v>83</v>
      </c>
      <c r="C504" s="5">
        <v>0.77</v>
      </c>
      <c r="D504" s="5">
        <v>0.77</v>
      </c>
      <c r="E504">
        <v>7</v>
      </c>
      <c r="F504" s="5">
        <v>10.828025477707007</v>
      </c>
      <c r="G504" s="3">
        <f t="shared" si="38"/>
        <v>92.084899680255816</v>
      </c>
      <c r="H504" s="3">
        <f t="shared" si="39"/>
        <v>36.43223981940433</v>
      </c>
      <c r="I504" s="3">
        <f t="shared" si="35"/>
        <v>5204.6056884863328</v>
      </c>
      <c r="J504" s="5">
        <f t="shared" si="37"/>
        <v>11.858230325773865</v>
      </c>
      <c r="K504" s="5">
        <f t="shared" si="36"/>
        <v>1694.0329036819808</v>
      </c>
      <c r="L504">
        <v>7</v>
      </c>
    </row>
    <row r="505" spans="1:12" x14ac:dyDescent="0.3">
      <c r="A505" t="s">
        <v>93</v>
      </c>
      <c r="B505" t="s">
        <v>87</v>
      </c>
      <c r="C505" s="5">
        <v>0.80803492399999999</v>
      </c>
      <c r="D505" s="5">
        <v>0.87275320499999998</v>
      </c>
      <c r="E505">
        <v>8</v>
      </c>
      <c r="F505" s="2">
        <v>11.656050955414013</v>
      </c>
      <c r="G505" s="3">
        <f t="shared" si="38"/>
        <v>106.70696212429367</v>
      </c>
      <c r="H505" s="3">
        <f t="shared" si="39"/>
        <v>54.15634605250213</v>
      </c>
      <c r="I505" s="3">
        <f t="shared" si="35"/>
        <v>7736.6208646431614</v>
      </c>
      <c r="J505" s="5">
        <f t="shared" si="37"/>
        <v>12.789878668505821</v>
      </c>
      <c r="K505" s="5">
        <f t="shared" si="36"/>
        <v>1827.1255240722603</v>
      </c>
      <c r="L505">
        <v>7</v>
      </c>
    </row>
    <row r="506" spans="1:12" x14ac:dyDescent="0.3">
      <c r="A506" t="s">
        <v>93</v>
      </c>
      <c r="B506" t="s">
        <v>94</v>
      </c>
      <c r="C506" s="5">
        <v>0.60064078700000001</v>
      </c>
      <c r="D506" s="5">
        <v>0.66733333299999997</v>
      </c>
      <c r="E506" s="1">
        <v>6.8</v>
      </c>
      <c r="F506" s="2">
        <v>3.5987261146496814</v>
      </c>
      <c r="G506" s="3">
        <f t="shared" si="38"/>
        <v>10.171557820217876</v>
      </c>
      <c r="H506" s="3">
        <f t="shared" si="39"/>
        <v>3.5867805185081227</v>
      </c>
      <c r="I506" s="3">
        <f t="shared" si="35"/>
        <v>512.39721692973183</v>
      </c>
      <c r="J506" s="5">
        <f t="shared" si="37"/>
        <v>9.2939297456286258</v>
      </c>
      <c r="K506" s="5">
        <f t="shared" si="36"/>
        <v>1327.704249375518</v>
      </c>
      <c r="L506">
        <v>7</v>
      </c>
    </row>
    <row r="507" spans="1:12" x14ac:dyDescent="0.3">
      <c r="A507" t="s">
        <v>93</v>
      </c>
      <c r="B507" t="s">
        <v>50</v>
      </c>
      <c r="C507" s="5">
        <v>0.52500000000000002</v>
      </c>
      <c r="D507" s="5">
        <v>0.52500000000000002</v>
      </c>
      <c r="E507">
        <v>7</v>
      </c>
      <c r="F507" s="2">
        <v>7.4203821656050959</v>
      </c>
      <c r="G507" s="3">
        <f t="shared" si="38"/>
        <v>43.245649816102144</v>
      </c>
      <c r="H507" s="3">
        <f t="shared" si="39"/>
        <v>11.988871800097517</v>
      </c>
      <c r="I507" s="3">
        <f t="shared" si="35"/>
        <v>1712.6959714425025</v>
      </c>
      <c r="J507" s="5">
        <f t="shared" si="37"/>
        <v>10.334720751348939</v>
      </c>
      <c r="K507" s="5">
        <f t="shared" si="36"/>
        <v>1476.3886787641343</v>
      </c>
      <c r="L507">
        <v>7</v>
      </c>
    </row>
    <row r="508" spans="1:12" x14ac:dyDescent="0.3">
      <c r="A508" t="s">
        <v>93</v>
      </c>
      <c r="B508" t="s">
        <v>50</v>
      </c>
      <c r="C508" s="5">
        <v>0.52500000000000002</v>
      </c>
      <c r="D508" s="5">
        <v>0.52500000000000002</v>
      </c>
      <c r="E508" s="1">
        <v>3.2</v>
      </c>
      <c r="F508" s="2">
        <v>6.2738853503184719</v>
      </c>
      <c r="G508" s="3">
        <f t="shared" si="38"/>
        <v>30.914557713590387</v>
      </c>
      <c r="H508" s="3">
        <f t="shared" si="39"/>
        <v>4.0244665646658033</v>
      </c>
      <c r="I508" s="3">
        <f t="shared" si="35"/>
        <v>574.92379495225759</v>
      </c>
      <c r="J508" s="5">
        <f t="shared" si="37"/>
        <v>9.4265503387561367</v>
      </c>
      <c r="K508" s="5">
        <f t="shared" si="36"/>
        <v>1346.6500483937339</v>
      </c>
      <c r="L508">
        <v>7</v>
      </c>
    </row>
    <row r="509" spans="1:12" x14ac:dyDescent="0.3">
      <c r="A509" t="s">
        <v>93</v>
      </c>
      <c r="B509" t="s">
        <v>50</v>
      </c>
      <c r="C509" s="5">
        <v>0.52500000000000002</v>
      </c>
      <c r="D509" s="5">
        <v>0.52500000000000002</v>
      </c>
      <c r="E509">
        <v>6</v>
      </c>
      <c r="F509" s="2">
        <v>8.4713375796178347</v>
      </c>
      <c r="G509" s="3">
        <f t="shared" si="38"/>
        <v>56.362968527475616</v>
      </c>
      <c r="H509" s="3">
        <f t="shared" si="39"/>
        <v>13.357600376132917</v>
      </c>
      <c r="I509" s="3">
        <f t="shared" si="35"/>
        <v>1908.228625161845</v>
      </c>
      <c r="J509" s="5">
        <f t="shared" si="37"/>
        <v>10.492734768144752</v>
      </c>
      <c r="K509" s="5">
        <f t="shared" si="36"/>
        <v>1498.9621097349645</v>
      </c>
      <c r="L509">
        <v>7</v>
      </c>
    </row>
    <row r="510" spans="1:12" x14ac:dyDescent="0.3">
      <c r="A510" t="s">
        <v>93</v>
      </c>
      <c r="B510" t="s">
        <v>36</v>
      </c>
      <c r="C510" s="5">
        <v>0.56193137999999998</v>
      </c>
      <c r="D510" s="5">
        <v>0.57808694400000005</v>
      </c>
      <c r="E510" s="1">
        <v>3.5</v>
      </c>
      <c r="F510" s="2">
        <v>8.9171974522292992</v>
      </c>
      <c r="G510" s="3">
        <f t="shared" si="38"/>
        <v>62.452042689723655</v>
      </c>
      <c r="H510" s="3">
        <f t="shared" si="39"/>
        <v>9.5846576428635615</v>
      </c>
      <c r="I510" s="3">
        <f t="shared" si="35"/>
        <v>1369.236806123366</v>
      </c>
      <c r="J510" s="5">
        <f t="shared" si="37"/>
        <v>9.9597760274250469</v>
      </c>
      <c r="K510" s="5">
        <f t="shared" si="36"/>
        <v>1422.8251467750067</v>
      </c>
      <c r="L510">
        <v>7</v>
      </c>
    </row>
    <row r="511" spans="1:12" x14ac:dyDescent="0.3">
      <c r="A511" t="s">
        <v>93</v>
      </c>
      <c r="B511" t="s">
        <v>36</v>
      </c>
      <c r="C511" s="5">
        <v>0.56193137999999998</v>
      </c>
      <c r="D511" s="5">
        <v>0.57808694400000005</v>
      </c>
      <c r="E511">
        <v>6</v>
      </c>
      <c r="F511" s="2">
        <v>28.757961783439487</v>
      </c>
      <c r="G511" s="3">
        <f t="shared" si="38"/>
        <v>649.54027649980708</v>
      </c>
      <c r="H511" s="3">
        <f t="shared" si="39"/>
        <v>159.47471156090029</v>
      </c>
      <c r="I511" s="3">
        <f t="shared" si="35"/>
        <v>22782.101651557186</v>
      </c>
      <c r="J511" s="5">
        <f t="shared" si="37"/>
        <v>26.353127684693092</v>
      </c>
      <c r="K511" s="5">
        <f t="shared" si="36"/>
        <v>3764.7325263847274</v>
      </c>
      <c r="L511">
        <v>7</v>
      </c>
    </row>
    <row r="512" spans="1:12" x14ac:dyDescent="0.3">
      <c r="A512" t="s">
        <v>93</v>
      </c>
      <c r="B512" t="s">
        <v>36</v>
      </c>
      <c r="C512" s="5">
        <v>0.56193137999999998</v>
      </c>
      <c r="D512" s="5">
        <v>0.57808694400000005</v>
      </c>
      <c r="E512">
        <v>5</v>
      </c>
      <c r="F512" s="2">
        <v>18.121019108280255</v>
      </c>
      <c r="G512" s="3">
        <f t="shared" si="38"/>
        <v>257.90224226106665</v>
      </c>
      <c r="H512" s="3">
        <f t="shared" si="39"/>
        <v>54.186061374582977</v>
      </c>
      <c r="I512" s="3">
        <f t="shared" si="35"/>
        <v>7740.8659106547111</v>
      </c>
      <c r="J512" s="5">
        <f t="shared" si="37"/>
        <v>14.732198336646517</v>
      </c>
      <c r="K512" s="5">
        <f t="shared" si="36"/>
        <v>2104.599762378074</v>
      </c>
      <c r="L512">
        <v>7</v>
      </c>
    </row>
    <row r="513" spans="1:12" x14ac:dyDescent="0.3">
      <c r="A513" t="s">
        <v>93</v>
      </c>
      <c r="B513" t="s">
        <v>36</v>
      </c>
      <c r="C513" s="5">
        <v>0.56193137999999998</v>
      </c>
      <c r="D513" s="5">
        <v>0.57808694400000005</v>
      </c>
      <c r="E513">
        <v>6</v>
      </c>
      <c r="F513" s="2">
        <v>19.554140127388536</v>
      </c>
      <c r="G513" s="3">
        <f t="shared" si="38"/>
        <v>300.308294462437</v>
      </c>
      <c r="H513" s="3">
        <f t="shared" si="39"/>
        <v>75.109348890953768</v>
      </c>
      <c r="I513" s="3">
        <f t="shared" si="35"/>
        <v>10729.906984421967</v>
      </c>
      <c r="J513" s="5">
        <f t="shared" si="37"/>
        <v>17.015352318552477</v>
      </c>
      <c r="K513" s="5">
        <f t="shared" si="36"/>
        <v>2430.7646169360678</v>
      </c>
      <c r="L513">
        <v>7</v>
      </c>
    </row>
    <row r="514" spans="1:12" x14ac:dyDescent="0.3">
      <c r="A514" t="s">
        <v>93</v>
      </c>
      <c r="B514" t="s">
        <v>51</v>
      </c>
      <c r="C514" s="5">
        <v>0.39984676499999999</v>
      </c>
      <c r="D514" s="5">
        <v>0.450333333</v>
      </c>
      <c r="E514">
        <v>8</v>
      </c>
      <c r="F514" s="2">
        <v>14.426751592356686</v>
      </c>
      <c r="G514" s="3">
        <f t="shared" si="38"/>
        <v>163.46583199382016</v>
      </c>
      <c r="H514" s="3">
        <f t="shared" si="39"/>
        <v>43.050399357276426</v>
      </c>
      <c r="I514" s="3">
        <f t="shared" ref="I514:I577" si="40">(H514*1000)/L514</f>
        <v>6150.0570510394891</v>
      </c>
      <c r="J514" s="5">
        <f t="shared" si="37"/>
        <v>14.813372522211854</v>
      </c>
      <c r="K514" s="5">
        <f t="shared" ref="K514:K577" si="41">(J514*1000)/L514</f>
        <v>2116.1960746016935</v>
      </c>
      <c r="L514">
        <v>7</v>
      </c>
    </row>
    <row r="515" spans="1:12" x14ac:dyDescent="0.3">
      <c r="A515" t="s">
        <v>93</v>
      </c>
      <c r="B515" t="s">
        <v>51</v>
      </c>
      <c r="C515" s="5">
        <v>0.39984676499999999</v>
      </c>
      <c r="D515" s="5">
        <v>0.450333333</v>
      </c>
      <c r="E515">
        <v>7</v>
      </c>
      <c r="F515" s="2">
        <v>27.452229299363054</v>
      </c>
      <c r="G515" s="3">
        <f t="shared" si="38"/>
        <v>591.89560724927321</v>
      </c>
      <c r="H515" s="3">
        <f t="shared" si="39"/>
        <v>132.67330162488199</v>
      </c>
      <c r="I515" s="3">
        <f t="shared" si="40"/>
        <v>18953.328803554567</v>
      </c>
      <c r="J515" s="5">
        <f t="shared" ref="J515:J578" si="42">8.9857 + 0.0035 * F515^2 * E515</f>
        <v>27.44950989086778</v>
      </c>
      <c r="K515" s="5">
        <f t="shared" si="41"/>
        <v>3921.3585558382542</v>
      </c>
      <c r="L515">
        <v>7</v>
      </c>
    </row>
    <row r="516" spans="1:12" x14ac:dyDescent="0.3">
      <c r="A516" t="s">
        <v>93</v>
      </c>
      <c r="B516" t="s">
        <v>51</v>
      </c>
      <c r="C516" s="5">
        <v>0.39984676499999999</v>
      </c>
      <c r="D516" s="5">
        <v>0.450333333</v>
      </c>
      <c r="E516" s="1">
        <v>7.5</v>
      </c>
      <c r="F516" s="2">
        <v>20.859872611464969</v>
      </c>
      <c r="G516" s="3">
        <f t="shared" ref="G516:G579" si="43">PI()*(F516/2)^2</f>
        <v>341.75366855814667</v>
      </c>
      <c r="H516" s="3">
        <f t="shared" ref="H516:H579" si="44">0.0673 * ((D516 * F516^2 * E516)^0.976)</f>
        <v>83.027216344309196</v>
      </c>
      <c r="I516" s="3">
        <f t="shared" si="40"/>
        <v>11861.030906329886</v>
      </c>
      <c r="J516" s="5">
        <f t="shared" si="42"/>
        <v>20.407974990871843</v>
      </c>
      <c r="K516" s="5">
        <f t="shared" si="41"/>
        <v>2915.4249986959776</v>
      </c>
      <c r="L516">
        <v>7</v>
      </c>
    </row>
    <row r="517" spans="1:12" x14ac:dyDescent="0.3">
      <c r="A517" t="s">
        <v>93</v>
      </c>
      <c r="B517" t="s">
        <v>44</v>
      </c>
      <c r="C517" s="5">
        <v>0.57917600000000002</v>
      </c>
      <c r="D517" s="5">
        <v>0.60285714300000004</v>
      </c>
      <c r="E517">
        <v>5</v>
      </c>
      <c r="F517" s="2">
        <v>10.095541401273884</v>
      </c>
      <c r="G517" s="3">
        <f t="shared" si="43"/>
        <v>80.047746401117848</v>
      </c>
      <c r="H517" s="3">
        <f t="shared" si="44"/>
        <v>18.020218825252794</v>
      </c>
      <c r="I517" s="3">
        <f t="shared" si="40"/>
        <v>2574.316975036113</v>
      </c>
      <c r="J517" s="5">
        <f t="shared" si="42"/>
        <v>10.769299233234612</v>
      </c>
      <c r="K517" s="5">
        <f t="shared" si="41"/>
        <v>1538.4713190335162</v>
      </c>
      <c r="L517">
        <v>7</v>
      </c>
    </row>
    <row r="518" spans="1:12" x14ac:dyDescent="0.3">
      <c r="A518" t="s">
        <v>93</v>
      </c>
      <c r="B518" t="s">
        <v>44</v>
      </c>
      <c r="C518" s="5">
        <v>0.57917600000000002</v>
      </c>
      <c r="D518" s="5">
        <v>0.60285714300000004</v>
      </c>
      <c r="E518">
        <v>7</v>
      </c>
      <c r="F518" s="2">
        <v>16.878980891719745</v>
      </c>
      <c r="G518" s="3">
        <f t="shared" si="43"/>
        <v>223.75993356560429</v>
      </c>
      <c r="H518" s="3">
        <f t="shared" si="44"/>
        <v>68.249557647187842</v>
      </c>
      <c r="I518" s="3">
        <f t="shared" si="40"/>
        <v>9749.9368067411215</v>
      </c>
      <c r="J518" s="5">
        <f t="shared" si="42"/>
        <v>15.965749900604486</v>
      </c>
      <c r="K518" s="5">
        <f t="shared" si="41"/>
        <v>2280.8214143720693</v>
      </c>
      <c r="L518">
        <v>7</v>
      </c>
    </row>
    <row r="519" spans="1:12" x14ac:dyDescent="0.3">
      <c r="A519" t="s">
        <v>93</v>
      </c>
      <c r="B519" t="s">
        <v>44</v>
      </c>
      <c r="C519" s="5">
        <v>0.57917600000000002</v>
      </c>
      <c r="D519" s="5">
        <v>0.60285714300000004</v>
      </c>
      <c r="E519">
        <v>7</v>
      </c>
      <c r="F519" s="2">
        <v>11.242038216560509</v>
      </c>
      <c r="G519" s="3">
        <f t="shared" si="43"/>
        <v>99.261308514333876</v>
      </c>
      <c r="H519" s="3">
        <f t="shared" si="44"/>
        <v>30.87234140930153</v>
      </c>
      <c r="I519" s="3">
        <f t="shared" si="40"/>
        <v>4410.3344870430756</v>
      </c>
      <c r="J519" s="5">
        <f t="shared" si="42"/>
        <v>12.082093869933871</v>
      </c>
      <c r="K519" s="5">
        <f t="shared" si="41"/>
        <v>1726.0134099905531</v>
      </c>
      <c r="L519">
        <v>7</v>
      </c>
    </row>
    <row r="520" spans="1:12" x14ac:dyDescent="0.3">
      <c r="A520" t="s">
        <v>95</v>
      </c>
      <c r="B520" t="s">
        <v>80</v>
      </c>
      <c r="C520" s="5">
        <v>0.6</v>
      </c>
      <c r="D520" s="5">
        <v>0.66674999999999995</v>
      </c>
      <c r="E520">
        <v>7</v>
      </c>
      <c r="F520" s="2">
        <v>15.891719745222929</v>
      </c>
      <c r="G520" s="3">
        <f t="shared" si="43"/>
        <v>198.34975869622295</v>
      </c>
      <c r="H520" s="3">
        <f t="shared" si="44"/>
        <v>66.942858811652002</v>
      </c>
      <c r="I520" s="3">
        <f t="shared" si="40"/>
        <v>9563.2655445217133</v>
      </c>
      <c r="J520" s="5">
        <f t="shared" si="42"/>
        <v>15.173095533287354</v>
      </c>
      <c r="K520" s="5">
        <f t="shared" si="41"/>
        <v>2167.5850761839079</v>
      </c>
      <c r="L520">
        <v>7</v>
      </c>
    </row>
    <row r="521" spans="1:12" x14ac:dyDescent="0.3">
      <c r="A521" t="s">
        <v>95</v>
      </c>
      <c r="B521" t="s">
        <v>50</v>
      </c>
      <c r="C521" s="5">
        <v>0.52500000000000002</v>
      </c>
      <c r="D521" s="5">
        <v>0.52500000000000002</v>
      </c>
      <c r="E521">
        <v>7</v>
      </c>
      <c r="F521" s="2">
        <v>22.579617834394906</v>
      </c>
      <c r="G521" s="3">
        <f t="shared" si="43"/>
        <v>400.42672539940037</v>
      </c>
      <c r="H521" s="3">
        <f t="shared" si="44"/>
        <v>105.23519483020033</v>
      </c>
      <c r="I521" s="3">
        <f t="shared" si="40"/>
        <v>15033.59926145719</v>
      </c>
      <c r="J521" s="5">
        <f t="shared" si="42"/>
        <v>21.476758967909451</v>
      </c>
      <c r="K521" s="5">
        <f t="shared" si="41"/>
        <v>3068.1084239870643</v>
      </c>
      <c r="L521">
        <v>7</v>
      </c>
    </row>
    <row r="522" spans="1:12" x14ac:dyDescent="0.3">
      <c r="A522" t="s">
        <v>95</v>
      </c>
      <c r="B522" t="s">
        <v>50</v>
      </c>
      <c r="C522" s="5">
        <v>0.52500000000000002</v>
      </c>
      <c r="D522" s="5">
        <v>0.52500000000000002</v>
      </c>
      <c r="E522">
        <v>8</v>
      </c>
      <c r="F522" s="2">
        <v>13.789808917197451</v>
      </c>
      <c r="G522" s="3">
        <f t="shared" si="43"/>
        <v>149.35039581445918</v>
      </c>
      <c r="H522" s="3">
        <f t="shared" si="44"/>
        <v>45.785090008067051</v>
      </c>
      <c r="I522" s="3">
        <f t="shared" si="40"/>
        <v>6540.7271440095792</v>
      </c>
      <c r="J522" s="5">
        <f t="shared" si="42"/>
        <v>14.310147239238914</v>
      </c>
      <c r="K522" s="5">
        <f t="shared" si="41"/>
        <v>2044.306748462702</v>
      </c>
      <c r="L522">
        <v>7</v>
      </c>
    </row>
    <row r="523" spans="1:12" x14ac:dyDescent="0.3">
      <c r="A523" t="s">
        <v>95</v>
      </c>
      <c r="B523" t="s">
        <v>36</v>
      </c>
      <c r="C523" s="5">
        <v>0.56193137999999998</v>
      </c>
      <c r="D523" s="5">
        <v>0.57808694400000005</v>
      </c>
      <c r="E523">
        <v>8</v>
      </c>
      <c r="F523" s="2">
        <v>13.917197452229299</v>
      </c>
      <c r="G523" s="3">
        <f t="shared" si="43"/>
        <v>152.12250179099283</v>
      </c>
      <c r="H523" s="3">
        <f t="shared" si="44"/>
        <v>51.209355333781005</v>
      </c>
      <c r="I523" s="3">
        <f t="shared" si="40"/>
        <v>7315.6221905401444</v>
      </c>
      <c r="J523" s="5">
        <f t="shared" si="42"/>
        <v>14.408974777881454</v>
      </c>
      <c r="K523" s="5">
        <f t="shared" si="41"/>
        <v>2058.4249682687791</v>
      </c>
      <c r="L523">
        <v>7</v>
      </c>
    </row>
    <row r="524" spans="1:12" x14ac:dyDescent="0.3">
      <c r="A524" t="s">
        <v>95</v>
      </c>
      <c r="B524" t="s">
        <v>36</v>
      </c>
      <c r="C524" s="5">
        <v>0.56193137999999998</v>
      </c>
      <c r="D524" s="5">
        <v>0.57808694400000005</v>
      </c>
      <c r="E524" s="1">
        <v>3.5</v>
      </c>
      <c r="F524" s="2">
        <v>6.401273885350319</v>
      </c>
      <c r="G524" s="3">
        <f t="shared" si="43"/>
        <v>32.182716539636814</v>
      </c>
      <c r="H524" s="3">
        <f t="shared" si="44"/>
        <v>5.0183717725486581</v>
      </c>
      <c r="I524" s="3">
        <f t="shared" si="40"/>
        <v>716.91025322123676</v>
      </c>
      <c r="J524" s="5">
        <f t="shared" si="42"/>
        <v>9.4876597651020322</v>
      </c>
      <c r="K524" s="5">
        <f t="shared" si="41"/>
        <v>1355.3799664431476</v>
      </c>
      <c r="L524">
        <v>7</v>
      </c>
    </row>
    <row r="525" spans="1:12" x14ac:dyDescent="0.3">
      <c r="A525" t="s">
        <v>95</v>
      </c>
      <c r="B525" t="s">
        <v>51</v>
      </c>
      <c r="C525" s="5">
        <v>0.39984676499999999</v>
      </c>
      <c r="D525" s="5">
        <v>0.450333333</v>
      </c>
      <c r="E525">
        <v>15</v>
      </c>
      <c r="F525" s="2">
        <v>37.420382165605091</v>
      </c>
      <c r="G525" s="3">
        <f t="shared" si="43"/>
        <v>1099.7812683482107</v>
      </c>
      <c r="H525" s="3">
        <f t="shared" si="44"/>
        <v>511.01853356662838</v>
      </c>
      <c r="I525" s="3">
        <f t="shared" si="40"/>
        <v>73002.647652375483</v>
      </c>
      <c r="J525" s="5">
        <f t="shared" si="42"/>
        <v>82.50066257454661</v>
      </c>
      <c r="K525" s="5">
        <f t="shared" si="41"/>
        <v>11785.808939220946</v>
      </c>
      <c r="L525">
        <v>7</v>
      </c>
    </row>
    <row r="526" spans="1:12" x14ac:dyDescent="0.3">
      <c r="A526" t="s">
        <v>95</v>
      </c>
      <c r="B526" t="s">
        <v>51</v>
      </c>
      <c r="C526" s="5">
        <v>0.39984676499999999</v>
      </c>
      <c r="D526" s="5">
        <v>0.450333333</v>
      </c>
      <c r="E526">
        <v>12</v>
      </c>
      <c r="F526" s="2">
        <v>36.337579617834393</v>
      </c>
      <c r="G526" s="3">
        <f t="shared" si="43"/>
        <v>1037.0552013895424</v>
      </c>
      <c r="H526" s="3">
        <f t="shared" si="44"/>
        <v>388.11474363594721</v>
      </c>
      <c r="I526" s="3">
        <f t="shared" si="40"/>
        <v>55444.963376563894</v>
      </c>
      <c r="J526" s="5">
        <f t="shared" si="42"/>
        <v>64.443327084263046</v>
      </c>
      <c r="K526" s="5">
        <f t="shared" si="41"/>
        <v>9206.18958346615</v>
      </c>
      <c r="L526">
        <v>7</v>
      </c>
    </row>
    <row r="527" spans="1:12" x14ac:dyDescent="0.3">
      <c r="A527" t="s">
        <v>95</v>
      </c>
      <c r="B527" t="s">
        <v>51</v>
      </c>
      <c r="C527" s="5">
        <v>0.39984676499999999</v>
      </c>
      <c r="D527" s="5">
        <v>0.450333333</v>
      </c>
      <c r="E527">
        <v>10</v>
      </c>
      <c r="F527" s="2">
        <v>16.433121019108281</v>
      </c>
      <c r="G527" s="3">
        <f t="shared" si="43"/>
        <v>212.09478416320235</v>
      </c>
      <c r="H527" s="3">
        <f t="shared" si="44"/>
        <v>69.016015805219212</v>
      </c>
      <c r="I527" s="3">
        <f t="shared" si="40"/>
        <v>9859.4308293170307</v>
      </c>
      <c r="J527" s="5">
        <f t="shared" si="42"/>
        <v>18.437361325003042</v>
      </c>
      <c r="K527" s="5">
        <f t="shared" si="41"/>
        <v>2633.9087607147203</v>
      </c>
      <c r="L527">
        <v>7</v>
      </c>
    </row>
    <row r="528" spans="1:12" x14ac:dyDescent="0.3">
      <c r="A528" t="s">
        <v>95</v>
      </c>
      <c r="B528" t="s">
        <v>51</v>
      </c>
      <c r="C528" s="5">
        <v>0.39984676499999999</v>
      </c>
      <c r="D528" s="5">
        <v>0.450333333</v>
      </c>
      <c r="E528">
        <v>11</v>
      </c>
      <c r="F528" s="2">
        <v>21.464968152866241</v>
      </c>
      <c r="G528" s="3">
        <f t="shared" si="43"/>
        <v>361.86816511373604</v>
      </c>
      <c r="H528" s="3">
        <f t="shared" si="44"/>
        <v>127.58541942495653</v>
      </c>
      <c r="I528" s="3">
        <f t="shared" si="40"/>
        <v>18226.488489279505</v>
      </c>
      <c r="J528" s="5">
        <f t="shared" si="42"/>
        <v>26.724377025437136</v>
      </c>
      <c r="K528" s="5">
        <f t="shared" si="41"/>
        <v>3817.7681464910193</v>
      </c>
      <c r="L528">
        <v>7</v>
      </c>
    </row>
    <row r="529" spans="1:12" x14ac:dyDescent="0.3">
      <c r="A529" t="s">
        <v>95</v>
      </c>
      <c r="B529" t="s">
        <v>73</v>
      </c>
      <c r="C529" s="5">
        <v>0.43538739399999998</v>
      </c>
      <c r="D529" s="5">
        <v>0.568333333</v>
      </c>
      <c r="E529" s="1">
        <v>7.5</v>
      </c>
      <c r="F529" s="2">
        <v>10.382165605095542</v>
      </c>
      <c r="G529" s="3">
        <f t="shared" si="43"/>
        <v>84.657567460370842</v>
      </c>
      <c r="H529" s="3">
        <f t="shared" si="44"/>
        <v>26.690800112160559</v>
      </c>
      <c r="I529" s="3">
        <f t="shared" si="40"/>
        <v>3812.9714445943655</v>
      </c>
      <c r="J529" s="5">
        <f t="shared" si="42"/>
        <v>11.815170769605258</v>
      </c>
      <c r="K529" s="5">
        <f t="shared" si="41"/>
        <v>1687.8815385150369</v>
      </c>
      <c r="L529">
        <v>7</v>
      </c>
    </row>
    <row r="530" spans="1:12" x14ac:dyDescent="0.3">
      <c r="A530" t="s">
        <v>95</v>
      </c>
      <c r="B530" t="s">
        <v>44</v>
      </c>
      <c r="C530" s="5">
        <v>0.57917600000000002</v>
      </c>
      <c r="D530" s="5">
        <v>0.60285714300000004</v>
      </c>
      <c r="E530">
        <v>10</v>
      </c>
      <c r="F530" s="2">
        <v>46.146496815286625</v>
      </c>
      <c r="G530" s="3">
        <f t="shared" si="43"/>
        <v>1672.5047357574811</v>
      </c>
      <c r="H530" s="3">
        <f t="shared" si="44"/>
        <v>688.49873208127281</v>
      </c>
      <c r="I530" s="3">
        <f t="shared" si="40"/>
        <v>98356.961725896108</v>
      </c>
      <c r="J530" s="5">
        <f t="shared" si="42"/>
        <v>83.518170891314057</v>
      </c>
      <c r="K530" s="5">
        <f t="shared" si="41"/>
        <v>11931.167270187723</v>
      </c>
      <c r="L530">
        <v>7</v>
      </c>
    </row>
    <row r="531" spans="1:12" x14ac:dyDescent="0.3">
      <c r="A531" t="s">
        <v>95</v>
      </c>
      <c r="B531" t="s">
        <v>44</v>
      </c>
      <c r="C531" s="5">
        <v>0.57917600000000002</v>
      </c>
      <c r="D531" s="5">
        <v>0.60285714300000004</v>
      </c>
      <c r="E531">
        <v>6</v>
      </c>
      <c r="F531" s="2">
        <v>11.305732484076433</v>
      </c>
      <c r="G531" s="3">
        <f t="shared" si="43"/>
        <v>100.3892688771993</v>
      </c>
      <c r="H531" s="3">
        <f t="shared" si="44"/>
        <v>26.854620651453484</v>
      </c>
      <c r="I531" s="3">
        <f t="shared" si="40"/>
        <v>3836.374378779069</v>
      </c>
      <c r="J531" s="5">
        <f t="shared" si="42"/>
        <v>11.669911327031523</v>
      </c>
      <c r="K531" s="5">
        <f t="shared" si="41"/>
        <v>1667.1301895759318</v>
      </c>
      <c r="L531">
        <v>7</v>
      </c>
    </row>
    <row r="532" spans="1:12" x14ac:dyDescent="0.3">
      <c r="A532" t="s">
        <v>95</v>
      </c>
      <c r="B532" t="s">
        <v>44</v>
      </c>
      <c r="C532" s="5">
        <v>0.57917600000000002</v>
      </c>
      <c r="D532" s="5">
        <v>0.60285714300000004</v>
      </c>
      <c r="E532">
        <v>6</v>
      </c>
      <c r="F532" s="2">
        <v>24.363057324840764</v>
      </c>
      <c r="G532" s="3">
        <f t="shared" si="43"/>
        <v>466.17980463129504</v>
      </c>
      <c r="H532" s="3">
        <f t="shared" si="44"/>
        <v>120.19333845093855</v>
      </c>
      <c r="I532" s="3">
        <f t="shared" si="40"/>
        <v>17170.476921562651</v>
      </c>
      <c r="J532" s="5">
        <f t="shared" si="42"/>
        <v>21.450429806483022</v>
      </c>
      <c r="K532" s="5">
        <f t="shared" si="41"/>
        <v>3064.3471152118605</v>
      </c>
      <c r="L532">
        <v>7</v>
      </c>
    </row>
    <row r="533" spans="1:12" x14ac:dyDescent="0.3">
      <c r="A533" t="s">
        <v>95</v>
      </c>
      <c r="B533" t="s">
        <v>44</v>
      </c>
      <c r="C533" s="5">
        <v>0.57917600000000002</v>
      </c>
      <c r="D533" s="5">
        <v>0.60285714300000004</v>
      </c>
      <c r="E533" s="1">
        <v>8.4</v>
      </c>
      <c r="F533" s="2">
        <v>11.942675159235668</v>
      </c>
      <c r="G533" s="3">
        <f t="shared" si="43"/>
        <v>112.01936866380598</v>
      </c>
      <c r="H533" s="3">
        <f t="shared" si="44"/>
        <v>41.505272942932528</v>
      </c>
      <c r="I533" s="3">
        <f t="shared" si="40"/>
        <v>5929.3247061332177</v>
      </c>
      <c r="J533" s="5">
        <f t="shared" si="42"/>
        <v>13.178948204795326</v>
      </c>
      <c r="K533" s="5">
        <f t="shared" si="41"/>
        <v>1882.7068863993322</v>
      </c>
      <c r="L533">
        <v>7</v>
      </c>
    </row>
    <row r="534" spans="1:12" x14ac:dyDescent="0.3">
      <c r="A534" t="s">
        <v>96</v>
      </c>
      <c r="B534" t="s">
        <v>46</v>
      </c>
      <c r="C534" s="5">
        <v>0.40257753800000001</v>
      </c>
      <c r="D534" s="5">
        <v>0.40843333300000001</v>
      </c>
      <c r="E534">
        <v>5</v>
      </c>
      <c r="F534" s="2">
        <v>5.5095541401273884</v>
      </c>
      <c r="G534" s="3">
        <f t="shared" si="43"/>
        <v>23.840907980366573</v>
      </c>
      <c r="H534" s="3">
        <f t="shared" si="44"/>
        <v>3.7785343866451409</v>
      </c>
      <c r="I534" s="3">
        <f t="shared" si="40"/>
        <v>755.7068773290282</v>
      </c>
      <c r="J534" s="5">
        <f t="shared" si="42"/>
        <v>9.5169157694024094</v>
      </c>
      <c r="K534" s="5">
        <f t="shared" si="41"/>
        <v>1903.3831538804818</v>
      </c>
      <c r="L534">
        <v>5</v>
      </c>
    </row>
    <row r="535" spans="1:12" x14ac:dyDescent="0.3">
      <c r="A535" t="s">
        <v>96</v>
      </c>
      <c r="B535" t="s">
        <v>87</v>
      </c>
      <c r="C535" s="5">
        <v>0.80803492399999999</v>
      </c>
      <c r="D535" s="5">
        <v>0.87275320499999998</v>
      </c>
      <c r="E535">
        <v>7</v>
      </c>
      <c r="F535" s="2">
        <v>23.343949044585987</v>
      </c>
      <c r="G535" s="3">
        <f t="shared" si="43"/>
        <v>427.99484138672113</v>
      </c>
      <c r="H535" s="3">
        <f t="shared" si="44"/>
        <v>184.42385432663761</v>
      </c>
      <c r="I535" s="3">
        <f t="shared" si="40"/>
        <v>36884.770865327519</v>
      </c>
      <c r="J535" s="5">
        <f t="shared" si="42"/>
        <v>22.336728946407561</v>
      </c>
      <c r="K535" s="5">
        <f t="shared" si="41"/>
        <v>4467.3457892815122</v>
      </c>
      <c r="L535">
        <v>5</v>
      </c>
    </row>
    <row r="536" spans="1:12" x14ac:dyDescent="0.3">
      <c r="A536" t="s">
        <v>96</v>
      </c>
      <c r="B536" t="s">
        <v>80</v>
      </c>
      <c r="C536" s="5">
        <v>0.6</v>
      </c>
      <c r="D536" s="5">
        <v>0.66674999999999995</v>
      </c>
      <c r="E536">
        <v>5</v>
      </c>
      <c r="F536" s="2">
        <v>4.2993630573248405</v>
      </c>
      <c r="G536" s="3">
        <f t="shared" si="43"/>
        <v>14.517710178829255</v>
      </c>
      <c r="H536" s="3">
        <f t="shared" si="44"/>
        <v>3.7566656457024745</v>
      </c>
      <c r="I536" s="3">
        <f t="shared" si="40"/>
        <v>751.33312914049498</v>
      </c>
      <c r="J536" s="5">
        <f t="shared" si="42"/>
        <v>9.3091791472270682</v>
      </c>
      <c r="K536" s="5">
        <f t="shared" si="41"/>
        <v>1861.8358294454138</v>
      </c>
      <c r="L536">
        <v>5</v>
      </c>
    </row>
    <row r="537" spans="1:12" x14ac:dyDescent="0.3">
      <c r="A537" t="s">
        <v>96</v>
      </c>
      <c r="B537" t="s">
        <v>49</v>
      </c>
      <c r="C537" s="5">
        <v>0.53</v>
      </c>
      <c r="D537" s="5">
        <v>0.54764999999999997</v>
      </c>
      <c r="E537">
        <v>5</v>
      </c>
      <c r="F537" s="2">
        <v>5.4777070063694264</v>
      </c>
      <c r="G537" s="3">
        <f t="shared" si="43"/>
        <v>23.566087129244703</v>
      </c>
      <c r="H537" s="3">
        <f t="shared" si="44"/>
        <v>4.974319328888809</v>
      </c>
      <c r="I537" s="3">
        <f t="shared" si="40"/>
        <v>994.8638657777617</v>
      </c>
      <c r="J537" s="5">
        <f t="shared" si="42"/>
        <v>9.5107922958335021</v>
      </c>
      <c r="K537" s="5">
        <f t="shared" si="41"/>
        <v>1902.1584591667004</v>
      </c>
      <c r="L537">
        <v>5</v>
      </c>
    </row>
    <row r="538" spans="1:12" x14ac:dyDescent="0.3">
      <c r="A538" t="s">
        <v>96</v>
      </c>
      <c r="B538" t="s">
        <v>50</v>
      </c>
      <c r="C538" s="5">
        <v>0.52500000000000002</v>
      </c>
      <c r="D538" s="5">
        <v>0.52500000000000002</v>
      </c>
      <c r="E538">
        <v>7</v>
      </c>
      <c r="F538" s="2">
        <v>12.898089171974522</v>
      </c>
      <c r="G538" s="3">
        <f t="shared" si="43"/>
        <v>130.65939160946331</v>
      </c>
      <c r="H538" s="3">
        <f t="shared" si="44"/>
        <v>35.273760649954497</v>
      </c>
      <c r="I538" s="3">
        <f t="shared" si="40"/>
        <v>7054.7521299909004</v>
      </c>
      <c r="J538" s="5">
        <f t="shared" si="42"/>
        <v>13.061537255061058</v>
      </c>
      <c r="K538" s="5">
        <f t="shared" si="41"/>
        <v>2612.3074510122115</v>
      </c>
      <c r="L538">
        <v>5</v>
      </c>
    </row>
    <row r="539" spans="1:12" x14ac:dyDescent="0.3">
      <c r="A539" t="s">
        <v>96</v>
      </c>
      <c r="B539" t="s">
        <v>36</v>
      </c>
      <c r="C539" s="5">
        <v>0.56193137999999998</v>
      </c>
      <c r="D539" s="5">
        <v>0.57808694400000005</v>
      </c>
      <c r="E539">
        <v>7</v>
      </c>
      <c r="F539" s="2">
        <v>38.757961783439491</v>
      </c>
      <c r="G539" s="3">
        <f t="shared" si="43"/>
        <v>1179.8091001948997</v>
      </c>
      <c r="H539" s="3">
        <f t="shared" si="44"/>
        <v>331.90715301144991</v>
      </c>
      <c r="I539" s="3">
        <f t="shared" si="40"/>
        <v>66381.430602289984</v>
      </c>
      <c r="J539" s="5">
        <f t="shared" si="42"/>
        <v>45.789100239360629</v>
      </c>
      <c r="K539" s="5">
        <f t="shared" si="41"/>
        <v>9157.8200478721246</v>
      </c>
      <c r="L539">
        <v>5</v>
      </c>
    </row>
    <row r="540" spans="1:12" x14ac:dyDescent="0.3">
      <c r="A540" t="s">
        <v>96</v>
      </c>
      <c r="B540" t="s">
        <v>51</v>
      </c>
      <c r="C540" s="5">
        <v>0.39984676499999999</v>
      </c>
      <c r="D540" s="5">
        <v>0.450333333</v>
      </c>
      <c r="E540">
        <v>9</v>
      </c>
      <c r="F540" s="2">
        <v>42.29299363057325</v>
      </c>
      <c r="G540" s="3">
        <f t="shared" si="43"/>
        <v>1404.839582333082</v>
      </c>
      <c r="H540" s="3">
        <f t="shared" si="44"/>
        <v>394.16766856600788</v>
      </c>
      <c r="I540" s="3">
        <f t="shared" si="40"/>
        <v>78833.53371320157</v>
      </c>
      <c r="J540" s="5">
        <f t="shared" si="42"/>
        <v>65.329665272424847</v>
      </c>
      <c r="K540" s="5">
        <f t="shared" si="41"/>
        <v>13065.933054484969</v>
      </c>
      <c r="L540">
        <v>5</v>
      </c>
    </row>
    <row r="541" spans="1:12" x14ac:dyDescent="0.3">
      <c r="A541" t="s">
        <v>96</v>
      </c>
      <c r="B541" t="s">
        <v>75</v>
      </c>
      <c r="C541" s="5">
        <v>0.54</v>
      </c>
      <c r="D541" s="5">
        <v>0.61247410899999999</v>
      </c>
      <c r="E541">
        <v>8</v>
      </c>
      <c r="F541" s="2">
        <v>22.356687898089174</v>
      </c>
      <c r="G541" s="3">
        <f t="shared" si="43"/>
        <v>392.55888323554319</v>
      </c>
      <c r="H541" s="3">
        <f t="shared" si="44"/>
        <v>136.66958960623845</v>
      </c>
      <c r="I541" s="3">
        <f t="shared" si="40"/>
        <v>27333.917921247688</v>
      </c>
      <c r="J541" s="5">
        <f t="shared" si="42"/>
        <v>22.980701825631876</v>
      </c>
      <c r="K541" s="5">
        <f t="shared" si="41"/>
        <v>4596.1403651263754</v>
      </c>
      <c r="L541">
        <v>5</v>
      </c>
    </row>
    <row r="542" spans="1:12" x14ac:dyDescent="0.3">
      <c r="A542" t="s">
        <v>96</v>
      </c>
      <c r="B542" t="s">
        <v>75</v>
      </c>
      <c r="C542" s="5">
        <v>0.54</v>
      </c>
      <c r="D542" s="5">
        <v>0.61247410899999999</v>
      </c>
      <c r="E542">
        <v>7</v>
      </c>
      <c r="F542" s="2">
        <v>16.464968152866241</v>
      </c>
      <c r="G542" s="3">
        <f t="shared" si="43"/>
        <v>212.91765355221364</v>
      </c>
      <c r="H542" s="3">
        <f t="shared" si="44"/>
        <v>66.032120992827004</v>
      </c>
      <c r="I542" s="3">
        <f t="shared" si="40"/>
        <v>13206.424198565399</v>
      </c>
      <c r="J542" s="5">
        <f t="shared" si="42"/>
        <v>15.62753181873504</v>
      </c>
      <c r="K542" s="5">
        <f t="shared" si="41"/>
        <v>3125.506363747008</v>
      </c>
      <c r="L542">
        <v>5</v>
      </c>
    </row>
    <row r="543" spans="1:12" x14ac:dyDescent="0.3">
      <c r="A543" t="s">
        <v>96</v>
      </c>
      <c r="B543" t="s">
        <v>75</v>
      </c>
      <c r="C543" s="5">
        <v>0.54</v>
      </c>
      <c r="D543" s="5">
        <v>0.61247410899999999</v>
      </c>
      <c r="E543">
        <v>7</v>
      </c>
      <c r="F543" s="2">
        <v>11.656050955414013</v>
      </c>
      <c r="G543" s="3">
        <f t="shared" si="43"/>
        <v>106.70696212429367</v>
      </c>
      <c r="H543" s="3">
        <f t="shared" si="44"/>
        <v>33.646259169637048</v>
      </c>
      <c r="I543" s="3">
        <f t="shared" si="40"/>
        <v>6729.2518339274102</v>
      </c>
      <c r="J543" s="5">
        <f t="shared" si="42"/>
        <v>12.314356334942595</v>
      </c>
      <c r="K543" s="5">
        <f t="shared" si="41"/>
        <v>2462.871266988519</v>
      </c>
      <c r="L543">
        <v>5</v>
      </c>
    </row>
    <row r="544" spans="1:12" x14ac:dyDescent="0.3">
      <c r="A544" t="s">
        <v>96</v>
      </c>
      <c r="B544" t="s">
        <v>17</v>
      </c>
      <c r="C544" s="5">
        <v>0.43836446099999998</v>
      </c>
      <c r="D544" s="5">
        <v>0.58666666700000003</v>
      </c>
      <c r="E544">
        <v>6</v>
      </c>
      <c r="F544" s="2">
        <v>7.5796178343949041</v>
      </c>
      <c r="G544" s="3">
        <f t="shared" si="43"/>
        <v>45.121600843325346</v>
      </c>
      <c r="H544" s="3">
        <f t="shared" si="44"/>
        <v>11.981529218003569</v>
      </c>
      <c r="I544" s="3">
        <f t="shared" si="40"/>
        <v>2396.3058436007136</v>
      </c>
      <c r="J544" s="5">
        <f t="shared" si="42"/>
        <v>10.192162736825022</v>
      </c>
      <c r="K544" s="5">
        <f t="shared" si="41"/>
        <v>2038.4325473650047</v>
      </c>
      <c r="L544">
        <v>5</v>
      </c>
    </row>
    <row r="545" spans="1:12" x14ac:dyDescent="0.3">
      <c r="A545" t="s">
        <v>96</v>
      </c>
      <c r="B545" t="s">
        <v>77</v>
      </c>
      <c r="C545" s="5">
        <v>0.46679999999999999</v>
      </c>
      <c r="D545" s="5">
        <v>0.81159999999999999</v>
      </c>
      <c r="E545" s="1">
        <v>7.5</v>
      </c>
      <c r="F545" s="2">
        <v>19.713375796178344</v>
      </c>
      <c r="G545" s="3">
        <f t="shared" si="43"/>
        <v>305.21922358465827</v>
      </c>
      <c r="H545" s="3">
        <f t="shared" si="44"/>
        <v>132.11926853038074</v>
      </c>
      <c r="I545" s="3">
        <f t="shared" si="40"/>
        <v>26423.853706076148</v>
      </c>
      <c r="J545" s="5">
        <f t="shared" si="42"/>
        <v>19.186901113635443</v>
      </c>
      <c r="K545" s="5">
        <f t="shared" si="41"/>
        <v>3837.3802227270885</v>
      </c>
      <c r="L545">
        <v>5</v>
      </c>
    </row>
    <row r="546" spans="1:12" x14ac:dyDescent="0.3">
      <c r="A546" t="s">
        <v>96</v>
      </c>
      <c r="B546" t="s">
        <v>83</v>
      </c>
      <c r="C546" s="5">
        <v>0.77</v>
      </c>
      <c r="D546" s="5">
        <v>0.77</v>
      </c>
      <c r="E546" s="1">
        <v>3.5</v>
      </c>
      <c r="F546" s="2">
        <v>4.8726114649681529</v>
      </c>
      <c r="G546" s="3">
        <f t="shared" si="43"/>
        <v>18.647192185251804</v>
      </c>
      <c r="H546" s="3">
        <f t="shared" si="44"/>
        <v>3.897188597375723</v>
      </c>
      <c r="I546" s="3">
        <f t="shared" si="40"/>
        <v>779.4377194751446</v>
      </c>
      <c r="J546" s="5">
        <f t="shared" si="42"/>
        <v>9.2765436954846034</v>
      </c>
      <c r="K546" s="5">
        <f t="shared" si="41"/>
        <v>1855.3087390969206</v>
      </c>
      <c r="L546">
        <v>5</v>
      </c>
    </row>
    <row r="547" spans="1:12" x14ac:dyDescent="0.3">
      <c r="A547" t="s">
        <v>97</v>
      </c>
      <c r="B547" t="s">
        <v>87</v>
      </c>
      <c r="C547" s="5">
        <v>0.80803492399999999</v>
      </c>
      <c r="D547" s="5">
        <v>0.87275320499999998</v>
      </c>
      <c r="E547">
        <v>9</v>
      </c>
      <c r="F547" s="2">
        <v>25.159235668789808</v>
      </c>
      <c r="G547" s="3">
        <f t="shared" si="43"/>
        <v>497.14693676857826</v>
      </c>
      <c r="H547" s="3">
        <f t="shared" si="44"/>
        <v>272.7892300970268</v>
      </c>
      <c r="I547" s="3">
        <f t="shared" si="40"/>
        <v>54557.846019405362</v>
      </c>
      <c r="J547" s="5">
        <f t="shared" si="42"/>
        <v>28.924794892287714</v>
      </c>
      <c r="K547" s="5">
        <f t="shared" si="41"/>
        <v>5784.9589784575428</v>
      </c>
      <c r="L547">
        <v>5</v>
      </c>
    </row>
    <row r="548" spans="1:12" x14ac:dyDescent="0.3">
      <c r="A548" t="s">
        <v>97</v>
      </c>
      <c r="B548" t="s">
        <v>87</v>
      </c>
      <c r="C548" s="5">
        <v>0.80803492399999999</v>
      </c>
      <c r="D548" s="5">
        <v>0.87275320499999998</v>
      </c>
      <c r="E548">
        <v>8</v>
      </c>
      <c r="F548" s="2">
        <v>27.133757961783438</v>
      </c>
      <c r="G548" s="3">
        <f t="shared" si="43"/>
        <v>578.24218873266784</v>
      </c>
      <c r="H548" s="3">
        <f t="shared" si="44"/>
        <v>281.80738174598628</v>
      </c>
      <c r="I548" s="3">
        <f t="shared" si="40"/>
        <v>56361.476349197255</v>
      </c>
      <c r="J548" s="5">
        <f t="shared" si="42"/>
        <v>29.600442991602087</v>
      </c>
      <c r="K548" s="5">
        <f t="shared" si="41"/>
        <v>5920.0885983204171</v>
      </c>
      <c r="L548">
        <v>5</v>
      </c>
    </row>
    <row r="549" spans="1:12" x14ac:dyDescent="0.3">
      <c r="A549" t="s">
        <v>97</v>
      </c>
      <c r="B549" t="s">
        <v>55</v>
      </c>
      <c r="C549" s="5">
        <v>0.41</v>
      </c>
      <c r="D549" s="5">
        <v>0.33983503399999998</v>
      </c>
      <c r="E549">
        <v>8</v>
      </c>
      <c r="F549" s="2">
        <v>8.1210191082802545</v>
      </c>
      <c r="G549" s="3">
        <f t="shared" si="43"/>
        <v>51.79775607014389</v>
      </c>
      <c r="H549" s="3">
        <f t="shared" si="44"/>
        <v>10.653893813786668</v>
      </c>
      <c r="I549" s="3">
        <f t="shared" si="40"/>
        <v>2130.7787627573334</v>
      </c>
      <c r="J549" s="5">
        <f t="shared" si="42"/>
        <v>10.832326637997484</v>
      </c>
      <c r="K549" s="5">
        <f t="shared" si="41"/>
        <v>2166.465327599497</v>
      </c>
      <c r="L549">
        <v>5</v>
      </c>
    </row>
    <row r="550" spans="1:12" x14ac:dyDescent="0.3">
      <c r="A550" t="s">
        <v>97</v>
      </c>
      <c r="B550" t="s">
        <v>50</v>
      </c>
      <c r="C550" s="5">
        <v>0.52500000000000002</v>
      </c>
      <c r="D550" s="5">
        <v>0.52500000000000002</v>
      </c>
      <c r="E550">
        <v>8</v>
      </c>
      <c r="F550" s="2">
        <v>21.369426751592353</v>
      </c>
      <c r="G550" s="3">
        <f t="shared" si="43"/>
        <v>358.65395602887583</v>
      </c>
      <c r="H550" s="3">
        <f t="shared" si="44"/>
        <v>107.66190448115111</v>
      </c>
      <c r="I550" s="3">
        <f t="shared" si="40"/>
        <v>21532.380896230221</v>
      </c>
      <c r="J550" s="5">
        <f t="shared" si="42"/>
        <v>21.771967191366784</v>
      </c>
      <c r="K550" s="5">
        <f t="shared" si="41"/>
        <v>4354.3934382733569</v>
      </c>
      <c r="L550">
        <v>5</v>
      </c>
    </row>
    <row r="551" spans="1:12" x14ac:dyDescent="0.3">
      <c r="A551" t="s">
        <v>97</v>
      </c>
      <c r="B551" t="s">
        <v>36</v>
      </c>
      <c r="C551" s="5">
        <v>0.56193137999999998</v>
      </c>
      <c r="D551" s="5">
        <v>0.57808694400000005</v>
      </c>
      <c r="E551">
        <v>6</v>
      </c>
      <c r="F551" s="2">
        <v>42.834394904458598</v>
      </c>
      <c r="G551" s="3">
        <f t="shared" si="43"/>
        <v>1441.0370730456295</v>
      </c>
      <c r="H551" s="3">
        <f t="shared" si="44"/>
        <v>347.1004971738102</v>
      </c>
      <c r="I551" s="3">
        <f t="shared" si="40"/>
        <v>69420.099434762044</v>
      </c>
      <c r="J551" s="5">
        <f t="shared" si="42"/>
        <v>47.516193123453284</v>
      </c>
      <c r="K551" s="5">
        <f t="shared" si="41"/>
        <v>9503.2386246906572</v>
      </c>
      <c r="L551">
        <v>5</v>
      </c>
    </row>
    <row r="552" spans="1:12" x14ac:dyDescent="0.3">
      <c r="A552" t="s">
        <v>97</v>
      </c>
      <c r="B552" t="s">
        <v>36</v>
      </c>
      <c r="C552" s="5">
        <v>0.56193137999999998</v>
      </c>
      <c r="D552" s="5">
        <v>0.57808694400000005</v>
      </c>
      <c r="E552" s="1">
        <v>6.5</v>
      </c>
      <c r="F552" s="2">
        <v>50.541401273885342</v>
      </c>
      <c r="G552" s="3">
        <f t="shared" si="43"/>
        <v>2006.2471773598797</v>
      </c>
      <c r="H552" s="3">
        <f t="shared" si="44"/>
        <v>518.37412278982595</v>
      </c>
      <c r="I552" s="3">
        <f t="shared" si="40"/>
        <v>103674.82455796518</v>
      </c>
      <c r="J552" s="5">
        <f t="shared" si="42"/>
        <v>67.099056272059684</v>
      </c>
      <c r="K552" s="5">
        <f t="shared" si="41"/>
        <v>13419.811254411936</v>
      </c>
      <c r="L552">
        <v>5</v>
      </c>
    </row>
    <row r="553" spans="1:12" x14ac:dyDescent="0.3">
      <c r="A553" t="s">
        <v>97</v>
      </c>
      <c r="B553" t="s">
        <v>36</v>
      </c>
      <c r="C553" s="5">
        <v>0.56193137999999998</v>
      </c>
      <c r="D553" s="5">
        <v>0.57808694400000005</v>
      </c>
      <c r="E553" s="1">
        <v>6.5</v>
      </c>
      <c r="F553" s="2">
        <v>62.229299363057322</v>
      </c>
      <c r="G553" s="3">
        <f t="shared" si="43"/>
        <v>3041.4431559479203</v>
      </c>
      <c r="H553" s="3">
        <f t="shared" si="44"/>
        <v>778.03994115585135</v>
      </c>
      <c r="I553" s="3">
        <f t="shared" si="40"/>
        <v>155607.98823117028</v>
      </c>
      <c r="J553" s="5">
        <f t="shared" si="42"/>
        <v>97.084749657186904</v>
      </c>
      <c r="K553" s="5">
        <f t="shared" si="41"/>
        <v>19416.949931437379</v>
      </c>
      <c r="L553">
        <v>5</v>
      </c>
    </row>
    <row r="554" spans="1:12" x14ac:dyDescent="0.3">
      <c r="A554" t="s">
        <v>97</v>
      </c>
      <c r="B554" t="s">
        <v>36</v>
      </c>
      <c r="C554" s="5">
        <v>0.56193137999999998</v>
      </c>
      <c r="D554" s="5">
        <v>0.57808694400000005</v>
      </c>
      <c r="E554">
        <v>7</v>
      </c>
      <c r="F554" s="2">
        <v>42.834394904458598</v>
      </c>
      <c r="G554" s="3">
        <f t="shared" si="43"/>
        <v>1441.0370730456295</v>
      </c>
      <c r="H554" s="3">
        <f t="shared" si="44"/>
        <v>403.45518616052715</v>
      </c>
      <c r="I554" s="3">
        <f t="shared" si="40"/>
        <v>80691.037232105431</v>
      </c>
      <c r="J554" s="5">
        <f t="shared" si="42"/>
        <v>53.937941977362165</v>
      </c>
      <c r="K554" s="5">
        <f t="shared" si="41"/>
        <v>10787.588395472432</v>
      </c>
      <c r="L554">
        <v>5</v>
      </c>
    </row>
    <row r="555" spans="1:12" x14ac:dyDescent="0.3">
      <c r="A555" t="s">
        <v>97</v>
      </c>
      <c r="B555" t="s">
        <v>36</v>
      </c>
      <c r="C555" s="5">
        <v>0.56193137999999998</v>
      </c>
      <c r="D555" s="5">
        <v>0.57808694400000005</v>
      </c>
      <c r="E555">
        <v>6</v>
      </c>
      <c r="F555" s="2">
        <v>28.152866242038218</v>
      </c>
      <c r="G555" s="3">
        <f t="shared" si="43"/>
        <v>622.49392183852933</v>
      </c>
      <c r="H555" s="3">
        <f t="shared" si="44"/>
        <v>152.99039221587407</v>
      </c>
      <c r="I555" s="3">
        <f t="shared" si="40"/>
        <v>30598.078443174814</v>
      </c>
      <c r="J555" s="5">
        <f t="shared" si="42"/>
        <v>25.629961430483995</v>
      </c>
      <c r="K555" s="5">
        <f t="shared" si="41"/>
        <v>5125.992286096799</v>
      </c>
      <c r="L555">
        <v>5</v>
      </c>
    </row>
    <row r="556" spans="1:12" x14ac:dyDescent="0.3">
      <c r="A556" t="s">
        <v>97</v>
      </c>
      <c r="B556" t="s">
        <v>51</v>
      </c>
      <c r="C556" s="5">
        <v>0.39984676499999999</v>
      </c>
      <c r="D556" s="5">
        <v>0.450333333</v>
      </c>
      <c r="E556">
        <v>9</v>
      </c>
      <c r="F556" s="2">
        <v>20.445859872611464</v>
      </c>
      <c r="G556" s="3">
        <f t="shared" si="43"/>
        <v>328.3224964689702</v>
      </c>
      <c r="H556" s="3">
        <f t="shared" si="44"/>
        <v>95.390852687955942</v>
      </c>
      <c r="I556" s="3">
        <f t="shared" si="40"/>
        <v>19078.170537591188</v>
      </c>
      <c r="J556" s="5">
        <f t="shared" si="42"/>
        <v>22.153745356809605</v>
      </c>
      <c r="K556" s="5">
        <f t="shared" si="41"/>
        <v>4430.7490713619209</v>
      </c>
      <c r="L556">
        <v>5</v>
      </c>
    </row>
    <row r="557" spans="1:12" x14ac:dyDescent="0.3">
      <c r="A557" t="s">
        <v>97</v>
      </c>
      <c r="B557" t="s">
        <v>51</v>
      </c>
      <c r="C557" s="5">
        <v>0.39984676499999999</v>
      </c>
      <c r="D557" s="5">
        <v>0.450333333</v>
      </c>
      <c r="E557">
        <v>9</v>
      </c>
      <c r="F557" s="2">
        <v>30.668789808917197</v>
      </c>
      <c r="G557" s="3">
        <f t="shared" si="43"/>
        <v>738.72561705518297</v>
      </c>
      <c r="H557" s="3">
        <f t="shared" si="44"/>
        <v>210.49261747088269</v>
      </c>
      <c r="I557" s="3">
        <f t="shared" si="40"/>
        <v>42098.523494176537</v>
      </c>
      <c r="J557" s="5">
        <f t="shared" si="42"/>
        <v>38.613802052821619</v>
      </c>
      <c r="K557" s="5">
        <f t="shared" si="41"/>
        <v>7722.760410564324</v>
      </c>
      <c r="L557">
        <v>5</v>
      </c>
    </row>
    <row r="558" spans="1:12" x14ac:dyDescent="0.3">
      <c r="A558" t="s">
        <v>97</v>
      </c>
      <c r="B558" t="s">
        <v>17</v>
      </c>
      <c r="C558" s="5">
        <v>0.43836446099999998</v>
      </c>
      <c r="D558" s="5">
        <v>0.58666666700000003</v>
      </c>
      <c r="E558">
        <v>5</v>
      </c>
      <c r="F558" s="2">
        <v>7.2292993630573257</v>
      </c>
      <c r="G558" s="3">
        <f t="shared" si="43"/>
        <v>41.047083007127192</v>
      </c>
      <c r="H558" s="3">
        <f t="shared" si="44"/>
        <v>9.143566084648894</v>
      </c>
      <c r="I558" s="3">
        <f t="shared" si="40"/>
        <v>1828.7132169297788</v>
      </c>
      <c r="J558" s="5">
        <f t="shared" si="42"/>
        <v>9.9002984624122679</v>
      </c>
      <c r="K558" s="5">
        <f t="shared" si="41"/>
        <v>1980.0596924824536</v>
      </c>
      <c r="L558">
        <v>5</v>
      </c>
    </row>
    <row r="559" spans="1:12" x14ac:dyDescent="0.3">
      <c r="A559" t="s">
        <v>97</v>
      </c>
      <c r="B559" t="s">
        <v>17</v>
      </c>
      <c r="C559" s="5">
        <v>0.43836446099999998</v>
      </c>
      <c r="D559" s="5">
        <v>0.58666666700000003</v>
      </c>
      <c r="E559">
        <v>3</v>
      </c>
      <c r="F559" s="2">
        <v>6.401273885350319</v>
      </c>
      <c r="G559" s="3">
        <f t="shared" si="43"/>
        <v>32.182716539636814</v>
      </c>
      <c r="H559" s="3">
        <f t="shared" si="44"/>
        <v>4.3799329209467111</v>
      </c>
      <c r="I559" s="3">
        <f t="shared" si="40"/>
        <v>875.98658418934224</v>
      </c>
      <c r="J559" s="5">
        <f t="shared" si="42"/>
        <v>9.4159512272303125</v>
      </c>
      <c r="K559" s="5">
        <f t="shared" si="41"/>
        <v>1883.1902454460626</v>
      </c>
      <c r="L559">
        <v>5</v>
      </c>
    </row>
    <row r="560" spans="1:12" x14ac:dyDescent="0.3">
      <c r="A560" t="s">
        <v>97</v>
      </c>
      <c r="B560" t="s">
        <v>17</v>
      </c>
      <c r="C560" s="5">
        <v>0.43836446099999998</v>
      </c>
      <c r="D560" s="5">
        <v>0.58666666700000003</v>
      </c>
      <c r="E560">
        <v>6.5</v>
      </c>
      <c r="F560" s="2">
        <v>2.9617834394904459</v>
      </c>
      <c r="G560" s="3">
        <f t="shared" si="43"/>
        <v>6.8896392502987247</v>
      </c>
      <c r="H560" s="3">
        <f t="shared" si="44"/>
        <v>2.0693815001634972</v>
      </c>
      <c r="I560" s="3">
        <f t="shared" si="40"/>
        <v>413.87630003269942</v>
      </c>
      <c r="J560" s="5">
        <f t="shared" si="42"/>
        <v>9.1852666659905058</v>
      </c>
      <c r="K560" s="5">
        <f t="shared" si="41"/>
        <v>1837.0533331981012</v>
      </c>
      <c r="L560">
        <v>5</v>
      </c>
    </row>
    <row r="561" spans="1:12" x14ac:dyDescent="0.3">
      <c r="A561" t="s">
        <v>97</v>
      </c>
      <c r="B561" t="s">
        <v>44</v>
      </c>
      <c r="C561" s="5">
        <v>0.57917600000000002</v>
      </c>
      <c r="D561" s="5">
        <v>0.60285714300000004</v>
      </c>
      <c r="E561">
        <v>8</v>
      </c>
      <c r="F561" s="2">
        <v>43.121019108280258</v>
      </c>
      <c r="G561" s="3">
        <f t="shared" si="43"/>
        <v>1460.3868507111408</v>
      </c>
      <c r="H561" s="3">
        <f t="shared" si="44"/>
        <v>485.10205733005182</v>
      </c>
      <c r="I561" s="3">
        <f t="shared" si="40"/>
        <v>97020.411466010366</v>
      </c>
      <c r="J561" s="5">
        <f t="shared" si="42"/>
        <v>61.049524090226789</v>
      </c>
      <c r="K561" s="5">
        <f t="shared" si="41"/>
        <v>12209.904818045357</v>
      </c>
      <c r="L561">
        <v>5</v>
      </c>
    </row>
    <row r="562" spans="1:12" x14ac:dyDescent="0.3">
      <c r="A562" t="s">
        <v>97</v>
      </c>
      <c r="B562" t="s">
        <v>83</v>
      </c>
      <c r="C562" s="5">
        <v>0.77</v>
      </c>
      <c r="D562" s="5">
        <v>0.77</v>
      </c>
      <c r="E562">
        <v>6</v>
      </c>
      <c r="F562" s="2">
        <v>5.2547770700636942</v>
      </c>
      <c r="G562" s="3">
        <f t="shared" si="43"/>
        <v>21.68694977331284</v>
      </c>
      <c r="H562" s="3">
        <f t="shared" si="44"/>
        <v>7.6423622309832684</v>
      </c>
      <c r="I562" s="3">
        <f t="shared" si="40"/>
        <v>1528.4724461966537</v>
      </c>
      <c r="J562" s="5">
        <f t="shared" si="42"/>
        <v>9.5655663231774106</v>
      </c>
      <c r="K562" s="5">
        <f t="shared" si="41"/>
        <v>1913.1132646354822</v>
      </c>
      <c r="L562">
        <v>5</v>
      </c>
    </row>
    <row r="563" spans="1:12" x14ac:dyDescent="0.3">
      <c r="A563" t="s">
        <v>97</v>
      </c>
      <c r="B563" t="s">
        <v>83</v>
      </c>
      <c r="C563" s="5">
        <v>0.77</v>
      </c>
      <c r="D563" s="5">
        <v>0.77</v>
      </c>
      <c r="E563" s="1">
        <v>3.8</v>
      </c>
      <c r="F563" s="2">
        <v>4.6178343949044587</v>
      </c>
      <c r="G563" s="3">
        <f t="shared" si="43"/>
        <v>16.748140274890819</v>
      </c>
      <c r="H563" s="3">
        <f t="shared" si="44"/>
        <v>3.8026159859632505</v>
      </c>
      <c r="I563" s="3">
        <f t="shared" si="40"/>
        <v>760.52319719265006</v>
      </c>
      <c r="J563" s="5">
        <f t="shared" si="42"/>
        <v>9.2693144468335422</v>
      </c>
      <c r="K563" s="5">
        <f t="shared" si="41"/>
        <v>1853.8628893667087</v>
      </c>
      <c r="L563">
        <v>5</v>
      </c>
    </row>
    <row r="564" spans="1:12" x14ac:dyDescent="0.3">
      <c r="A564" t="s">
        <v>97</v>
      </c>
      <c r="B564" t="s">
        <v>83</v>
      </c>
      <c r="C564" s="5">
        <v>0.77</v>
      </c>
      <c r="D564" s="5">
        <v>0.77</v>
      </c>
      <c r="E564" s="1">
        <v>5.5</v>
      </c>
      <c r="F564" s="2">
        <v>10.859872611464969</v>
      </c>
      <c r="G564" s="3">
        <f t="shared" si="43"/>
        <v>92.627372142905088</v>
      </c>
      <c r="H564" s="3">
        <f t="shared" si="44"/>
        <v>28.9570203740249</v>
      </c>
      <c r="I564" s="3">
        <f t="shared" si="40"/>
        <v>5791.4040748049802</v>
      </c>
      <c r="J564" s="5">
        <f t="shared" si="42"/>
        <v>11.255984037892004</v>
      </c>
      <c r="K564" s="5">
        <f t="shared" si="41"/>
        <v>2251.1968075784007</v>
      </c>
      <c r="L564">
        <v>5</v>
      </c>
    </row>
    <row r="565" spans="1:12" x14ac:dyDescent="0.3">
      <c r="A565" t="s">
        <v>98</v>
      </c>
      <c r="B565" t="s">
        <v>70</v>
      </c>
      <c r="C565" s="5">
        <v>0.86</v>
      </c>
      <c r="D565" s="5">
        <v>0.65666666699999998</v>
      </c>
      <c r="E565">
        <v>5</v>
      </c>
      <c r="F565" s="2">
        <v>12.547770700636942</v>
      </c>
      <c r="G565" s="3">
        <f t="shared" si="43"/>
        <v>123.65823085436149</v>
      </c>
      <c r="H565" s="3">
        <f t="shared" si="44"/>
        <v>29.94611118817684</v>
      </c>
      <c r="I565" s="3">
        <f t="shared" si="40"/>
        <v>5989.2222376353684</v>
      </c>
      <c r="J565" s="5">
        <f t="shared" si="42"/>
        <v>11.741014617225851</v>
      </c>
      <c r="K565" s="5">
        <f t="shared" si="41"/>
        <v>2348.2029234451702</v>
      </c>
      <c r="L565">
        <v>5</v>
      </c>
    </row>
    <row r="566" spans="1:12" x14ac:dyDescent="0.3">
      <c r="A566" t="s">
        <v>98</v>
      </c>
      <c r="B566" t="s">
        <v>21</v>
      </c>
      <c r="C566" s="5">
        <v>0.80908761900000004</v>
      </c>
      <c r="D566" s="5">
        <v>0.87473809499999999</v>
      </c>
      <c r="E566">
        <v>7</v>
      </c>
      <c r="F566" s="2">
        <v>42.547770700636939</v>
      </c>
      <c r="G566" s="3">
        <f t="shared" si="43"/>
        <v>1421.8163416928189</v>
      </c>
      <c r="H566" s="3">
        <f t="shared" si="44"/>
        <v>596.58351977458847</v>
      </c>
      <c r="I566" s="3">
        <f t="shared" si="40"/>
        <v>119316.7039549177</v>
      </c>
      <c r="J566" s="5">
        <f t="shared" si="42"/>
        <v>53.338363394052493</v>
      </c>
      <c r="K566" s="5">
        <f t="shared" si="41"/>
        <v>10667.672678810499</v>
      </c>
      <c r="L566">
        <v>5</v>
      </c>
    </row>
    <row r="567" spans="1:12" x14ac:dyDescent="0.3">
      <c r="A567" t="s">
        <v>98</v>
      </c>
      <c r="B567" t="s">
        <v>21</v>
      </c>
      <c r="C567" s="5">
        <v>0.80908761900000004</v>
      </c>
      <c r="D567" s="5">
        <v>0.87473809499999999</v>
      </c>
      <c r="E567">
        <v>8</v>
      </c>
      <c r="F567" s="2">
        <v>30.031847133757964</v>
      </c>
      <c r="G567" s="3">
        <f t="shared" si="43"/>
        <v>708.35990446165931</v>
      </c>
      <c r="H567" s="3">
        <f t="shared" si="44"/>
        <v>344.30553965396814</v>
      </c>
      <c r="I567" s="3">
        <f t="shared" si="40"/>
        <v>68861.107930793631</v>
      </c>
      <c r="J567" s="5">
        <f t="shared" si="42"/>
        <v>34.239231583431383</v>
      </c>
      <c r="K567" s="5">
        <f t="shared" si="41"/>
        <v>6847.8463166862766</v>
      </c>
      <c r="L567">
        <v>5</v>
      </c>
    </row>
    <row r="568" spans="1:12" x14ac:dyDescent="0.3">
      <c r="A568" t="s">
        <v>98</v>
      </c>
      <c r="B568" t="s">
        <v>21</v>
      </c>
      <c r="C568" s="5">
        <v>0.80908761900000004</v>
      </c>
      <c r="D568" s="5">
        <v>0.87473809499999999</v>
      </c>
      <c r="E568" s="1">
        <v>4.5</v>
      </c>
      <c r="F568" s="2">
        <v>12.006369426751593</v>
      </c>
      <c r="G568" s="3">
        <f t="shared" si="43"/>
        <v>113.21742825826193</v>
      </c>
      <c r="H568" s="3">
        <f t="shared" si="44"/>
        <v>32.797073098309212</v>
      </c>
      <c r="I568" s="3">
        <f t="shared" si="40"/>
        <v>6559.4146196618431</v>
      </c>
      <c r="J568" s="5">
        <f t="shared" si="42"/>
        <v>11.256108282283257</v>
      </c>
      <c r="K568" s="5">
        <f t="shared" si="41"/>
        <v>2251.2216564566515</v>
      </c>
      <c r="L568">
        <v>5</v>
      </c>
    </row>
    <row r="569" spans="1:12" x14ac:dyDescent="0.3">
      <c r="A569" t="s">
        <v>98</v>
      </c>
      <c r="B569" t="s">
        <v>63</v>
      </c>
      <c r="C569" s="5">
        <v>0.77800000000000002</v>
      </c>
      <c r="D569" s="5">
        <v>0.77386111099999999</v>
      </c>
      <c r="E569">
        <v>6</v>
      </c>
      <c r="F569" s="2">
        <v>8.8216560509554132</v>
      </c>
      <c r="G569" s="3">
        <f t="shared" si="43"/>
        <v>61.120953871681195</v>
      </c>
      <c r="H569" s="3">
        <f t="shared" si="44"/>
        <v>21.112498452774012</v>
      </c>
      <c r="I569" s="3">
        <f t="shared" si="40"/>
        <v>4222.4996905548023</v>
      </c>
      <c r="J569" s="5">
        <f t="shared" si="42"/>
        <v>10.619953925108522</v>
      </c>
      <c r="K569" s="5">
        <f t="shared" si="41"/>
        <v>2123.9907850217046</v>
      </c>
      <c r="L569">
        <v>5</v>
      </c>
    </row>
    <row r="570" spans="1:12" x14ac:dyDescent="0.3">
      <c r="A570" t="s">
        <v>98</v>
      </c>
      <c r="B570" t="s">
        <v>87</v>
      </c>
      <c r="C570" s="5">
        <v>0.80803492399999999</v>
      </c>
      <c r="D570" s="5">
        <v>0.87275320499999998</v>
      </c>
      <c r="E570">
        <v>5</v>
      </c>
      <c r="F570" s="2">
        <v>8.4713375796178347</v>
      </c>
      <c r="G570" s="3">
        <f t="shared" si="43"/>
        <v>56.362968527475616</v>
      </c>
      <c r="H570" s="3">
        <f t="shared" si="44"/>
        <v>18.360399538851457</v>
      </c>
      <c r="I570" s="3">
        <f t="shared" si="40"/>
        <v>3672.0799077702914</v>
      </c>
      <c r="J570" s="5">
        <f t="shared" si="42"/>
        <v>10.241562306787294</v>
      </c>
      <c r="K570" s="5">
        <f t="shared" si="41"/>
        <v>2048.3124613574591</v>
      </c>
      <c r="L570">
        <v>5</v>
      </c>
    </row>
    <row r="571" spans="1:12" x14ac:dyDescent="0.3">
      <c r="A571" t="s">
        <v>98</v>
      </c>
      <c r="B571" t="s">
        <v>55</v>
      </c>
      <c r="C571" s="5">
        <v>0.41</v>
      </c>
      <c r="D571" s="5">
        <v>0.33983503399999998</v>
      </c>
      <c r="E571">
        <v>8</v>
      </c>
      <c r="F571" s="2">
        <v>7.7388535031847132</v>
      </c>
      <c r="G571" s="3">
        <f t="shared" si="43"/>
        <v>47.037380979406791</v>
      </c>
      <c r="H571" s="3">
        <f t="shared" si="44"/>
        <v>9.6971782284364458</v>
      </c>
      <c r="I571" s="3">
        <f t="shared" si="40"/>
        <v>1939.435645687289</v>
      </c>
      <c r="J571" s="5">
        <f t="shared" si="42"/>
        <v>10.66261589922512</v>
      </c>
      <c r="K571" s="5">
        <f t="shared" si="41"/>
        <v>2132.5231798450241</v>
      </c>
      <c r="L571">
        <v>5</v>
      </c>
    </row>
    <row r="572" spans="1:12" x14ac:dyDescent="0.3">
      <c r="A572" t="s">
        <v>98</v>
      </c>
      <c r="B572" t="s">
        <v>49</v>
      </c>
      <c r="C572" s="5">
        <v>0.53</v>
      </c>
      <c r="D572" s="5">
        <v>0.54764999999999997</v>
      </c>
      <c r="E572">
        <v>5</v>
      </c>
      <c r="F572" s="2">
        <v>8.0573248407643305</v>
      </c>
      <c r="G572" s="3">
        <f t="shared" si="43"/>
        <v>50.988428578144408</v>
      </c>
      <c r="H572" s="3">
        <f t="shared" si="44"/>
        <v>10.565094611314061</v>
      </c>
      <c r="I572" s="3">
        <f t="shared" si="40"/>
        <v>2113.0189222628123</v>
      </c>
      <c r="J572" s="5">
        <f t="shared" si="42"/>
        <v>10.121808462817963</v>
      </c>
      <c r="K572" s="5">
        <f t="shared" si="41"/>
        <v>2024.3616925635929</v>
      </c>
      <c r="L572">
        <v>5</v>
      </c>
    </row>
    <row r="573" spans="1:12" x14ac:dyDescent="0.3">
      <c r="A573" t="s">
        <v>98</v>
      </c>
      <c r="B573" t="s">
        <v>50</v>
      </c>
      <c r="C573" s="5">
        <v>0.52500000000000002</v>
      </c>
      <c r="D573" s="5">
        <v>0.52500000000000002</v>
      </c>
      <c r="E573" s="1">
        <v>6.5</v>
      </c>
      <c r="F573" s="2">
        <v>24.458598726114648</v>
      </c>
      <c r="G573" s="3">
        <f t="shared" si="43"/>
        <v>469.84328606407604</v>
      </c>
      <c r="H573" s="3">
        <f t="shared" si="44"/>
        <v>114.42275728321081</v>
      </c>
      <c r="I573" s="3">
        <f t="shared" si="40"/>
        <v>22884.551456642163</v>
      </c>
      <c r="J573" s="5">
        <f t="shared" si="42"/>
        <v>22.595274424925957</v>
      </c>
      <c r="K573" s="5">
        <f t="shared" si="41"/>
        <v>4519.0548849851912</v>
      </c>
      <c r="L573">
        <v>5</v>
      </c>
    </row>
    <row r="574" spans="1:12" x14ac:dyDescent="0.3">
      <c r="A574" t="s">
        <v>98</v>
      </c>
      <c r="B574" t="s">
        <v>51</v>
      </c>
      <c r="C574" s="5">
        <v>0.39984676499999999</v>
      </c>
      <c r="D574" s="5">
        <v>0.450333333</v>
      </c>
      <c r="E574">
        <v>11</v>
      </c>
      <c r="F574" s="2">
        <v>21.656050955414013</v>
      </c>
      <c r="G574" s="3">
        <f t="shared" si="43"/>
        <v>368.33959872102326</v>
      </c>
      <c r="H574" s="3">
        <f t="shared" si="44"/>
        <v>129.81184580417002</v>
      </c>
      <c r="I574" s="3">
        <f t="shared" si="40"/>
        <v>25962.369160834005</v>
      </c>
      <c r="J574" s="5">
        <f t="shared" si="42"/>
        <v>27.0416049048643</v>
      </c>
      <c r="K574" s="5">
        <f t="shared" si="41"/>
        <v>5408.3209809728596</v>
      </c>
      <c r="L574">
        <v>5</v>
      </c>
    </row>
    <row r="575" spans="1:12" x14ac:dyDescent="0.3">
      <c r="A575" t="s">
        <v>98</v>
      </c>
      <c r="B575" t="s">
        <v>51</v>
      </c>
      <c r="C575" s="5">
        <v>0.39984676499999999</v>
      </c>
      <c r="D575" s="5">
        <v>0.450333333</v>
      </c>
      <c r="E575">
        <v>11</v>
      </c>
      <c r="F575" s="2">
        <v>28.949044585987263</v>
      </c>
      <c r="G575" s="3">
        <f t="shared" si="43"/>
        <v>658.20071792994338</v>
      </c>
      <c r="H575" s="3">
        <f t="shared" si="44"/>
        <v>228.75659718339375</v>
      </c>
      <c r="I575" s="3">
        <f t="shared" si="40"/>
        <v>45751.31943667875</v>
      </c>
      <c r="J575" s="5">
        <f t="shared" si="42"/>
        <v>41.250516523996922</v>
      </c>
      <c r="K575" s="5">
        <f t="shared" si="41"/>
        <v>8250.1033047993842</v>
      </c>
      <c r="L575">
        <v>5</v>
      </c>
    </row>
    <row r="576" spans="1:12" x14ac:dyDescent="0.3">
      <c r="A576" t="s">
        <v>98</v>
      </c>
      <c r="B576" t="s">
        <v>51</v>
      </c>
      <c r="C576" s="5">
        <v>0.39984676499999999</v>
      </c>
      <c r="D576" s="5">
        <v>0.450333333</v>
      </c>
      <c r="E576">
        <v>7</v>
      </c>
      <c r="F576" s="2">
        <v>40.955414012738856</v>
      </c>
      <c r="G576" s="3">
        <f t="shared" si="43"/>
        <v>1317.3844182665084</v>
      </c>
      <c r="H576" s="3">
        <f t="shared" si="44"/>
        <v>289.67547291214697</v>
      </c>
      <c r="I576" s="3">
        <f t="shared" si="40"/>
        <v>57935.094582429403</v>
      </c>
      <c r="J576" s="5">
        <f t="shared" si="42"/>
        <v>50.080675455393738</v>
      </c>
      <c r="K576" s="5">
        <f t="shared" si="41"/>
        <v>10016.135091078748</v>
      </c>
      <c r="L576">
        <v>5</v>
      </c>
    </row>
    <row r="577" spans="1:12" x14ac:dyDescent="0.3">
      <c r="A577" t="s">
        <v>98</v>
      </c>
      <c r="B577" t="s">
        <v>34</v>
      </c>
      <c r="C577" s="5">
        <v>0.590536375</v>
      </c>
      <c r="D577" s="5">
        <v>0.61247410899999999</v>
      </c>
      <c r="E577">
        <v>6</v>
      </c>
      <c r="F577" s="2">
        <v>26.146496815286621</v>
      </c>
      <c r="G577" s="3">
        <f t="shared" si="43"/>
        <v>536.92904727836765</v>
      </c>
      <c r="H577" s="3">
        <f t="shared" si="44"/>
        <v>140.11333914984692</v>
      </c>
      <c r="I577" s="3">
        <f t="shared" si="40"/>
        <v>28022.667829969385</v>
      </c>
      <c r="J577" s="5">
        <f t="shared" si="42"/>
        <v>23.342125209947664</v>
      </c>
      <c r="K577" s="5">
        <f t="shared" si="41"/>
        <v>4668.4250419895325</v>
      </c>
      <c r="L577">
        <v>5</v>
      </c>
    </row>
    <row r="578" spans="1:12" x14ac:dyDescent="0.3">
      <c r="A578" t="s">
        <v>98</v>
      </c>
      <c r="B578" t="s">
        <v>44</v>
      </c>
      <c r="C578" s="5">
        <v>0.57917600000000002</v>
      </c>
      <c r="D578" s="5">
        <v>0.60285714300000004</v>
      </c>
      <c r="E578">
        <v>4</v>
      </c>
      <c r="F578" s="2">
        <v>5.5732484076433115</v>
      </c>
      <c r="G578" s="3">
        <f t="shared" si="43"/>
        <v>24.395329175673304</v>
      </c>
      <c r="H578" s="3">
        <f t="shared" si="44"/>
        <v>4.5448387478529257</v>
      </c>
      <c r="I578" s="3">
        <f t="shared" ref="I578:I641" si="45">(H578*1000)/L578</f>
        <v>908.96774957058517</v>
      </c>
      <c r="J578" s="5">
        <f t="shared" si="42"/>
        <v>9.4205553693861823</v>
      </c>
      <c r="K578" s="5">
        <f t="shared" ref="K578:K641" si="46">(J578*1000)/L578</f>
        <v>1884.1110738772363</v>
      </c>
      <c r="L578">
        <v>5</v>
      </c>
    </row>
    <row r="579" spans="1:12" x14ac:dyDescent="0.3">
      <c r="A579" t="s">
        <v>98</v>
      </c>
      <c r="B579" t="s">
        <v>83</v>
      </c>
      <c r="C579" s="5">
        <v>0.77</v>
      </c>
      <c r="D579" s="5">
        <v>0.77</v>
      </c>
      <c r="E579" s="1">
        <v>3.5</v>
      </c>
      <c r="F579" s="2">
        <v>5.4777070063694264</v>
      </c>
      <c r="G579" s="3">
        <f t="shared" si="43"/>
        <v>23.566087129244703</v>
      </c>
      <c r="H579" s="3">
        <f t="shared" si="44"/>
        <v>4.8976221748508264</v>
      </c>
      <c r="I579" s="3">
        <f t="shared" si="45"/>
        <v>979.5244349701652</v>
      </c>
      <c r="J579" s="5">
        <f t="shared" ref="J579:J642" si="47">8.9857 + 0.0035 * F579^2 * E579</f>
        <v>9.3532646070834513</v>
      </c>
      <c r="K579" s="5">
        <f t="shared" si="46"/>
        <v>1870.6529214166901</v>
      </c>
      <c r="L579">
        <v>5</v>
      </c>
    </row>
    <row r="580" spans="1:12" x14ac:dyDescent="0.3">
      <c r="A580" t="s">
        <v>99</v>
      </c>
      <c r="B580" t="s">
        <v>70</v>
      </c>
      <c r="C580" s="5">
        <v>0.86</v>
      </c>
      <c r="D580" s="5">
        <v>0.65666666699999998</v>
      </c>
      <c r="E580" s="1">
        <v>6.5</v>
      </c>
      <c r="F580" s="2">
        <v>24.394904458598724</v>
      </c>
      <c r="G580" s="3">
        <f t="shared" ref="G580:G643" si="48">PI()*(F580/2)^2</f>
        <v>467.39937194453432</v>
      </c>
      <c r="H580" s="3">
        <f t="shared" ref="H580:H643" si="49">0.0673 * ((D580 * F580^2 * E580)^0.976)</f>
        <v>141.62994220683498</v>
      </c>
      <c r="I580" s="3">
        <f t="shared" si="45"/>
        <v>28325.988441367001</v>
      </c>
      <c r="J580" s="5">
        <f t="shared" si="47"/>
        <v>22.524483520629637</v>
      </c>
      <c r="K580" s="5">
        <f t="shared" si="46"/>
        <v>4504.8967041259275</v>
      </c>
      <c r="L580">
        <v>5</v>
      </c>
    </row>
    <row r="581" spans="1:12" x14ac:dyDescent="0.3">
      <c r="A581" t="s">
        <v>99</v>
      </c>
      <c r="B581" t="s">
        <v>70</v>
      </c>
      <c r="C581" s="5">
        <v>0.86</v>
      </c>
      <c r="D581" s="5">
        <v>0.65666666699999998</v>
      </c>
      <c r="E581">
        <v>7</v>
      </c>
      <c r="F581" s="2">
        <v>11.687898089171975</v>
      </c>
      <c r="G581" s="3">
        <f t="shared" si="48"/>
        <v>107.29085686015551</v>
      </c>
      <c r="H581" s="3">
        <f t="shared" si="49"/>
        <v>36.206031756514591</v>
      </c>
      <c r="I581" s="3">
        <f t="shared" si="45"/>
        <v>7241.2063513029179</v>
      </c>
      <c r="J581" s="5">
        <f t="shared" si="47"/>
        <v>12.332570562700312</v>
      </c>
      <c r="K581" s="5">
        <f t="shared" si="46"/>
        <v>2466.5141125400623</v>
      </c>
      <c r="L581">
        <v>5</v>
      </c>
    </row>
    <row r="582" spans="1:12" x14ac:dyDescent="0.3">
      <c r="A582" t="s">
        <v>99</v>
      </c>
      <c r="B582" t="s">
        <v>21</v>
      </c>
      <c r="C582" s="5">
        <v>0.80908761900000004</v>
      </c>
      <c r="D582" s="5">
        <v>0.87473809499999999</v>
      </c>
      <c r="E582" s="1">
        <v>4.5</v>
      </c>
      <c r="F582" s="2">
        <v>18.02547770700637</v>
      </c>
      <c r="G582" s="3">
        <f t="shared" si="48"/>
        <v>255.18987994782037</v>
      </c>
      <c r="H582" s="3">
        <f t="shared" si="49"/>
        <v>72.496066945019692</v>
      </c>
      <c r="I582" s="3">
        <f t="shared" si="45"/>
        <v>14499.213389003937</v>
      </c>
      <c r="J582" s="5">
        <f t="shared" si="47"/>
        <v>14.103156083411092</v>
      </c>
      <c r="K582" s="5">
        <f t="shared" si="46"/>
        <v>2820.6312166822181</v>
      </c>
      <c r="L582">
        <v>5</v>
      </c>
    </row>
    <row r="583" spans="1:12" x14ac:dyDescent="0.3">
      <c r="A583" t="s">
        <v>99</v>
      </c>
      <c r="B583" t="s">
        <v>21</v>
      </c>
      <c r="C583" s="5">
        <v>0.80908761900000004</v>
      </c>
      <c r="D583" s="5">
        <v>0.87473809499999999</v>
      </c>
      <c r="E583">
        <v>8</v>
      </c>
      <c r="F583" s="2">
        <v>14.840764331210192</v>
      </c>
      <c r="G583" s="3">
        <f t="shared" si="48"/>
        <v>172.98259926440858</v>
      </c>
      <c r="H583" s="3">
        <f t="shared" si="49"/>
        <v>86.973409494316442</v>
      </c>
      <c r="I583" s="3">
        <f t="shared" si="45"/>
        <v>17394.681898863288</v>
      </c>
      <c r="J583" s="5">
        <f t="shared" si="47"/>
        <v>15.15265200616658</v>
      </c>
      <c r="K583" s="5">
        <f t="shared" si="46"/>
        <v>3030.5304012333158</v>
      </c>
      <c r="L583">
        <v>5</v>
      </c>
    </row>
    <row r="584" spans="1:12" x14ac:dyDescent="0.3">
      <c r="A584" t="s">
        <v>99</v>
      </c>
      <c r="B584" t="s">
        <v>21</v>
      </c>
      <c r="C584" s="5">
        <v>0.80908761900000004</v>
      </c>
      <c r="D584" s="5">
        <v>0.87473809499999999</v>
      </c>
      <c r="E584">
        <v>7</v>
      </c>
      <c r="F584" s="2">
        <v>17.929936305732483</v>
      </c>
      <c r="G584" s="3">
        <f t="shared" si="48"/>
        <v>252.49185611376296</v>
      </c>
      <c r="H584" s="3">
        <f t="shared" si="49"/>
        <v>110.43060018826704</v>
      </c>
      <c r="I584" s="3">
        <f t="shared" si="45"/>
        <v>22086.120037653407</v>
      </c>
      <c r="J584" s="5">
        <f t="shared" si="47"/>
        <v>16.862024090226782</v>
      </c>
      <c r="K584" s="5">
        <f t="shared" si="46"/>
        <v>3372.4048180453565</v>
      </c>
      <c r="L584">
        <v>5</v>
      </c>
    </row>
    <row r="585" spans="1:12" x14ac:dyDescent="0.3">
      <c r="A585" t="s">
        <v>99</v>
      </c>
      <c r="B585" t="s">
        <v>21</v>
      </c>
      <c r="C585" s="5">
        <v>0.80908761900000004</v>
      </c>
      <c r="D585" s="5">
        <v>0.87473809499999999</v>
      </c>
      <c r="E585">
        <v>8</v>
      </c>
      <c r="F585" s="2">
        <v>17.101910828025478</v>
      </c>
      <c r="G585" s="3">
        <f t="shared" si="48"/>
        <v>229.70960584684852</v>
      </c>
      <c r="H585" s="3">
        <f t="shared" si="49"/>
        <v>114.71150871212161</v>
      </c>
      <c r="I585" s="3">
        <f t="shared" si="45"/>
        <v>22942.301742424323</v>
      </c>
      <c r="J585" s="5">
        <f t="shared" si="47"/>
        <v>17.175009911152582</v>
      </c>
      <c r="K585" s="5">
        <f t="shared" si="46"/>
        <v>3435.0019822305162</v>
      </c>
      <c r="L585">
        <v>5</v>
      </c>
    </row>
    <row r="586" spans="1:12" x14ac:dyDescent="0.3">
      <c r="A586" t="s">
        <v>99</v>
      </c>
      <c r="B586" t="s">
        <v>87</v>
      </c>
      <c r="C586" s="5">
        <v>0.80803492399999999</v>
      </c>
      <c r="D586" s="5">
        <v>0.87275320499999998</v>
      </c>
      <c r="E586">
        <v>9</v>
      </c>
      <c r="F586" s="2">
        <v>15.477707006369426</v>
      </c>
      <c r="G586" s="3">
        <f t="shared" si="48"/>
        <v>188.14952391762716</v>
      </c>
      <c r="H586" s="3">
        <f t="shared" si="49"/>
        <v>105.67521387948651</v>
      </c>
      <c r="I586" s="3">
        <f t="shared" si="45"/>
        <v>21135.042775897302</v>
      </c>
      <c r="J586" s="5">
        <f t="shared" si="47"/>
        <v>16.531821546513044</v>
      </c>
      <c r="K586" s="5">
        <f t="shared" si="46"/>
        <v>3306.3643093026089</v>
      </c>
      <c r="L586">
        <v>5</v>
      </c>
    </row>
    <row r="587" spans="1:12" x14ac:dyDescent="0.3">
      <c r="A587" t="s">
        <v>99</v>
      </c>
      <c r="B587" t="s">
        <v>80</v>
      </c>
      <c r="C587" s="5">
        <v>0.6</v>
      </c>
      <c r="D587" s="5">
        <v>0.66674999999999995</v>
      </c>
      <c r="E587" s="1">
        <v>5.5</v>
      </c>
      <c r="F587" s="2">
        <v>5.5414012738853495</v>
      </c>
      <c r="G587" s="3">
        <f t="shared" si="48"/>
        <v>24.117321995842772</v>
      </c>
      <c r="H587" s="3">
        <f t="shared" si="49"/>
        <v>6.7661624488402738</v>
      </c>
      <c r="I587" s="3">
        <f t="shared" si="45"/>
        <v>1353.2324897680548</v>
      </c>
      <c r="J587" s="5">
        <f t="shared" si="47"/>
        <v>9.5768122155056989</v>
      </c>
      <c r="K587" s="5">
        <f t="shared" si="46"/>
        <v>1915.3624431011399</v>
      </c>
      <c r="L587">
        <v>5</v>
      </c>
    </row>
    <row r="588" spans="1:12" x14ac:dyDescent="0.3">
      <c r="A588" t="s">
        <v>99</v>
      </c>
      <c r="B588" t="s">
        <v>10</v>
      </c>
      <c r="C588" s="5">
        <v>0.47982689899999997</v>
      </c>
      <c r="D588" s="5">
        <v>0.51</v>
      </c>
      <c r="E588">
        <v>3</v>
      </c>
      <c r="F588" s="2">
        <v>7.9617834394904454</v>
      </c>
      <c r="G588" s="3">
        <f t="shared" si="48"/>
        <v>49.786386072802657</v>
      </c>
      <c r="H588" s="3">
        <f t="shared" si="49"/>
        <v>5.8485219553870094</v>
      </c>
      <c r="I588" s="3">
        <f t="shared" si="45"/>
        <v>1169.7043910774019</v>
      </c>
      <c r="J588" s="5">
        <f t="shared" si="47"/>
        <v>9.6512949531421146</v>
      </c>
      <c r="K588" s="5">
        <f t="shared" si="46"/>
        <v>1930.2589906284229</v>
      </c>
      <c r="L588">
        <v>5</v>
      </c>
    </row>
    <row r="589" spans="1:12" x14ac:dyDescent="0.3">
      <c r="A589" t="s">
        <v>99</v>
      </c>
      <c r="B589" t="s">
        <v>10</v>
      </c>
      <c r="C589" s="5">
        <v>0.47982689899999997</v>
      </c>
      <c r="D589" s="5">
        <v>0.51</v>
      </c>
      <c r="E589">
        <v>5</v>
      </c>
      <c r="F589" s="2">
        <v>6.4649681528662422</v>
      </c>
      <c r="G589" s="3">
        <f t="shared" si="48"/>
        <v>32.826354938786004</v>
      </c>
      <c r="H589" s="3">
        <f t="shared" si="49"/>
        <v>6.4124482503266629</v>
      </c>
      <c r="I589" s="3">
        <f t="shared" si="45"/>
        <v>1282.4896500653326</v>
      </c>
      <c r="J589" s="5">
        <f t="shared" si="47"/>
        <v>9.7171267313075571</v>
      </c>
      <c r="K589" s="5">
        <f t="shared" si="46"/>
        <v>1943.4253462615113</v>
      </c>
      <c r="L589">
        <v>5</v>
      </c>
    </row>
    <row r="590" spans="1:12" x14ac:dyDescent="0.3">
      <c r="A590" t="s">
        <v>99</v>
      </c>
      <c r="B590" t="s">
        <v>49</v>
      </c>
      <c r="C590" s="5">
        <v>0.53</v>
      </c>
      <c r="D590" s="5">
        <v>0.54764999999999997</v>
      </c>
      <c r="E590" s="1">
        <v>5.5</v>
      </c>
      <c r="F590" s="2">
        <v>6.1464968152866239</v>
      </c>
      <c r="G590" s="3">
        <f t="shared" si="48"/>
        <v>29.67188951721322</v>
      </c>
      <c r="H590" s="3">
        <f t="shared" si="49"/>
        <v>6.8357986361061354</v>
      </c>
      <c r="I590" s="3">
        <f t="shared" si="45"/>
        <v>1367.1597272212271</v>
      </c>
      <c r="J590" s="5">
        <f t="shared" si="47"/>
        <v>9.7129538946813252</v>
      </c>
      <c r="K590" s="5">
        <f t="shared" si="46"/>
        <v>1942.590778936265</v>
      </c>
      <c r="L590">
        <v>5</v>
      </c>
    </row>
    <row r="591" spans="1:12" x14ac:dyDescent="0.3">
      <c r="A591" t="s">
        <v>99</v>
      </c>
      <c r="B591" t="s">
        <v>49</v>
      </c>
      <c r="C591" s="5">
        <v>0.53</v>
      </c>
      <c r="D591" s="5">
        <v>0.54764999999999997</v>
      </c>
      <c r="E591" s="1">
        <v>4.5</v>
      </c>
      <c r="F591" s="2">
        <v>8.2165605095541405</v>
      </c>
      <c r="G591" s="3">
        <f t="shared" si="48"/>
        <v>53.023696040800587</v>
      </c>
      <c r="H591" s="3">
        <f t="shared" si="49"/>
        <v>9.9038599063271544</v>
      </c>
      <c r="I591" s="3">
        <f t="shared" si="45"/>
        <v>1980.7719812654309</v>
      </c>
      <c r="J591" s="5">
        <f t="shared" si="47"/>
        <v>10.049011899062842</v>
      </c>
      <c r="K591" s="5">
        <f t="shared" si="46"/>
        <v>2009.8023798125682</v>
      </c>
      <c r="L591">
        <v>5</v>
      </c>
    </row>
    <row r="592" spans="1:12" x14ac:dyDescent="0.3">
      <c r="A592" t="s">
        <v>99</v>
      </c>
      <c r="B592" t="s">
        <v>51</v>
      </c>
      <c r="C592" s="5">
        <v>0.39984676499999999</v>
      </c>
      <c r="D592" s="5">
        <v>0.450333333</v>
      </c>
      <c r="E592">
        <v>8</v>
      </c>
      <c r="F592" s="2">
        <v>14.745222929936304</v>
      </c>
      <c r="G592" s="3">
        <f t="shared" si="48"/>
        <v>170.76252473665011</v>
      </c>
      <c r="H592" s="3">
        <f t="shared" si="49"/>
        <v>44.924948578259993</v>
      </c>
      <c r="I592" s="3">
        <f t="shared" si="45"/>
        <v>8984.9897156519983</v>
      </c>
      <c r="J592" s="5">
        <f t="shared" si="47"/>
        <v>15.073504779098542</v>
      </c>
      <c r="K592" s="5">
        <f t="shared" si="46"/>
        <v>3014.7009558197087</v>
      </c>
      <c r="L592">
        <v>5</v>
      </c>
    </row>
    <row r="593" spans="1:12" x14ac:dyDescent="0.3">
      <c r="A593" t="s">
        <v>99</v>
      </c>
      <c r="B593" t="s">
        <v>17</v>
      </c>
      <c r="C593" s="5">
        <v>0.43836446099999998</v>
      </c>
      <c r="D593" s="5">
        <v>0.58666666700000003</v>
      </c>
      <c r="E593">
        <v>5</v>
      </c>
      <c r="F593" s="2">
        <v>10.445859872611464</v>
      </c>
      <c r="G593" s="3">
        <f t="shared" si="48"/>
        <v>85.699496948102421</v>
      </c>
      <c r="H593" s="3">
        <f t="shared" si="49"/>
        <v>18.755941856893966</v>
      </c>
      <c r="I593" s="3">
        <f t="shared" si="45"/>
        <v>3751.1883713787929</v>
      </c>
      <c r="J593" s="5">
        <f t="shared" si="47"/>
        <v>10.895229798369101</v>
      </c>
      <c r="K593" s="5">
        <f t="shared" si="46"/>
        <v>2179.0459596738201</v>
      </c>
      <c r="L593">
        <v>5</v>
      </c>
    </row>
    <row r="594" spans="1:12" x14ac:dyDescent="0.3">
      <c r="A594" t="s">
        <v>99</v>
      </c>
      <c r="B594" t="s">
        <v>44</v>
      </c>
      <c r="C594" s="5">
        <v>0.57917600000000002</v>
      </c>
      <c r="D594" s="5">
        <v>0.60285714300000004</v>
      </c>
      <c r="E594">
        <v>6</v>
      </c>
      <c r="F594" s="2">
        <v>10.286624203821654</v>
      </c>
      <c r="G594" s="3">
        <f t="shared" si="48"/>
        <v>83.106621961430847</v>
      </c>
      <c r="H594" s="3">
        <f t="shared" si="49"/>
        <v>22.332461827792187</v>
      </c>
      <c r="I594" s="3">
        <f t="shared" si="45"/>
        <v>4466.4923655584371</v>
      </c>
      <c r="J594" s="5">
        <f t="shared" si="47"/>
        <v>11.207807387723639</v>
      </c>
      <c r="K594" s="5">
        <f t="shared" si="46"/>
        <v>2241.5614775447275</v>
      </c>
      <c r="L594">
        <v>5</v>
      </c>
    </row>
    <row r="595" spans="1:12" x14ac:dyDescent="0.3">
      <c r="A595" t="s">
        <v>99</v>
      </c>
      <c r="B595" t="s">
        <v>44</v>
      </c>
      <c r="C595" s="5">
        <v>0.57917600000000002</v>
      </c>
      <c r="D595" s="5">
        <v>0.60285714300000004</v>
      </c>
      <c r="E595">
        <v>5</v>
      </c>
      <c r="F595" s="2">
        <v>9.3949044585987256</v>
      </c>
      <c r="G595" s="3">
        <f t="shared" si="48"/>
        <v>69.322563967770421</v>
      </c>
      <c r="H595" s="3">
        <f t="shared" si="49"/>
        <v>15.659754734631555</v>
      </c>
      <c r="I595" s="3">
        <f t="shared" si="45"/>
        <v>3131.9509469263112</v>
      </c>
      <c r="J595" s="5">
        <f t="shared" si="47"/>
        <v>10.530324021258469</v>
      </c>
      <c r="K595" s="5">
        <f t="shared" si="46"/>
        <v>2106.0648042516941</v>
      </c>
      <c r="L595">
        <v>5</v>
      </c>
    </row>
    <row r="596" spans="1:12" x14ac:dyDescent="0.3">
      <c r="A596" t="s">
        <v>99</v>
      </c>
      <c r="B596" t="s">
        <v>44</v>
      </c>
      <c r="C596" s="5">
        <v>0.57917600000000002</v>
      </c>
      <c r="D596" s="5">
        <v>0.60285714300000004</v>
      </c>
      <c r="E596" s="1">
        <v>6.5</v>
      </c>
      <c r="F596" s="2">
        <v>4.8726114649681529</v>
      </c>
      <c r="G596" s="3">
        <f t="shared" si="48"/>
        <v>18.647192185251804</v>
      </c>
      <c r="H596" s="3">
        <f t="shared" si="49"/>
        <v>5.6158922351525495</v>
      </c>
      <c r="I596" s="3">
        <f t="shared" si="45"/>
        <v>1123.1784470305099</v>
      </c>
      <c r="J596" s="5">
        <f t="shared" si="47"/>
        <v>9.5258382916142637</v>
      </c>
      <c r="K596" s="5">
        <f t="shared" si="46"/>
        <v>1905.1676583228527</v>
      </c>
      <c r="L596">
        <v>5</v>
      </c>
    </row>
    <row r="597" spans="1:12" x14ac:dyDescent="0.3">
      <c r="A597" t="s">
        <v>99</v>
      </c>
      <c r="B597" t="s">
        <v>44</v>
      </c>
      <c r="C597" s="5">
        <v>0.57917600000000002</v>
      </c>
      <c r="D597" s="5">
        <v>0.60285714300000004</v>
      </c>
      <c r="E597">
        <v>5</v>
      </c>
      <c r="F597" s="2">
        <v>7.4203821656050959</v>
      </c>
      <c r="G597" s="3">
        <f t="shared" si="48"/>
        <v>43.245649816102144</v>
      </c>
      <c r="H597" s="3">
        <f t="shared" si="49"/>
        <v>9.8803229090113032</v>
      </c>
      <c r="I597" s="3">
        <f t="shared" si="45"/>
        <v>1976.0645818022608</v>
      </c>
      <c r="J597" s="5">
        <f t="shared" si="47"/>
        <v>9.949286250963528</v>
      </c>
      <c r="K597" s="5">
        <f t="shared" si="46"/>
        <v>1989.8572501927058</v>
      </c>
      <c r="L597">
        <v>5</v>
      </c>
    </row>
    <row r="598" spans="1:12" x14ac:dyDescent="0.3">
      <c r="A598" t="s">
        <v>99</v>
      </c>
      <c r="B598" t="s">
        <v>44</v>
      </c>
      <c r="C598" s="5">
        <v>0.57917600000000002</v>
      </c>
      <c r="D598" s="5">
        <v>0.60285714300000004</v>
      </c>
      <c r="E598">
        <v>7</v>
      </c>
      <c r="F598" s="2">
        <v>14.745222929936304</v>
      </c>
      <c r="G598" s="3">
        <f t="shared" si="48"/>
        <v>170.76252473665011</v>
      </c>
      <c r="H598" s="3">
        <f t="shared" si="49"/>
        <v>52.423672023124055</v>
      </c>
      <c r="I598" s="3">
        <f t="shared" si="45"/>
        <v>10484.734404624811</v>
      </c>
      <c r="J598" s="5">
        <f t="shared" si="47"/>
        <v>14.312529181711223</v>
      </c>
      <c r="K598" s="5">
        <f t="shared" si="46"/>
        <v>2862.5058363422445</v>
      </c>
      <c r="L598">
        <v>5</v>
      </c>
    </row>
    <row r="599" spans="1:12" x14ac:dyDescent="0.3">
      <c r="A599" t="s">
        <v>100</v>
      </c>
      <c r="B599" t="s">
        <v>70</v>
      </c>
      <c r="C599" s="5">
        <v>0.86</v>
      </c>
      <c r="D599" s="5">
        <v>0.65666666699999998</v>
      </c>
      <c r="E599">
        <v>6</v>
      </c>
      <c r="F599" s="2">
        <v>8.3757961783439487</v>
      </c>
      <c r="G599" s="3">
        <f t="shared" si="48"/>
        <v>55.098792612315002</v>
      </c>
      <c r="H599" s="3">
        <f t="shared" si="49"/>
        <v>16.254227161409638</v>
      </c>
      <c r="I599" s="3">
        <f t="shared" si="45"/>
        <v>3250.8454322819275</v>
      </c>
      <c r="J599" s="5">
        <f t="shared" si="47"/>
        <v>10.458933194044382</v>
      </c>
      <c r="K599" s="5">
        <f t="shared" si="46"/>
        <v>2091.7866388088764</v>
      </c>
      <c r="L599">
        <v>5</v>
      </c>
    </row>
    <row r="600" spans="1:12" x14ac:dyDescent="0.3">
      <c r="A600" t="s">
        <v>100</v>
      </c>
      <c r="B600" t="s">
        <v>70</v>
      </c>
      <c r="C600" s="5">
        <v>0.86</v>
      </c>
      <c r="D600" s="5">
        <v>0.65666666699999998</v>
      </c>
      <c r="E600" s="1">
        <v>6.5</v>
      </c>
      <c r="F600" s="2">
        <v>7.1656050955414008</v>
      </c>
      <c r="G600" s="3">
        <f t="shared" si="48"/>
        <v>40.326972718970154</v>
      </c>
      <c r="H600" s="3">
        <f t="shared" si="49"/>
        <v>12.959874470230938</v>
      </c>
      <c r="I600" s="3">
        <f t="shared" si="45"/>
        <v>2591.9748940461877</v>
      </c>
      <c r="J600" s="5">
        <f t="shared" si="47"/>
        <v>10.153819142764412</v>
      </c>
      <c r="K600" s="5">
        <f t="shared" si="46"/>
        <v>2030.7638285528824</v>
      </c>
      <c r="L600">
        <v>5</v>
      </c>
    </row>
    <row r="601" spans="1:12" x14ac:dyDescent="0.3">
      <c r="A601" t="s">
        <v>100</v>
      </c>
      <c r="B601" t="s">
        <v>55</v>
      </c>
      <c r="C601" s="5">
        <v>0.41</v>
      </c>
      <c r="D601" s="5">
        <v>0.33983503399999998</v>
      </c>
      <c r="E601">
        <v>6</v>
      </c>
      <c r="F601" s="2">
        <v>5.2547770700636942</v>
      </c>
      <c r="G601" s="3">
        <f t="shared" si="48"/>
        <v>21.68694977331284</v>
      </c>
      <c r="H601" s="3">
        <f t="shared" si="49"/>
        <v>3.4397777572366404</v>
      </c>
      <c r="I601" s="3">
        <f t="shared" si="45"/>
        <v>687.95555144732805</v>
      </c>
      <c r="J601" s="5">
        <f t="shared" si="47"/>
        <v>9.5655663231774106</v>
      </c>
      <c r="K601" s="5">
        <f t="shared" si="46"/>
        <v>1913.1132646354822</v>
      </c>
      <c r="L601">
        <v>5</v>
      </c>
    </row>
    <row r="602" spans="1:12" x14ac:dyDescent="0.3">
      <c r="A602" t="s">
        <v>100</v>
      </c>
      <c r="B602" t="s">
        <v>91</v>
      </c>
      <c r="C602" s="5">
        <v>0.60413333300000005</v>
      </c>
      <c r="D602" s="5">
        <v>0.60831666699999998</v>
      </c>
      <c r="E602">
        <v>10</v>
      </c>
      <c r="F602" s="2">
        <v>21.146496815286625</v>
      </c>
      <c r="G602" s="3">
        <f t="shared" si="48"/>
        <v>351.20989558327051</v>
      </c>
      <c r="H602" s="3">
        <f t="shared" si="49"/>
        <v>151.42273445988104</v>
      </c>
      <c r="I602" s="3">
        <f t="shared" si="45"/>
        <v>30284.546891976206</v>
      </c>
      <c r="J602" s="5">
        <f t="shared" si="47"/>
        <v>24.63680146456246</v>
      </c>
      <c r="K602" s="5">
        <f t="shared" si="46"/>
        <v>4927.3602929124918</v>
      </c>
      <c r="L602">
        <v>5</v>
      </c>
    </row>
    <row r="603" spans="1:12" x14ac:dyDescent="0.3">
      <c r="A603" t="s">
        <v>100</v>
      </c>
      <c r="B603" t="s">
        <v>65</v>
      </c>
      <c r="C603" s="5">
        <v>0.55560299999999996</v>
      </c>
      <c r="D603" s="5">
        <v>0.55961111100000005</v>
      </c>
      <c r="E603">
        <v>3</v>
      </c>
      <c r="F603" s="2">
        <v>6.1783439490445851</v>
      </c>
      <c r="G603" s="3">
        <f t="shared" si="48"/>
        <v>29.980166819776009</v>
      </c>
      <c r="H603" s="3">
        <f t="shared" si="49"/>
        <v>3.9030558833443703</v>
      </c>
      <c r="I603" s="3">
        <f t="shared" si="45"/>
        <v>780.61117666887401</v>
      </c>
      <c r="J603" s="5">
        <f t="shared" si="47"/>
        <v>9.3865053065033059</v>
      </c>
      <c r="K603" s="5">
        <f t="shared" si="46"/>
        <v>1877.3010613006613</v>
      </c>
      <c r="L603">
        <v>5</v>
      </c>
    </row>
    <row r="604" spans="1:12" x14ac:dyDescent="0.3">
      <c r="A604" t="s">
        <v>100</v>
      </c>
      <c r="B604" t="s">
        <v>65</v>
      </c>
      <c r="C604" s="5">
        <v>0.55560299999999996</v>
      </c>
      <c r="D604" s="5">
        <v>0.55961111100000005</v>
      </c>
      <c r="E604">
        <v>4</v>
      </c>
      <c r="F604" s="2">
        <v>8.1210191082802545</v>
      </c>
      <c r="G604" s="3">
        <f t="shared" si="48"/>
        <v>51.79775607014389</v>
      </c>
      <c r="H604" s="3">
        <f t="shared" si="49"/>
        <v>8.8129728418816438</v>
      </c>
      <c r="I604" s="3">
        <f t="shared" si="45"/>
        <v>1762.5945683763287</v>
      </c>
      <c r="J604" s="5">
        <f t="shared" si="47"/>
        <v>9.9090133189987419</v>
      </c>
      <c r="K604" s="5">
        <f t="shared" si="46"/>
        <v>1981.8026637997486</v>
      </c>
      <c r="L604">
        <v>5</v>
      </c>
    </row>
    <row r="605" spans="1:12" x14ac:dyDescent="0.3">
      <c r="A605" t="s">
        <v>100</v>
      </c>
      <c r="B605" t="s">
        <v>51</v>
      </c>
      <c r="C605" s="5">
        <v>0.39984676499999999</v>
      </c>
      <c r="D605" s="5">
        <v>0.450333333</v>
      </c>
      <c r="E605">
        <v>11</v>
      </c>
      <c r="F605" s="2">
        <v>27.898089171974519</v>
      </c>
      <c r="G605" s="3">
        <f t="shared" si="48"/>
        <v>611.27804478404812</v>
      </c>
      <c r="H605" s="3">
        <f t="shared" si="49"/>
        <v>212.82612750493516</v>
      </c>
      <c r="I605" s="3">
        <f t="shared" si="45"/>
        <v>42565.225500987035</v>
      </c>
      <c r="J605" s="5">
        <f t="shared" si="47"/>
        <v>38.950380108726513</v>
      </c>
      <c r="K605" s="5">
        <f t="shared" si="46"/>
        <v>7790.0760217453035</v>
      </c>
      <c r="L605">
        <v>5</v>
      </c>
    </row>
    <row r="606" spans="1:12" x14ac:dyDescent="0.3">
      <c r="A606" t="s">
        <v>100</v>
      </c>
      <c r="B606" t="s">
        <v>51</v>
      </c>
      <c r="C606" s="5">
        <v>0.39984676499999999</v>
      </c>
      <c r="D606" s="5">
        <v>0.450333333</v>
      </c>
      <c r="E606">
        <v>7</v>
      </c>
      <c r="F606" s="2">
        <v>11.656050955414013</v>
      </c>
      <c r="G606" s="3">
        <f t="shared" si="48"/>
        <v>106.70696212429367</v>
      </c>
      <c r="H606" s="3">
        <f t="shared" si="49"/>
        <v>24.922317970782839</v>
      </c>
      <c r="I606" s="3">
        <f t="shared" si="45"/>
        <v>4984.4635941565675</v>
      </c>
      <c r="J606" s="5">
        <f t="shared" si="47"/>
        <v>12.314356334942595</v>
      </c>
      <c r="K606" s="5">
        <f t="shared" si="46"/>
        <v>2462.871266988519</v>
      </c>
      <c r="L606">
        <v>5</v>
      </c>
    </row>
    <row r="607" spans="1:12" x14ac:dyDescent="0.3">
      <c r="A607" t="s">
        <v>100</v>
      </c>
      <c r="B607" t="s">
        <v>51</v>
      </c>
      <c r="C607" s="5">
        <v>0.39984676499999999</v>
      </c>
      <c r="D607" s="5">
        <v>0.450333333</v>
      </c>
      <c r="E607">
        <v>8</v>
      </c>
      <c r="F607" s="2">
        <v>23.216560509554142</v>
      </c>
      <c r="G607" s="3">
        <f t="shared" si="48"/>
        <v>423.33642881466125</v>
      </c>
      <c r="H607" s="3">
        <f t="shared" si="49"/>
        <v>108.9726794278079</v>
      </c>
      <c r="I607" s="3">
        <f t="shared" si="45"/>
        <v>21794.535885561581</v>
      </c>
      <c r="J607" s="5">
        <f t="shared" si="47"/>
        <v>24.077943093026089</v>
      </c>
      <c r="K607" s="5">
        <f t="shared" si="46"/>
        <v>4815.5886186052176</v>
      </c>
      <c r="L607">
        <v>5</v>
      </c>
    </row>
    <row r="608" spans="1:12" x14ac:dyDescent="0.3">
      <c r="A608" t="s">
        <v>100</v>
      </c>
      <c r="B608" t="s">
        <v>51</v>
      </c>
      <c r="C608" s="5">
        <v>0.39984676499999999</v>
      </c>
      <c r="D608" s="5">
        <v>0.450333333</v>
      </c>
      <c r="E608" s="1">
        <v>7.5</v>
      </c>
      <c r="F608" s="2">
        <v>45.06369426751592</v>
      </c>
      <c r="G608" s="3">
        <f t="shared" si="48"/>
        <v>1594.9367496738769</v>
      </c>
      <c r="H608" s="3">
        <f t="shared" si="49"/>
        <v>373.41695274956243</v>
      </c>
      <c r="I608" s="3">
        <f t="shared" si="45"/>
        <v>74683.390549912496</v>
      </c>
      <c r="J608" s="5">
        <f t="shared" si="47"/>
        <v>62.292534202198866</v>
      </c>
      <c r="K608" s="5">
        <f t="shared" si="46"/>
        <v>12458.506840439773</v>
      </c>
      <c r="L608">
        <v>5</v>
      </c>
    </row>
    <row r="609" spans="1:12" x14ac:dyDescent="0.3">
      <c r="A609" t="s">
        <v>100</v>
      </c>
      <c r="B609" t="s">
        <v>51</v>
      </c>
      <c r="C609" s="5">
        <v>0.39984676499999999</v>
      </c>
      <c r="D609" s="5">
        <v>0.450333333</v>
      </c>
      <c r="E609" s="1">
        <v>7.5</v>
      </c>
      <c r="F609" s="2">
        <v>27.229299363057322</v>
      </c>
      <c r="G609" s="3">
        <f t="shared" si="48"/>
        <v>582.32148606192902</v>
      </c>
      <c r="H609" s="3">
        <f t="shared" si="49"/>
        <v>139.67391806329971</v>
      </c>
      <c r="I609" s="3">
        <f t="shared" si="45"/>
        <v>27934.78361265994</v>
      </c>
      <c r="J609" s="5">
        <f t="shared" si="47"/>
        <v>28.44836202482859</v>
      </c>
      <c r="K609" s="5">
        <f t="shared" si="46"/>
        <v>5689.6724049657187</v>
      </c>
      <c r="L609">
        <v>5</v>
      </c>
    </row>
    <row r="610" spans="1:12" x14ac:dyDescent="0.3">
      <c r="A610" t="s">
        <v>100</v>
      </c>
      <c r="B610" t="s">
        <v>51</v>
      </c>
      <c r="C610" s="5">
        <v>0.39984676499999999</v>
      </c>
      <c r="D610" s="5">
        <v>0.450333333</v>
      </c>
      <c r="E610">
        <v>8</v>
      </c>
      <c r="F610" s="2">
        <v>20</v>
      </c>
      <c r="G610" s="3">
        <f t="shared" si="48"/>
        <v>314.15926535897933</v>
      </c>
      <c r="H610" s="3">
        <f t="shared" si="49"/>
        <v>81.44993063537575</v>
      </c>
      <c r="I610" s="3">
        <f t="shared" si="45"/>
        <v>16289.986127075152</v>
      </c>
      <c r="J610" s="5">
        <f t="shared" si="47"/>
        <v>20.185700000000001</v>
      </c>
      <c r="K610" s="5">
        <f t="shared" si="46"/>
        <v>4037.1400000000003</v>
      </c>
      <c r="L610">
        <v>5</v>
      </c>
    </row>
    <row r="611" spans="1:12" x14ac:dyDescent="0.3">
      <c r="A611" t="s">
        <v>100</v>
      </c>
      <c r="B611" t="s">
        <v>51</v>
      </c>
      <c r="C611" s="5">
        <v>0.39984676499999999</v>
      </c>
      <c r="D611" s="5">
        <v>0.450333333</v>
      </c>
      <c r="E611" s="1">
        <v>7.5</v>
      </c>
      <c r="F611" s="2">
        <v>14.108280254777069</v>
      </c>
      <c r="G611" s="3">
        <f t="shared" si="48"/>
        <v>156.32845568642318</v>
      </c>
      <c r="H611" s="3">
        <f t="shared" si="49"/>
        <v>38.698803141352187</v>
      </c>
      <c r="I611" s="3">
        <f t="shared" si="45"/>
        <v>7739.7606282704382</v>
      </c>
      <c r="J611" s="5">
        <f t="shared" si="47"/>
        <v>14.210593758367478</v>
      </c>
      <c r="K611" s="5">
        <f t="shared" si="46"/>
        <v>2842.1187516734958</v>
      </c>
      <c r="L611">
        <v>5</v>
      </c>
    </row>
    <row r="612" spans="1:12" x14ac:dyDescent="0.3">
      <c r="A612" t="s">
        <v>100</v>
      </c>
      <c r="B612" t="s">
        <v>17</v>
      </c>
      <c r="C612" s="5">
        <v>0.43836446099999998</v>
      </c>
      <c r="D612" s="5">
        <v>0.58666666700000003</v>
      </c>
      <c r="E612">
        <v>4</v>
      </c>
      <c r="F612" s="2">
        <v>3.9171974522292996</v>
      </c>
      <c r="G612" s="3">
        <f t="shared" si="48"/>
        <v>12.051491758326906</v>
      </c>
      <c r="H612" s="3">
        <f t="shared" si="49"/>
        <v>2.2236362209381908</v>
      </c>
      <c r="I612" s="3">
        <f t="shared" si="45"/>
        <v>444.72724418763818</v>
      </c>
      <c r="J612" s="5">
        <f t="shared" si="47"/>
        <v>9.2005221023165245</v>
      </c>
      <c r="K612" s="5">
        <f t="shared" si="46"/>
        <v>1840.1044204633049</v>
      </c>
      <c r="L612">
        <v>5</v>
      </c>
    </row>
    <row r="613" spans="1:12" x14ac:dyDescent="0.3">
      <c r="A613" t="s">
        <v>100</v>
      </c>
      <c r="B613" t="s">
        <v>57</v>
      </c>
      <c r="C613" s="5">
        <v>0.693333333</v>
      </c>
      <c r="D613" s="5">
        <v>0.64166666699999997</v>
      </c>
      <c r="E613">
        <v>6</v>
      </c>
      <c r="F613" s="2">
        <v>6.8789808917197455</v>
      </c>
      <c r="G613" s="3">
        <f t="shared" si="48"/>
        <v>37.165338057802906</v>
      </c>
      <c r="H613" s="3">
        <f t="shared" si="49"/>
        <v>10.82110934846183</v>
      </c>
      <c r="I613" s="3">
        <f t="shared" si="45"/>
        <v>2164.221869692366</v>
      </c>
      <c r="J613" s="5">
        <f t="shared" si="47"/>
        <v>9.9794279402815533</v>
      </c>
      <c r="K613" s="5">
        <f t="shared" si="46"/>
        <v>1995.8855880563108</v>
      </c>
      <c r="L613">
        <v>5</v>
      </c>
    </row>
    <row r="614" spans="1:12" x14ac:dyDescent="0.3">
      <c r="A614" t="s">
        <v>100</v>
      </c>
      <c r="B614" t="s">
        <v>83</v>
      </c>
      <c r="C614" s="5">
        <v>0.77</v>
      </c>
      <c r="D614" s="5">
        <v>0.77</v>
      </c>
      <c r="E614">
        <v>6</v>
      </c>
      <c r="F614" s="2">
        <v>8.0573248407643305</v>
      </c>
      <c r="G614" s="3">
        <f t="shared" si="48"/>
        <v>50.988428578144408</v>
      </c>
      <c r="H614" s="3">
        <f t="shared" si="49"/>
        <v>17.603142986294174</v>
      </c>
      <c r="I614" s="3">
        <f t="shared" si="45"/>
        <v>3520.6285972588348</v>
      </c>
      <c r="J614" s="5">
        <f t="shared" si="47"/>
        <v>10.349030155381557</v>
      </c>
      <c r="K614" s="5">
        <f t="shared" si="46"/>
        <v>2069.8060310763112</v>
      </c>
      <c r="L614">
        <v>5</v>
      </c>
    </row>
    <row r="615" spans="1:12" x14ac:dyDescent="0.3">
      <c r="A615" t="s">
        <v>101</v>
      </c>
      <c r="B615" t="s">
        <v>21</v>
      </c>
      <c r="C615" s="5">
        <v>0.80908761900000004</v>
      </c>
      <c r="D615" s="5">
        <v>0.87473809499999999</v>
      </c>
      <c r="E615">
        <v>12</v>
      </c>
      <c r="F615" s="2">
        <v>82.22993630573248</v>
      </c>
      <c r="G615" s="3">
        <f t="shared" si="48"/>
        <v>5310.6757898029991</v>
      </c>
      <c r="H615" s="3">
        <f t="shared" si="49"/>
        <v>3653.4855825849695</v>
      </c>
      <c r="I615" s="3">
        <f t="shared" si="45"/>
        <v>608914.26376416162</v>
      </c>
      <c r="J615" s="5">
        <f t="shared" si="47"/>
        <v>292.97972184348248</v>
      </c>
      <c r="K615" s="5">
        <f t="shared" si="46"/>
        <v>48829.95364058041</v>
      </c>
      <c r="L615">
        <v>6</v>
      </c>
    </row>
    <row r="616" spans="1:12" x14ac:dyDescent="0.3">
      <c r="A616" t="s">
        <v>101</v>
      </c>
      <c r="B616" t="s">
        <v>34</v>
      </c>
      <c r="C616" s="5">
        <v>0.590536375</v>
      </c>
      <c r="D616" s="5">
        <v>0.61247410899999999</v>
      </c>
      <c r="E616">
        <v>7</v>
      </c>
      <c r="F616" s="2">
        <v>10.605095541401273</v>
      </c>
      <c r="G616" s="3">
        <f t="shared" si="48"/>
        <v>88.33220104363221</v>
      </c>
      <c r="H616" s="3">
        <f t="shared" si="49"/>
        <v>27.979042694914032</v>
      </c>
      <c r="I616" s="3">
        <f t="shared" si="45"/>
        <v>4663.1737824856718</v>
      </c>
      <c r="J616" s="5">
        <f t="shared" si="47"/>
        <v>11.741167260335104</v>
      </c>
      <c r="K616" s="5">
        <f t="shared" si="46"/>
        <v>1956.8612100558505</v>
      </c>
      <c r="L616">
        <v>6</v>
      </c>
    </row>
    <row r="617" spans="1:12" x14ac:dyDescent="0.3">
      <c r="A617" t="s">
        <v>101</v>
      </c>
      <c r="B617" t="s">
        <v>34</v>
      </c>
      <c r="C617" s="5">
        <v>0.590536375</v>
      </c>
      <c r="D617" s="5">
        <v>0.61247410899999999</v>
      </c>
      <c r="E617">
        <v>8</v>
      </c>
      <c r="F617" s="2">
        <v>11.656050955414013</v>
      </c>
      <c r="G617" s="3">
        <f t="shared" si="48"/>
        <v>106.70696212429367</v>
      </c>
      <c r="H617" s="3">
        <f t="shared" si="49"/>
        <v>38.329832916554771</v>
      </c>
      <c r="I617" s="3">
        <f t="shared" si="45"/>
        <v>6388.3054860924613</v>
      </c>
      <c r="J617" s="5">
        <f t="shared" si="47"/>
        <v>12.789878668505821</v>
      </c>
      <c r="K617" s="5">
        <f t="shared" si="46"/>
        <v>2131.6464447509702</v>
      </c>
      <c r="L617">
        <v>6</v>
      </c>
    </row>
    <row r="618" spans="1:12" x14ac:dyDescent="0.3">
      <c r="A618" t="s">
        <v>101</v>
      </c>
      <c r="B618" t="s">
        <v>34</v>
      </c>
      <c r="C618" s="5">
        <v>0.590536375</v>
      </c>
      <c r="D618" s="5">
        <v>0.61247410899999999</v>
      </c>
      <c r="E618">
        <v>11</v>
      </c>
      <c r="F618" s="2">
        <v>16.65605095541401</v>
      </c>
      <c r="G618" s="3">
        <f t="shared" si="48"/>
        <v>217.88832633772219</v>
      </c>
      <c r="H618" s="3">
        <f t="shared" si="49"/>
        <v>104.98338640583005</v>
      </c>
      <c r="I618" s="3">
        <f t="shared" si="45"/>
        <v>17497.231067638342</v>
      </c>
      <c r="J618" s="5">
        <f t="shared" si="47"/>
        <v>19.666525287029899</v>
      </c>
      <c r="K618" s="5">
        <f t="shared" si="46"/>
        <v>3277.7542145049829</v>
      </c>
      <c r="L618">
        <v>6</v>
      </c>
    </row>
    <row r="619" spans="1:12" x14ac:dyDescent="0.3">
      <c r="A619" t="s">
        <v>101</v>
      </c>
      <c r="B619" t="s">
        <v>34</v>
      </c>
      <c r="C619" s="5">
        <v>0.590536375</v>
      </c>
      <c r="D619" s="5">
        <v>0.61247410899999999</v>
      </c>
      <c r="E619">
        <v>11</v>
      </c>
      <c r="F619" s="2">
        <v>17.32484076433121</v>
      </c>
      <c r="G619" s="3">
        <f t="shared" si="48"/>
        <v>235.73734318145486</v>
      </c>
      <c r="H619" s="3">
        <f t="shared" si="49"/>
        <v>113.36900449229465</v>
      </c>
      <c r="I619" s="3">
        <f t="shared" si="45"/>
        <v>18894.83408204911</v>
      </c>
      <c r="J619" s="5">
        <f t="shared" si="47"/>
        <v>20.54147913911315</v>
      </c>
      <c r="K619" s="5">
        <f t="shared" si="46"/>
        <v>3423.5798565188584</v>
      </c>
      <c r="L619">
        <v>6</v>
      </c>
    </row>
    <row r="620" spans="1:12" x14ac:dyDescent="0.3">
      <c r="A620" t="s">
        <v>101</v>
      </c>
      <c r="B620" t="s">
        <v>34</v>
      </c>
      <c r="C620" s="5">
        <v>0.590536375</v>
      </c>
      <c r="D620" s="5">
        <v>0.61247410899999999</v>
      </c>
      <c r="E620">
        <v>10</v>
      </c>
      <c r="F620" s="2">
        <v>19.904458598726112</v>
      </c>
      <c r="G620" s="3">
        <f t="shared" si="48"/>
        <v>311.16491295501663</v>
      </c>
      <c r="H620" s="3">
        <f t="shared" si="49"/>
        <v>135.44526086930338</v>
      </c>
      <c r="I620" s="3">
        <f t="shared" si="45"/>
        <v>22574.210144883895</v>
      </c>
      <c r="J620" s="5">
        <f t="shared" si="47"/>
        <v>22.85226152379407</v>
      </c>
      <c r="K620" s="5">
        <f t="shared" si="46"/>
        <v>3808.7102539656785</v>
      </c>
      <c r="L620">
        <v>6</v>
      </c>
    </row>
    <row r="621" spans="1:12" x14ac:dyDescent="0.3">
      <c r="A621" t="s">
        <v>101</v>
      </c>
      <c r="B621" t="s">
        <v>34</v>
      </c>
      <c r="C621" s="5">
        <v>0.590536375</v>
      </c>
      <c r="D621" s="5">
        <v>0.61247410899999999</v>
      </c>
      <c r="E621">
        <v>7</v>
      </c>
      <c r="F621" s="2">
        <v>36.136942675159233</v>
      </c>
      <c r="G621" s="3">
        <f t="shared" si="48"/>
        <v>1025.634674407926</v>
      </c>
      <c r="H621" s="3">
        <f t="shared" si="49"/>
        <v>306.30178399601749</v>
      </c>
      <c r="I621" s="3">
        <f t="shared" si="45"/>
        <v>51050.297332669579</v>
      </c>
      <c r="J621" s="5">
        <f t="shared" si="47"/>
        <v>40.979726334739745</v>
      </c>
      <c r="K621" s="5">
        <f t="shared" si="46"/>
        <v>6829.9543891232906</v>
      </c>
      <c r="L621">
        <v>6</v>
      </c>
    </row>
    <row r="622" spans="1:12" x14ac:dyDescent="0.3">
      <c r="A622" t="s">
        <v>101</v>
      </c>
      <c r="B622" t="s">
        <v>34</v>
      </c>
      <c r="C622" s="5">
        <v>0.590536375</v>
      </c>
      <c r="D622" s="5">
        <v>0.61247410899999999</v>
      </c>
      <c r="E622">
        <v>8</v>
      </c>
      <c r="F622" s="2">
        <v>43.436305732484072</v>
      </c>
      <c r="G622" s="3">
        <f t="shared" si="48"/>
        <v>1481.820654634372</v>
      </c>
      <c r="H622" s="3">
        <f t="shared" si="49"/>
        <v>499.70919954598992</v>
      </c>
      <c r="I622" s="3">
        <f t="shared" si="45"/>
        <v>83284.866590998325</v>
      </c>
      <c r="J622" s="5">
        <f t="shared" si="47"/>
        <v>61.813654359203206</v>
      </c>
      <c r="K622" s="5">
        <f t="shared" si="46"/>
        <v>10302.275726533868</v>
      </c>
      <c r="L622">
        <v>6</v>
      </c>
    </row>
    <row r="623" spans="1:12" x14ac:dyDescent="0.3">
      <c r="A623" t="s">
        <v>101</v>
      </c>
      <c r="B623" t="s">
        <v>34</v>
      </c>
      <c r="C623" s="5">
        <v>0.590536375</v>
      </c>
      <c r="D623" s="5">
        <v>0.61247410899999999</v>
      </c>
      <c r="E623">
        <v>8</v>
      </c>
      <c r="F623" s="2">
        <v>49.803184713375792</v>
      </c>
      <c r="G623" s="3">
        <f t="shared" si="48"/>
        <v>1948.0679954144443</v>
      </c>
      <c r="H623" s="3">
        <f t="shared" si="49"/>
        <v>652.64108356207942</v>
      </c>
      <c r="I623" s="3">
        <f t="shared" si="45"/>
        <v>108773.51392701325</v>
      </c>
      <c r="J623" s="5">
        <f t="shared" si="47"/>
        <v>78.435701812649583</v>
      </c>
      <c r="K623" s="5">
        <f t="shared" si="46"/>
        <v>13072.61696877493</v>
      </c>
      <c r="L623">
        <v>6</v>
      </c>
    </row>
    <row r="624" spans="1:12" x14ac:dyDescent="0.3">
      <c r="A624" t="s">
        <v>101</v>
      </c>
      <c r="B624" t="s">
        <v>102</v>
      </c>
      <c r="C624" s="5">
        <v>0.53168696000000004</v>
      </c>
      <c r="D624" s="5">
        <v>0.61247410899999999</v>
      </c>
      <c r="E624">
        <v>9</v>
      </c>
      <c r="F624" s="2">
        <v>17.101910828025478</v>
      </c>
      <c r="G624" s="3">
        <f t="shared" si="48"/>
        <v>229.70960584684852</v>
      </c>
      <c r="H624" s="3">
        <f t="shared" si="49"/>
        <v>90.877530080108329</v>
      </c>
      <c r="I624" s="3">
        <f t="shared" si="45"/>
        <v>15146.255013351389</v>
      </c>
      <c r="J624" s="5">
        <f t="shared" si="47"/>
        <v>18.198673650046654</v>
      </c>
      <c r="K624" s="5">
        <f t="shared" si="46"/>
        <v>3033.1122750077757</v>
      </c>
      <c r="L624">
        <v>6</v>
      </c>
    </row>
    <row r="625" spans="1:12" x14ac:dyDescent="0.3">
      <c r="A625" t="s">
        <v>101</v>
      </c>
      <c r="B625" t="s">
        <v>102</v>
      </c>
      <c r="C625" s="5">
        <v>0.53168696000000004</v>
      </c>
      <c r="D625" s="5">
        <v>0.61247410899999999</v>
      </c>
      <c r="E625">
        <v>13</v>
      </c>
      <c r="F625" s="2">
        <v>32.00636942675159</v>
      </c>
      <c r="G625" s="3">
        <f t="shared" si="48"/>
        <v>804.56791349092009</v>
      </c>
      <c r="H625" s="3">
        <f t="shared" si="49"/>
        <v>442.22458651182421</v>
      </c>
      <c r="I625" s="3">
        <f t="shared" si="45"/>
        <v>73704.097751970708</v>
      </c>
      <c r="J625" s="5">
        <f t="shared" si="47"/>
        <v>55.5962496166173</v>
      </c>
      <c r="K625" s="5">
        <f t="shared" si="46"/>
        <v>9266.0416027695501</v>
      </c>
      <c r="L625">
        <v>6</v>
      </c>
    </row>
    <row r="626" spans="1:12" x14ac:dyDescent="0.3">
      <c r="A626" t="s">
        <v>103</v>
      </c>
      <c r="B626" t="s">
        <v>21</v>
      </c>
      <c r="C626" s="5">
        <v>0.80908761900000004</v>
      </c>
      <c r="D626" s="5">
        <v>0.87473809499999999</v>
      </c>
      <c r="E626">
        <v>11</v>
      </c>
      <c r="F626" s="2">
        <v>21.178343949044585</v>
      </c>
      <c r="G626" s="3">
        <f t="shared" si="48"/>
        <v>352.26855329672253</v>
      </c>
      <c r="H626" s="3">
        <f t="shared" si="49"/>
        <v>237.59017153989205</v>
      </c>
      <c r="I626" s="3">
        <f t="shared" si="45"/>
        <v>39598.361923315344</v>
      </c>
      <c r="J626" s="5">
        <f t="shared" si="47"/>
        <v>26.253806718325286</v>
      </c>
      <c r="K626" s="5">
        <f t="shared" si="46"/>
        <v>4375.6344530542146</v>
      </c>
      <c r="L626">
        <v>6</v>
      </c>
    </row>
    <row r="627" spans="1:12" x14ac:dyDescent="0.3">
      <c r="A627" t="s">
        <v>103</v>
      </c>
      <c r="B627" t="s">
        <v>61</v>
      </c>
      <c r="C627" s="5">
        <v>0.62643652800000005</v>
      </c>
      <c r="D627" s="5">
        <v>0.57808694400000005</v>
      </c>
      <c r="E627">
        <v>4</v>
      </c>
      <c r="F627" s="2">
        <v>4.2038216560509554</v>
      </c>
      <c r="G627" s="3">
        <f t="shared" si="48"/>
        <v>13.879647854920218</v>
      </c>
      <c r="H627" s="3">
        <f t="shared" si="49"/>
        <v>2.5158490589046738</v>
      </c>
      <c r="I627" s="3">
        <f t="shared" si="45"/>
        <v>419.30817648411227</v>
      </c>
      <c r="J627" s="5">
        <f t="shared" si="47"/>
        <v>9.2331096312223622</v>
      </c>
      <c r="K627" s="5">
        <f t="shared" si="46"/>
        <v>1538.8516052037269</v>
      </c>
      <c r="L627">
        <v>6</v>
      </c>
    </row>
    <row r="628" spans="1:12" x14ac:dyDescent="0.3">
      <c r="A628" t="s">
        <v>103</v>
      </c>
      <c r="B628" t="s">
        <v>61</v>
      </c>
      <c r="C628" s="5">
        <v>0.62643652800000005</v>
      </c>
      <c r="D628" s="5">
        <v>0.57808694400000005</v>
      </c>
      <c r="E628" s="1">
        <v>4.5</v>
      </c>
      <c r="F628" s="2">
        <v>16.898089171974522</v>
      </c>
      <c r="G628" s="3">
        <f t="shared" si="48"/>
        <v>224.26684659986489</v>
      </c>
      <c r="H628" s="3">
        <f t="shared" si="49"/>
        <v>42.657440460861892</v>
      </c>
      <c r="I628" s="3">
        <f t="shared" si="45"/>
        <v>7109.5734101436492</v>
      </c>
      <c r="J628" s="5">
        <f t="shared" si="47"/>
        <v>13.483040328208041</v>
      </c>
      <c r="K628" s="5">
        <f t="shared" si="46"/>
        <v>2247.1733880346733</v>
      </c>
      <c r="L628">
        <v>6</v>
      </c>
    </row>
    <row r="629" spans="1:12" x14ac:dyDescent="0.3">
      <c r="A629" t="s">
        <v>103</v>
      </c>
      <c r="B629" t="s">
        <v>61</v>
      </c>
      <c r="C629" s="5">
        <v>0.62643652800000005</v>
      </c>
      <c r="D629" s="5">
        <v>0.57808694400000005</v>
      </c>
      <c r="E629" s="1">
        <v>5.5</v>
      </c>
      <c r="F629" s="2">
        <v>28.283439490445858</v>
      </c>
      <c r="G629" s="3">
        <f t="shared" si="48"/>
        <v>628.28157727075984</v>
      </c>
      <c r="H629" s="3">
        <f t="shared" si="49"/>
        <v>141.80948232728588</v>
      </c>
      <c r="I629" s="3">
        <f t="shared" si="45"/>
        <v>23634.91372121431</v>
      </c>
      <c r="J629" s="5">
        <f t="shared" si="47"/>
        <v>24.384794276136958</v>
      </c>
      <c r="K629" s="5">
        <f t="shared" si="46"/>
        <v>4064.1323793561601</v>
      </c>
      <c r="L629">
        <v>6</v>
      </c>
    </row>
    <row r="630" spans="1:12" x14ac:dyDescent="0.3">
      <c r="A630" t="s">
        <v>103</v>
      </c>
      <c r="B630" t="s">
        <v>34</v>
      </c>
      <c r="C630" s="5">
        <v>0.590536375</v>
      </c>
      <c r="D630" s="5">
        <v>0.61247410899999999</v>
      </c>
      <c r="E630">
        <v>7</v>
      </c>
      <c r="F630" s="2">
        <v>19.108280254777068</v>
      </c>
      <c r="G630" s="3">
        <f t="shared" si="48"/>
        <v>286.76958377934329</v>
      </c>
      <c r="H630" s="3">
        <f t="shared" si="49"/>
        <v>88.302489536715541</v>
      </c>
      <c r="I630" s="3">
        <f t="shared" si="45"/>
        <v>14717.081589452589</v>
      </c>
      <c r="J630" s="5">
        <f t="shared" si="47"/>
        <v>17.931296170230027</v>
      </c>
      <c r="K630" s="5">
        <f t="shared" si="46"/>
        <v>2988.5493617050047</v>
      </c>
      <c r="L630">
        <v>6</v>
      </c>
    </row>
    <row r="631" spans="1:12" x14ac:dyDescent="0.3">
      <c r="A631" t="s">
        <v>103</v>
      </c>
      <c r="B631" t="s">
        <v>34</v>
      </c>
      <c r="C631" s="5">
        <v>0.590536375</v>
      </c>
      <c r="D631" s="5">
        <v>0.61247410899999999</v>
      </c>
      <c r="E631">
        <v>11</v>
      </c>
      <c r="F631" s="2">
        <v>26.656050955414013</v>
      </c>
      <c r="G631" s="3">
        <f t="shared" si="48"/>
        <v>558.06077927419665</v>
      </c>
      <c r="H631" s="3">
        <f t="shared" si="49"/>
        <v>262.88473881855384</v>
      </c>
      <c r="I631" s="3">
        <f t="shared" si="45"/>
        <v>43814.123136425645</v>
      </c>
      <c r="J631" s="5">
        <f t="shared" si="47"/>
        <v>36.341684522698692</v>
      </c>
      <c r="K631" s="5">
        <f t="shared" si="46"/>
        <v>6056.9474204497819</v>
      </c>
      <c r="L631">
        <v>6</v>
      </c>
    </row>
    <row r="632" spans="1:12" x14ac:dyDescent="0.3">
      <c r="A632" t="s">
        <v>103</v>
      </c>
      <c r="B632" t="s">
        <v>34</v>
      </c>
      <c r="C632" s="5">
        <v>0.590536375</v>
      </c>
      <c r="D632" s="5">
        <v>0.61247410899999999</v>
      </c>
      <c r="E632">
        <v>8</v>
      </c>
      <c r="F632" s="2">
        <v>37.680254777070061</v>
      </c>
      <c r="G632" s="3">
        <f t="shared" si="48"/>
        <v>1115.1095690797395</v>
      </c>
      <c r="H632" s="3">
        <f t="shared" si="49"/>
        <v>378.61927355031207</v>
      </c>
      <c r="I632" s="3">
        <f t="shared" si="45"/>
        <v>63103.212258385349</v>
      </c>
      <c r="J632" s="5">
        <f t="shared" si="47"/>
        <v>48.740144801817515</v>
      </c>
      <c r="K632" s="5">
        <f t="shared" si="46"/>
        <v>8123.3574669695854</v>
      </c>
      <c r="L632">
        <v>6</v>
      </c>
    </row>
    <row r="633" spans="1:12" x14ac:dyDescent="0.3">
      <c r="A633" t="s">
        <v>103</v>
      </c>
      <c r="B633" t="s">
        <v>34</v>
      </c>
      <c r="C633" s="5">
        <v>0.590536375</v>
      </c>
      <c r="D633" s="5">
        <v>0.61247410899999999</v>
      </c>
      <c r="E633">
        <v>9</v>
      </c>
      <c r="F633" s="2">
        <v>51.072611464968155</v>
      </c>
      <c r="G633" s="3">
        <f t="shared" si="48"/>
        <v>2048.6417128947664</v>
      </c>
      <c r="H633" s="3">
        <f t="shared" si="49"/>
        <v>769.0179644533215</v>
      </c>
      <c r="I633" s="3">
        <f t="shared" si="45"/>
        <v>128169.66074222025</v>
      </c>
      <c r="J633" s="5">
        <f t="shared" si="47"/>
        <v>91.150666718325283</v>
      </c>
      <c r="K633" s="5">
        <f t="shared" si="46"/>
        <v>15191.777786387547</v>
      </c>
      <c r="L633">
        <v>6</v>
      </c>
    </row>
    <row r="634" spans="1:12" x14ac:dyDescent="0.3">
      <c r="A634" t="s">
        <v>103</v>
      </c>
      <c r="B634" t="s">
        <v>68</v>
      </c>
      <c r="C634" s="5">
        <v>0.39</v>
      </c>
      <c r="D634" s="5">
        <v>0.28861111099999998</v>
      </c>
      <c r="E634">
        <v>5</v>
      </c>
      <c r="F634" s="2">
        <v>8.1210191082802545</v>
      </c>
      <c r="G634" s="3">
        <f t="shared" si="48"/>
        <v>51.79775607014389</v>
      </c>
      <c r="H634" s="3">
        <f t="shared" si="49"/>
        <v>5.7416283964780446</v>
      </c>
      <c r="I634" s="3">
        <f t="shared" si="45"/>
        <v>956.93806607967406</v>
      </c>
      <c r="J634" s="5">
        <f t="shared" si="47"/>
        <v>10.139841648748428</v>
      </c>
      <c r="K634" s="5">
        <f t="shared" si="46"/>
        <v>1689.9736081247381</v>
      </c>
      <c r="L634">
        <v>6</v>
      </c>
    </row>
    <row r="635" spans="1:12" x14ac:dyDescent="0.3">
      <c r="A635" t="s">
        <v>103</v>
      </c>
      <c r="B635" t="s">
        <v>68</v>
      </c>
      <c r="C635" s="5">
        <v>0.39</v>
      </c>
      <c r="D635" s="5">
        <v>0.28861111099999998</v>
      </c>
      <c r="E635">
        <v>6</v>
      </c>
      <c r="F635" s="2">
        <v>8.4713375796178347</v>
      </c>
      <c r="G635" s="3">
        <f t="shared" si="48"/>
        <v>56.362968527475616</v>
      </c>
      <c r="H635" s="3">
        <f t="shared" si="49"/>
        <v>7.4493520606772137</v>
      </c>
      <c r="I635" s="3">
        <f t="shared" si="45"/>
        <v>1241.5586767795355</v>
      </c>
      <c r="J635" s="5">
        <f t="shared" si="47"/>
        <v>10.492734768144752</v>
      </c>
      <c r="K635" s="5">
        <f t="shared" si="46"/>
        <v>1748.7891280241254</v>
      </c>
      <c r="L635">
        <v>6</v>
      </c>
    </row>
    <row r="636" spans="1:12" x14ac:dyDescent="0.3">
      <c r="A636" t="s">
        <v>103</v>
      </c>
      <c r="B636" t="s">
        <v>68</v>
      </c>
      <c r="C636" s="5">
        <v>0.39</v>
      </c>
      <c r="D636" s="5">
        <v>0.28861111099999998</v>
      </c>
      <c r="E636">
        <v>4</v>
      </c>
      <c r="F636" s="2">
        <v>8.6942675159235669</v>
      </c>
      <c r="G636" s="3">
        <f t="shared" si="48"/>
        <v>59.368473081918566</v>
      </c>
      <c r="H636" s="3">
        <f t="shared" si="49"/>
        <v>5.2756255543509862</v>
      </c>
      <c r="I636" s="3">
        <f t="shared" si="45"/>
        <v>879.27092572516437</v>
      </c>
      <c r="J636" s="5">
        <f t="shared" si="47"/>
        <v>10.043964026938212</v>
      </c>
      <c r="K636" s="5">
        <f t="shared" si="46"/>
        <v>1673.9940044897021</v>
      </c>
      <c r="L636">
        <v>6</v>
      </c>
    </row>
    <row r="637" spans="1:12" x14ac:dyDescent="0.3">
      <c r="A637" t="s">
        <v>103</v>
      </c>
      <c r="B637" t="s">
        <v>68</v>
      </c>
      <c r="C637" s="5">
        <v>0.39</v>
      </c>
      <c r="D637" s="5">
        <v>0.28861111099999998</v>
      </c>
      <c r="E637">
        <v>6</v>
      </c>
      <c r="F637" s="2">
        <v>8.7579617834394909</v>
      </c>
      <c r="G637" s="3">
        <f t="shared" si="48"/>
        <v>60.241527148091237</v>
      </c>
      <c r="H637" s="3">
        <f t="shared" si="49"/>
        <v>7.9492647871924085</v>
      </c>
      <c r="I637" s="3">
        <f t="shared" si="45"/>
        <v>1324.877464532068</v>
      </c>
      <c r="J637" s="5">
        <f t="shared" si="47"/>
        <v>10.596439786603918</v>
      </c>
      <c r="K637" s="5">
        <f t="shared" si="46"/>
        <v>1766.0732977673197</v>
      </c>
      <c r="L637">
        <v>6</v>
      </c>
    </row>
    <row r="638" spans="1:12" x14ac:dyDescent="0.3">
      <c r="A638" t="s">
        <v>103</v>
      </c>
      <c r="B638" t="s">
        <v>68</v>
      </c>
      <c r="C638" s="5">
        <v>0.39</v>
      </c>
      <c r="D638" s="5">
        <v>0.28861111099999998</v>
      </c>
      <c r="E638">
        <v>5</v>
      </c>
      <c r="F638" s="2">
        <v>9.2356687898089174</v>
      </c>
      <c r="G638" s="3">
        <f t="shared" si="48"/>
        <v>66.992561099563275</v>
      </c>
      <c r="H638" s="3">
        <f t="shared" si="49"/>
        <v>7.3802239551130695</v>
      </c>
      <c r="I638" s="3">
        <f t="shared" si="45"/>
        <v>1230.0373258521784</v>
      </c>
      <c r="J638" s="5">
        <f t="shared" si="47"/>
        <v>10.478407614913383</v>
      </c>
      <c r="K638" s="5">
        <f t="shared" si="46"/>
        <v>1746.4012691522305</v>
      </c>
      <c r="L638">
        <v>6</v>
      </c>
    </row>
    <row r="639" spans="1:12" x14ac:dyDescent="0.3">
      <c r="A639" t="s">
        <v>103</v>
      </c>
      <c r="B639" t="s">
        <v>68</v>
      </c>
      <c r="C639" s="5">
        <v>0.39</v>
      </c>
      <c r="D639" s="5">
        <v>0.28861111099999998</v>
      </c>
      <c r="E639">
        <v>3</v>
      </c>
      <c r="F639" s="2">
        <v>10.414012738853504</v>
      </c>
      <c r="G639" s="3">
        <f t="shared" si="48"/>
        <v>85.177735622059473</v>
      </c>
      <c r="H639" s="3">
        <f t="shared" si="49"/>
        <v>5.6668469382309388</v>
      </c>
      <c r="I639" s="3">
        <f t="shared" si="45"/>
        <v>944.47448970515643</v>
      </c>
      <c r="J639" s="5">
        <f t="shared" si="47"/>
        <v>10.124442443912532</v>
      </c>
      <c r="K639" s="5">
        <f t="shared" si="46"/>
        <v>1687.4070739854221</v>
      </c>
      <c r="L639">
        <v>6</v>
      </c>
    </row>
    <row r="640" spans="1:12" x14ac:dyDescent="0.3">
      <c r="A640" t="s">
        <v>103</v>
      </c>
      <c r="B640" t="s">
        <v>68</v>
      </c>
      <c r="C640" s="5">
        <v>0.39</v>
      </c>
      <c r="D640" s="5">
        <v>0.28861111099999998</v>
      </c>
      <c r="E640" s="1">
        <v>4.5</v>
      </c>
      <c r="F640" s="2">
        <v>10.923566878980891</v>
      </c>
      <c r="G640" s="3">
        <f t="shared" si="48"/>
        <v>93.717096561266558</v>
      </c>
      <c r="H640" s="3">
        <f t="shared" si="49"/>
        <v>9.240669985712147</v>
      </c>
      <c r="I640" s="3">
        <f t="shared" si="45"/>
        <v>1540.1116642853578</v>
      </c>
      <c r="J640" s="5">
        <f t="shared" si="47"/>
        <v>10.865057935413201</v>
      </c>
      <c r="K640" s="5">
        <f t="shared" si="46"/>
        <v>1810.8429892355334</v>
      </c>
      <c r="L640">
        <v>6</v>
      </c>
    </row>
    <row r="641" spans="1:12" x14ac:dyDescent="0.3">
      <c r="A641" t="s">
        <v>103</v>
      </c>
      <c r="B641" t="s">
        <v>68</v>
      </c>
      <c r="C641" s="5">
        <v>0.39</v>
      </c>
      <c r="D641" s="5">
        <v>0.28861111099999998</v>
      </c>
      <c r="E641">
        <v>5</v>
      </c>
      <c r="F641" s="2">
        <v>28.938853503184713</v>
      </c>
      <c r="G641" s="3">
        <f t="shared" si="48"/>
        <v>657.73737985257094</v>
      </c>
      <c r="H641" s="3">
        <f t="shared" si="49"/>
        <v>68.594115615264116</v>
      </c>
      <c r="I641" s="3">
        <f t="shared" si="45"/>
        <v>11432.352602544021</v>
      </c>
      <c r="J641" s="5">
        <f t="shared" si="47"/>
        <v>23.641201736378758</v>
      </c>
      <c r="K641" s="5">
        <f t="shared" si="46"/>
        <v>3940.2002893964595</v>
      </c>
      <c r="L641">
        <v>6</v>
      </c>
    </row>
    <row r="642" spans="1:12" x14ac:dyDescent="0.3">
      <c r="A642" t="s">
        <v>103</v>
      </c>
      <c r="B642" t="s">
        <v>68</v>
      </c>
      <c r="C642" s="5">
        <v>0.39</v>
      </c>
      <c r="D642" s="5">
        <v>0.28861111099999998</v>
      </c>
      <c r="E642" s="1">
        <v>4.8</v>
      </c>
      <c r="F642" s="2">
        <v>30.788535031847132</v>
      </c>
      <c r="G642" s="3">
        <f t="shared" si="48"/>
        <v>744.50553576267612</v>
      </c>
      <c r="H642" s="3">
        <f t="shared" si="49"/>
        <v>74.388777591164057</v>
      </c>
      <c r="I642" s="3">
        <f t="shared" ref="I642:I705" si="50">(H642*1000)/L642</f>
        <v>12398.129598527345</v>
      </c>
      <c r="J642" s="5">
        <f t="shared" si="47"/>
        <v>24.910989342042271</v>
      </c>
      <c r="K642" s="5">
        <f t="shared" ref="K642:K705" si="51">(J642*1000)/L642</f>
        <v>4151.8315570070454</v>
      </c>
      <c r="L642">
        <v>6</v>
      </c>
    </row>
    <row r="643" spans="1:12" x14ac:dyDescent="0.3">
      <c r="A643" t="s">
        <v>103</v>
      </c>
      <c r="B643" t="s">
        <v>104</v>
      </c>
      <c r="C643" s="5">
        <v>0.470857311</v>
      </c>
      <c r="D643" s="5">
        <v>0.375</v>
      </c>
      <c r="E643">
        <v>7</v>
      </c>
      <c r="F643" s="2">
        <v>6.7515923566878975</v>
      </c>
      <c r="G643" s="3">
        <f t="shared" si="48"/>
        <v>35.801589370496679</v>
      </c>
      <c r="H643" s="3">
        <f t="shared" si="49"/>
        <v>7.1793676876723653</v>
      </c>
      <c r="I643" s="3">
        <f t="shared" si="50"/>
        <v>1196.5612812787276</v>
      </c>
      <c r="J643" s="5">
        <f t="shared" ref="J643:J706" si="52">8.9857 + 0.0035 * F643^2 * E643</f>
        <v>10.102507984096718</v>
      </c>
      <c r="K643" s="5">
        <f t="shared" si="51"/>
        <v>1683.7513306827861</v>
      </c>
      <c r="L643">
        <v>6</v>
      </c>
    </row>
    <row r="644" spans="1:12" x14ac:dyDescent="0.3">
      <c r="A644" t="s">
        <v>105</v>
      </c>
      <c r="B644" t="s">
        <v>21</v>
      </c>
      <c r="C644" s="5">
        <v>0.80908761900000004</v>
      </c>
      <c r="D644" s="5">
        <v>0.87473809499999999</v>
      </c>
      <c r="E644">
        <v>8</v>
      </c>
      <c r="F644" s="2">
        <v>6.7515923566878975</v>
      </c>
      <c r="G644" s="3">
        <f t="shared" ref="G644:G707" si="53">PI()*(F644/2)^2</f>
        <v>35.801589370496679</v>
      </c>
      <c r="H644" s="3">
        <f t="shared" ref="H644:H707" si="54">0.0673 * ((D644 * F644^2 * E644)^0.976)</f>
        <v>18.694109687881372</v>
      </c>
      <c r="I644" s="3">
        <f t="shared" si="50"/>
        <v>3115.684947980229</v>
      </c>
      <c r="J644" s="5">
        <f t="shared" si="52"/>
        <v>10.26205198182482</v>
      </c>
      <c r="K644" s="5">
        <f t="shared" si="51"/>
        <v>1710.3419969708032</v>
      </c>
      <c r="L644">
        <v>6</v>
      </c>
    </row>
    <row r="645" spans="1:12" x14ac:dyDescent="0.3">
      <c r="A645" t="s">
        <v>105</v>
      </c>
      <c r="B645" t="s">
        <v>21</v>
      </c>
      <c r="C645" s="5">
        <v>0.80908761900000004</v>
      </c>
      <c r="D645" s="5">
        <v>0.87473809499999999</v>
      </c>
      <c r="E645">
        <v>9</v>
      </c>
      <c r="F645" s="2">
        <v>12.802547770700638</v>
      </c>
      <c r="G645" s="3">
        <f t="shared" si="53"/>
        <v>128.73086615854726</v>
      </c>
      <c r="H645" s="3">
        <f t="shared" si="54"/>
        <v>73.125913363358706</v>
      </c>
      <c r="I645" s="3">
        <f t="shared" si="50"/>
        <v>12187.65222722645</v>
      </c>
      <c r="J645" s="5">
        <f t="shared" si="52"/>
        <v>14.148714726763764</v>
      </c>
      <c r="K645" s="5">
        <f t="shared" si="51"/>
        <v>2358.119121127294</v>
      </c>
      <c r="L645">
        <v>6</v>
      </c>
    </row>
    <row r="646" spans="1:12" x14ac:dyDescent="0.3">
      <c r="A646" t="s">
        <v>105</v>
      </c>
      <c r="B646" t="s">
        <v>21</v>
      </c>
      <c r="C646" s="5">
        <v>0.80908761900000004</v>
      </c>
      <c r="D646" s="5">
        <v>0.87473809499999999</v>
      </c>
      <c r="E646">
        <v>10</v>
      </c>
      <c r="F646" s="2">
        <v>15.987261146496815</v>
      </c>
      <c r="G646" s="3">
        <f t="shared" si="53"/>
        <v>200.74189497424902</v>
      </c>
      <c r="H646" s="3">
        <f t="shared" si="54"/>
        <v>125.04174178630221</v>
      </c>
      <c r="I646" s="3">
        <f t="shared" si="50"/>
        <v>20840.290297717034</v>
      </c>
      <c r="J646" s="5">
        <f t="shared" si="52"/>
        <v>17.931438163820033</v>
      </c>
      <c r="K646" s="5">
        <f t="shared" si="51"/>
        <v>2988.5730273033387</v>
      </c>
      <c r="L646">
        <v>6</v>
      </c>
    </row>
    <row r="647" spans="1:12" x14ac:dyDescent="0.3">
      <c r="A647" t="s">
        <v>105</v>
      </c>
      <c r="B647" t="s">
        <v>21</v>
      </c>
      <c r="C647" s="5">
        <v>0.80908761900000004</v>
      </c>
      <c r="D647" s="5">
        <v>0.87473809499999999</v>
      </c>
      <c r="E647">
        <v>11</v>
      </c>
      <c r="F647" s="2">
        <v>24.076433121019104</v>
      </c>
      <c r="G647" s="3">
        <f t="shared" si="53"/>
        <v>455.27539120808535</v>
      </c>
      <c r="H647" s="3">
        <f t="shared" si="54"/>
        <v>305.17936447512142</v>
      </c>
      <c r="I647" s="3">
        <f t="shared" si="50"/>
        <v>50863.227412520238</v>
      </c>
      <c r="J647" s="5">
        <f t="shared" si="52"/>
        <v>31.303173325489873</v>
      </c>
      <c r="K647" s="5">
        <f t="shared" si="51"/>
        <v>5217.195554248312</v>
      </c>
      <c r="L647">
        <v>6</v>
      </c>
    </row>
    <row r="648" spans="1:12" x14ac:dyDescent="0.3">
      <c r="A648" t="s">
        <v>105</v>
      </c>
      <c r="B648" t="s">
        <v>21</v>
      </c>
      <c r="C648" s="5">
        <v>0.80908761900000004</v>
      </c>
      <c r="D648" s="5">
        <v>0.87473809499999999</v>
      </c>
      <c r="E648">
        <v>12</v>
      </c>
      <c r="F648" s="2">
        <v>77.064331210191085</v>
      </c>
      <c r="G648" s="3">
        <f t="shared" si="53"/>
        <v>4664.4099057647009</v>
      </c>
      <c r="H648" s="3">
        <f t="shared" si="54"/>
        <v>3218.8948622323383</v>
      </c>
      <c r="I648" s="3">
        <f t="shared" si="50"/>
        <v>536482.47703872307</v>
      </c>
      <c r="J648" s="5">
        <f t="shared" si="52"/>
        <v>258.41996808470935</v>
      </c>
      <c r="K648" s="5">
        <f t="shared" si="51"/>
        <v>43069.99468078489</v>
      </c>
      <c r="L648">
        <v>6</v>
      </c>
    </row>
    <row r="649" spans="1:12" x14ac:dyDescent="0.3">
      <c r="A649" t="s">
        <v>105</v>
      </c>
      <c r="B649" t="s">
        <v>21</v>
      </c>
      <c r="C649" s="5">
        <v>0.80908761900000004</v>
      </c>
      <c r="D649" s="5">
        <v>0.87473809499999999</v>
      </c>
      <c r="E649">
        <v>12</v>
      </c>
      <c r="F649" s="2">
        <v>77.108917197452229</v>
      </c>
      <c r="G649" s="3">
        <f t="shared" si="53"/>
        <v>4669.8087064208203</v>
      </c>
      <c r="H649" s="3">
        <f t="shared" si="54"/>
        <v>3222.5310907008184</v>
      </c>
      <c r="I649" s="3">
        <f t="shared" si="50"/>
        <v>537088.515116803</v>
      </c>
      <c r="J649" s="5">
        <f t="shared" si="52"/>
        <v>258.70867467726885</v>
      </c>
      <c r="K649" s="5">
        <f t="shared" si="51"/>
        <v>43118.112446211475</v>
      </c>
      <c r="L649">
        <v>6</v>
      </c>
    </row>
    <row r="650" spans="1:12" x14ac:dyDescent="0.3">
      <c r="A650" t="s">
        <v>105</v>
      </c>
      <c r="B650" t="s">
        <v>80</v>
      </c>
      <c r="C650" s="5">
        <v>0.6</v>
      </c>
      <c r="D650" s="5">
        <v>0.66674999999999995</v>
      </c>
      <c r="E650">
        <v>8</v>
      </c>
      <c r="F650" s="2">
        <v>8.4394904458598727</v>
      </c>
      <c r="G650" s="3">
        <f t="shared" si="53"/>
        <v>55.939983391401071</v>
      </c>
      <c r="H650" s="3">
        <f t="shared" si="54"/>
        <v>22.171142647711353</v>
      </c>
      <c r="I650" s="3">
        <f t="shared" si="50"/>
        <v>3695.1904412852255</v>
      </c>
      <c r="J650" s="5">
        <f t="shared" si="52"/>
        <v>10.979999971601281</v>
      </c>
      <c r="K650" s="5">
        <f t="shared" si="51"/>
        <v>1829.9999952668802</v>
      </c>
      <c r="L650">
        <v>6</v>
      </c>
    </row>
    <row r="651" spans="1:12" x14ac:dyDescent="0.3">
      <c r="A651" t="s">
        <v>105</v>
      </c>
      <c r="B651" t="s">
        <v>51</v>
      </c>
      <c r="C651" s="5">
        <v>0.39984676499999999</v>
      </c>
      <c r="D651" s="5">
        <v>0.450333333</v>
      </c>
      <c r="E651">
        <v>6</v>
      </c>
      <c r="F651" s="2">
        <v>7.7707006369426743</v>
      </c>
      <c r="G651" s="3">
        <f t="shared" si="53"/>
        <v>47.425316499686062</v>
      </c>
      <c r="H651" s="3">
        <f t="shared" si="54"/>
        <v>9.7166873380284784</v>
      </c>
      <c r="I651" s="3">
        <f t="shared" si="50"/>
        <v>1619.4478896714129</v>
      </c>
      <c r="J651" s="5">
        <f t="shared" si="52"/>
        <v>10.253759556168607</v>
      </c>
      <c r="K651" s="5">
        <f t="shared" si="51"/>
        <v>1708.9599260281011</v>
      </c>
      <c r="L651">
        <v>6</v>
      </c>
    </row>
    <row r="652" spans="1:12" x14ac:dyDescent="0.3">
      <c r="A652" t="s">
        <v>105</v>
      </c>
      <c r="B652" t="s">
        <v>51</v>
      </c>
      <c r="C652" s="5">
        <v>0.39984676499999999</v>
      </c>
      <c r="D652" s="5">
        <v>0.450333333</v>
      </c>
      <c r="E652">
        <v>7</v>
      </c>
      <c r="F652" s="2">
        <v>9.7133757961783438</v>
      </c>
      <c r="G652" s="3">
        <f t="shared" si="53"/>
        <v>74.102057030759482</v>
      </c>
      <c r="H652" s="3">
        <f t="shared" si="54"/>
        <v>17.459292479338561</v>
      </c>
      <c r="I652" s="3">
        <f t="shared" si="50"/>
        <v>2909.88207988976</v>
      </c>
      <c r="J652" s="5">
        <f t="shared" si="52"/>
        <v>11.29726689926569</v>
      </c>
      <c r="K652" s="5">
        <f t="shared" si="51"/>
        <v>1882.8778165442816</v>
      </c>
      <c r="L652">
        <v>6</v>
      </c>
    </row>
    <row r="653" spans="1:12" x14ac:dyDescent="0.3">
      <c r="A653" t="s">
        <v>105</v>
      </c>
      <c r="B653" t="s">
        <v>51</v>
      </c>
      <c r="C653" s="5">
        <v>0.39984676499999999</v>
      </c>
      <c r="D653" s="5">
        <v>0.450333333</v>
      </c>
      <c r="E653">
        <v>7</v>
      </c>
      <c r="F653" s="2">
        <v>13.439490445859873</v>
      </c>
      <c r="G653" s="3">
        <f t="shared" si="53"/>
        <v>141.85854043822386</v>
      </c>
      <c r="H653" s="3">
        <f t="shared" si="54"/>
        <v>32.906618648879373</v>
      </c>
      <c r="I653" s="3">
        <f t="shared" si="50"/>
        <v>5484.4364414798956</v>
      </c>
      <c r="J653" s="5">
        <f t="shared" si="52"/>
        <v>13.410887634386789</v>
      </c>
      <c r="K653" s="5">
        <f t="shared" si="51"/>
        <v>2235.1479390644649</v>
      </c>
      <c r="L653">
        <v>6</v>
      </c>
    </row>
    <row r="654" spans="1:12" x14ac:dyDescent="0.3">
      <c r="A654" t="s">
        <v>105</v>
      </c>
      <c r="B654" t="s">
        <v>51</v>
      </c>
      <c r="C654" s="5">
        <v>0.39984676499999999</v>
      </c>
      <c r="D654" s="5">
        <v>0.450333333</v>
      </c>
      <c r="E654">
        <v>7</v>
      </c>
      <c r="F654" s="2">
        <v>35.994904458598725</v>
      </c>
      <c r="G654" s="3">
        <f t="shared" si="53"/>
        <v>1017.5878940778152</v>
      </c>
      <c r="H654" s="3">
        <f t="shared" si="54"/>
        <v>225.14510444380736</v>
      </c>
      <c r="I654" s="3">
        <f t="shared" si="50"/>
        <v>37524.184073967896</v>
      </c>
      <c r="J654" s="5">
        <f t="shared" si="52"/>
        <v>40.72871210109944</v>
      </c>
      <c r="K654" s="5">
        <f t="shared" si="51"/>
        <v>6788.1186835165727</v>
      </c>
      <c r="L654">
        <v>6</v>
      </c>
    </row>
    <row r="655" spans="1:12" x14ac:dyDescent="0.3">
      <c r="A655" t="s">
        <v>105</v>
      </c>
      <c r="B655" t="s">
        <v>51</v>
      </c>
      <c r="C655" s="5">
        <v>0.39984676499999999</v>
      </c>
      <c r="D655" s="5">
        <v>0.450333333</v>
      </c>
      <c r="E655">
        <v>8</v>
      </c>
      <c r="F655" s="2">
        <v>54.08407643312102</v>
      </c>
      <c r="G655" s="3">
        <f t="shared" si="53"/>
        <v>2297.3582117511933</v>
      </c>
      <c r="H655" s="3">
        <f t="shared" si="54"/>
        <v>567.84743834262008</v>
      </c>
      <c r="I655" s="3">
        <f t="shared" si="50"/>
        <v>94641.239723770006</v>
      </c>
      <c r="J655" s="5">
        <f t="shared" si="52"/>
        <v>90.888145061462936</v>
      </c>
      <c r="K655" s="5">
        <f t="shared" si="51"/>
        <v>15148.02417691049</v>
      </c>
      <c r="L655">
        <v>6</v>
      </c>
    </row>
    <row r="656" spans="1:12" x14ac:dyDescent="0.3">
      <c r="A656" t="s">
        <v>105</v>
      </c>
      <c r="B656" t="s">
        <v>51</v>
      </c>
      <c r="C656" s="5">
        <v>0.39984676499999999</v>
      </c>
      <c r="D656" s="5">
        <v>0.450333333</v>
      </c>
      <c r="E656">
        <v>10</v>
      </c>
      <c r="F656" s="2">
        <v>66.27006369426752</v>
      </c>
      <c r="G656" s="3">
        <f t="shared" si="53"/>
        <v>3449.2498761933789</v>
      </c>
      <c r="H656" s="3">
        <f t="shared" si="54"/>
        <v>1049.7258241204129</v>
      </c>
      <c r="I656" s="3">
        <f t="shared" si="50"/>
        <v>174954.30402006881</v>
      </c>
      <c r="J656" s="5">
        <f t="shared" si="52"/>
        <v>162.6959469714796</v>
      </c>
      <c r="K656" s="5">
        <f t="shared" si="51"/>
        <v>27115.991161913265</v>
      </c>
      <c r="L656">
        <v>6</v>
      </c>
    </row>
    <row r="657" spans="1:12" x14ac:dyDescent="0.3">
      <c r="A657" t="s">
        <v>105</v>
      </c>
      <c r="B657" t="s">
        <v>34</v>
      </c>
      <c r="C657" s="5">
        <v>0.590536375</v>
      </c>
      <c r="D657" s="5">
        <v>0.61247410899999999</v>
      </c>
      <c r="E657">
        <v>8</v>
      </c>
      <c r="F657" s="2">
        <v>16.114649681528661</v>
      </c>
      <c r="G657" s="3">
        <f t="shared" si="53"/>
        <v>203.95371431257763</v>
      </c>
      <c r="H657" s="3">
        <f t="shared" si="54"/>
        <v>72.131282875153943</v>
      </c>
      <c r="I657" s="3">
        <f t="shared" si="50"/>
        <v>12021.880479192325</v>
      </c>
      <c r="J657" s="5">
        <f t="shared" si="52"/>
        <v>16.256794162034971</v>
      </c>
      <c r="K657" s="5">
        <f t="shared" si="51"/>
        <v>2709.4656936724955</v>
      </c>
      <c r="L657">
        <v>6</v>
      </c>
    </row>
    <row r="658" spans="1:12" x14ac:dyDescent="0.3">
      <c r="A658" t="s">
        <v>105</v>
      </c>
      <c r="B658" t="s">
        <v>34</v>
      </c>
      <c r="C658" s="5">
        <v>0.590536375</v>
      </c>
      <c r="D658" s="5">
        <v>0.61247410899999999</v>
      </c>
      <c r="E658">
        <v>11</v>
      </c>
      <c r="F658" s="2">
        <v>75.277070063694268</v>
      </c>
      <c r="G658" s="3">
        <f t="shared" si="53"/>
        <v>4450.5665102893199</v>
      </c>
      <c r="H658" s="3">
        <f t="shared" si="54"/>
        <v>1994.6080074118768</v>
      </c>
      <c r="I658" s="3">
        <f t="shared" si="50"/>
        <v>332434.66790197947</v>
      </c>
      <c r="J658" s="5">
        <f t="shared" si="52"/>
        <v>227.15123517891195</v>
      </c>
      <c r="K658" s="5">
        <f t="shared" si="51"/>
        <v>37858.539196485326</v>
      </c>
      <c r="L658">
        <v>6</v>
      </c>
    </row>
    <row r="659" spans="1:12" x14ac:dyDescent="0.3">
      <c r="A659" t="s">
        <v>105</v>
      </c>
      <c r="B659" t="s">
        <v>102</v>
      </c>
      <c r="C659" s="5">
        <v>0.53168696000000004</v>
      </c>
      <c r="D659" s="5">
        <v>0.61247410899999999</v>
      </c>
      <c r="E659">
        <v>8</v>
      </c>
      <c r="F659" s="2">
        <v>10.923566878980891</v>
      </c>
      <c r="G659" s="3">
        <f t="shared" si="53"/>
        <v>93.717096561266558</v>
      </c>
      <c r="H659" s="3">
        <f t="shared" si="54"/>
        <v>33.768826579627209</v>
      </c>
      <c r="I659" s="3">
        <f t="shared" si="50"/>
        <v>5628.1377632712019</v>
      </c>
      <c r="J659" s="5">
        <f t="shared" si="52"/>
        <v>12.326780774067913</v>
      </c>
      <c r="K659" s="5">
        <f t="shared" si="51"/>
        <v>2054.4634623446523</v>
      </c>
      <c r="L659">
        <v>6</v>
      </c>
    </row>
    <row r="660" spans="1:12" x14ac:dyDescent="0.3">
      <c r="A660" t="s">
        <v>105</v>
      </c>
      <c r="B660" t="s">
        <v>68</v>
      </c>
      <c r="C660" s="5">
        <v>0.39</v>
      </c>
      <c r="D660" s="5">
        <v>0.28861111099999998</v>
      </c>
      <c r="E660" s="1">
        <v>2.8</v>
      </c>
      <c r="F660" s="2">
        <v>4.6496815286624198</v>
      </c>
      <c r="G660" s="3">
        <f t="shared" si="53"/>
        <v>16.979945688445781</v>
      </c>
      <c r="H660" s="3">
        <f t="shared" si="54"/>
        <v>1.0977841037398965</v>
      </c>
      <c r="I660" s="3">
        <f t="shared" si="50"/>
        <v>182.96401728998276</v>
      </c>
      <c r="J660" s="5">
        <f t="shared" si="52"/>
        <v>9.1975714755162485</v>
      </c>
      <c r="K660" s="5">
        <f t="shared" si="51"/>
        <v>1532.928579252708</v>
      </c>
      <c r="L660">
        <v>6</v>
      </c>
    </row>
    <row r="661" spans="1:12" x14ac:dyDescent="0.3">
      <c r="A661" t="s">
        <v>105</v>
      </c>
      <c r="B661" t="s">
        <v>68</v>
      </c>
      <c r="C661" s="5">
        <v>0.39</v>
      </c>
      <c r="D661" s="5">
        <v>0.28861111099999998</v>
      </c>
      <c r="E661" s="1">
        <v>4.8</v>
      </c>
      <c r="F661" s="2">
        <v>7.8343949044585992</v>
      </c>
      <c r="G661" s="3">
        <f t="shared" si="53"/>
        <v>48.205967033307623</v>
      </c>
      <c r="H661" s="3">
        <f t="shared" si="54"/>
        <v>5.1436416159522453</v>
      </c>
      <c r="I661" s="3">
        <f t="shared" si="50"/>
        <v>857.27360265870755</v>
      </c>
      <c r="J661" s="5">
        <f t="shared" si="52"/>
        <v>10.016846091119316</v>
      </c>
      <c r="K661" s="5">
        <f t="shared" si="51"/>
        <v>1669.474348519886</v>
      </c>
      <c r="L661">
        <v>6</v>
      </c>
    </row>
    <row r="662" spans="1:12" x14ac:dyDescent="0.3">
      <c r="A662" t="s">
        <v>105</v>
      </c>
      <c r="B662" t="s">
        <v>68</v>
      </c>
      <c r="C662" s="5">
        <v>0.39</v>
      </c>
      <c r="D662" s="5">
        <v>0.28861111099999998</v>
      </c>
      <c r="E662" s="1">
        <v>4.5</v>
      </c>
      <c r="F662" s="2">
        <v>7.8343949044585992</v>
      </c>
      <c r="G662" s="3">
        <f t="shared" si="53"/>
        <v>48.205967033307623</v>
      </c>
      <c r="H662" s="3">
        <f t="shared" si="54"/>
        <v>4.8296389705527076</v>
      </c>
      <c r="I662" s="3">
        <f t="shared" si="50"/>
        <v>804.9398284254512</v>
      </c>
      <c r="J662" s="5">
        <f t="shared" si="52"/>
        <v>9.952399460424358</v>
      </c>
      <c r="K662" s="5">
        <f t="shared" si="51"/>
        <v>1658.7332434040597</v>
      </c>
      <c r="L662">
        <v>6</v>
      </c>
    </row>
    <row r="663" spans="1:12" x14ac:dyDescent="0.3">
      <c r="A663" t="s">
        <v>105</v>
      </c>
      <c r="B663" t="s">
        <v>68</v>
      </c>
      <c r="C663" s="5">
        <v>0.39</v>
      </c>
      <c r="D663" s="5">
        <v>0.28861111099999998</v>
      </c>
      <c r="E663">
        <v>2</v>
      </c>
      <c r="F663" s="2">
        <v>8.3439490445859867</v>
      </c>
      <c r="G663" s="3">
        <f t="shared" si="53"/>
        <v>54.680586969303455</v>
      </c>
      <c r="H663" s="3">
        <f t="shared" si="54"/>
        <v>2.4751602459119386</v>
      </c>
      <c r="I663" s="3">
        <f t="shared" si="50"/>
        <v>412.52670765198974</v>
      </c>
      <c r="J663" s="5">
        <f t="shared" si="52"/>
        <v>9.473050399610532</v>
      </c>
      <c r="K663" s="5">
        <f t="shared" si="51"/>
        <v>1578.8417332684221</v>
      </c>
      <c r="L663">
        <v>6</v>
      </c>
    </row>
    <row r="664" spans="1:12" x14ac:dyDescent="0.3">
      <c r="A664" t="s">
        <v>105</v>
      </c>
      <c r="B664" t="s">
        <v>68</v>
      </c>
      <c r="C664" s="5">
        <v>0.39</v>
      </c>
      <c r="D664" s="5">
        <v>0.28861111099999998</v>
      </c>
      <c r="E664">
        <v>6</v>
      </c>
      <c r="F664" s="2">
        <v>8.4713375796178347</v>
      </c>
      <c r="G664" s="3">
        <f t="shared" si="53"/>
        <v>56.362968527475616</v>
      </c>
      <c r="H664" s="3">
        <f t="shared" si="54"/>
        <v>7.4493520606772137</v>
      </c>
      <c r="I664" s="3">
        <f t="shared" si="50"/>
        <v>1241.5586767795355</v>
      </c>
      <c r="J664" s="5">
        <f t="shared" si="52"/>
        <v>10.492734768144752</v>
      </c>
      <c r="K664" s="5">
        <f t="shared" si="51"/>
        <v>1748.7891280241254</v>
      </c>
      <c r="L664">
        <v>6</v>
      </c>
    </row>
    <row r="665" spans="1:12" x14ac:dyDescent="0.3">
      <c r="A665" t="s">
        <v>106</v>
      </c>
      <c r="B665" t="s">
        <v>85</v>
      </c>
      <c r="C665" s="5">
        <v>0.37226847299999999</v>
      </c>
      <c r="D665" s="5">
        <v>0.42234285700000002</v>
      </c>
      <c r="E665">
        <v>6</v>
      </c>
      <c r="F665" s="2">
        <v>7.7388535031847132</v>
      </c>
      <c r="G665" s="3">
        <f t="shared" si="53"/>
        <v>47.037380979406791</v>
      </c>
      <c r="H665" s="3">
        <f t="shared" si="54"/>
        <v>9.0539198877354874</v>
      </c>
      <c r="I665" s="3">
        <f t="shared" si="50"/>
        <v>1508.9866479559143</v>
      </c>
      <c r="J665" s="5">
        <f t="shared" si="52"/>
        <v>10.243386924418839</v>
      </c>
      <c r="K665" s="5">
        <f t="shared" si="51"/>
        <v>1707.2311540698065</v>
      </c>
      <c r="L665">
        <v>6</v>
      </c>
    </row>
    <row r="666" spans="1:12" x14ac:dyDescent="0.3">
      <c r="A666" t="s">
        <v>106</v>
      </c>
      <c r="B666" t="s">
        <v>61</v>
      </c>
      <c r="C666" s="5">
        <v>0.62643652800000005</v>
      </c>
      <c r="D666" s="5">
        <v>0.57808694400000005</v>
      </c>
      <c r="E666">
        <v>5</v>
      </c>
      <c r="F666" s="2">
        <v>4.8726114649681529</v>
      </c>
      <c r="G666" s="3">
        <f t="shared" si="53"/>
        <v>18.647192185251804</v>
      </c>
      <c r="H666" s="3">
        <f t="shared" si="54"/>
        <v>4.1727860086013493</v>
      </c>
      <c r="I666" s="3">
        <f t="shared" si="50"/>
        <v>695.46433476689162</v>
      </c>
      <c r="J666" s="5">
        <f t="shared" si="52"/>
        <v>9.4011909935494344</v>
      </c>
      <c r="K666" s="5">
        <f t="shared" si="51"/>
        <v>1566.8651655915726</v>
      </c>
      <c r="L666">
        <v>6</v>
      </c>
    </row>
    <row r="667" spans="1:12" x14ac:dyDescent="0.3">
      <c r="A667" t="s">
        <v>106</v>
      </c>
      <c r="B667" t="s">
        <v>61</v>
      </c>
      <c r="C667" s="5">
        <v>0.62643652800000005</v>
      </c>
      <c r="D667" s="5">
        <v>0.57808694400000005</v>
      </c>
      <c r="E667">
        <v>4</v>
      </c>
      <c r="F667" s="2">
        <v>13.933121019108281</v>
      </c>
      <c r="G667" s="3">
        <f t="shared" si="53"/>
        <v>152.47080734795819</v>
      </c>
      <c r="H667" s="3">
        <f t="shared" si="54"/>
        <v>26.092364441171203</v>
      </c>
      <c r="I667" s="3">
        <f t="shared" si="50"/>
        <v>4348.7274068618672</v>
      </c>
      <c r="J667" s="5">
        <f t="shared" si="52"/>
        <v>11.703546058663637</v>
      </c>
      <c r="K667" s="5">
        <f t="shared" si="51"/>
        <v>1950.5910097772728</v>
      </c>
      <c r="L667">
        <v>6</v>
      </c>
    </row>
    <row r="668" spans="1:12" x14ac:dyDescent="0.3">
      <c r="A668" t="s">
        <v>106</v>
      </c>
      <c r="B668" t="s">
        <v>61</v>
      </c>
      <c r="C668" s="5">
        <v>0.62643652800000005</v>
      </c>
      <c r="D668" s="5">
        <v>0.57808694400000005</v>
      </c>
      <c r="E668">
        <v>5</v>
      </c>
      <c r="F668" s="2">
        <v>17.86687898089172</v>
      </c>
      <c r="G668" s="3">
        <f t="shared" si="53"/>
        <v>250.71901500218488</v>
      </c>
      <c r="H668" s="3">
        <f t="shared" si="54"/>
        <v>52.712567210137777</v>
      </c>
      <c r="I668" s="3">
        <f t="shared" si="50"/>
        <v>8785.427868356297</v>
      </c>
      <c r="J668" s="5">
        <f t="shared" si="52"/>
        <v>14.572143879062031</v>
      </c>
      <c r="K668" s="5">
        <f t="shared" si="51"/>
        <v>2428.6906465103384</v>
      </c>
      <c r="L668">
        <v>6</v>
      </c>
    </row>
    <row r="669" spans="1:12" x14ac:dyDescent="0.3">
      <c r="A669" t="s">
        <v>106</v>
      </c>
      <c r="B669" t="s">
        <v>51</v>
      </c>
      <c r="C669" s="5">
        <v>0.39984676499999999</v>
      </c>
      <c r="D669" s="5">
        <v>0.450333333</v>
      </c>
      <c r="E669">
        <v>9</v>
      </c>
      <c r="F669" s="2">
        <v>14.840764331210192</v>
      </c>
      <c r="G669" s="3">
        <f t="shared" si="53"/>
        <v>172.98259926440858</v>
      </c>
      <c r="H669" s="3">
        <f t="shared" si="54"/>
        <v>51.037296996084002</v>
      </c>
      <c r="I669" s="3">
        <f t="shared" si="50"/>
        <v>8506.2161660140009</v>
      </c>
      <c r="J669" s="5">
        <f t="shared" si="52"/>
        <v>15.923521006937403</v>
      </c>
      <c r="K669" s="5">
        <f t="shared" si="51"/>
        <v>2653.9201678229006</v>
      </c>
      <c r="L669">
        <v>6</v>
      </c>
    </row>
    <row r="670" spans="1:12" x14ac:dyDescent="0.3">
      <c r="A670" t="s">
        <v>106</v>
      </c>
      <c r="B670" t="s">
        <v>51</v>
      </c>
      <c r="C670" s="5">
        <v>0.39984676499999999</v>
      </c>
      <c r="D670" s="5">
        <v>0.450333333</v>
      </c>
      <c r="E670">
        <v>10</v>
      </c>
      <c r="F670" s="2">
        <v>19.267515923566879</v>
      </c>
      <c r="G670" s="3">
        <f t="shared" si="53"/>
        <v>291.56899139676153</v>
      </c>
      <c r="H670" s="3">
        <f t="shared" si="54"/>
        <v>94.155167050032347</v>
      </c>
      <c r="I670" s="3">
        <f t="shared" si="50"/>
        <v>15692.527841672059</v>
      </c>
      <c r="J670" s="5">
        <f t="shared" si="52"/>
        <v>21.979000945271615</v>
      </c>
      <c r="K670" s="5">
        <f t="shared" si="51"/>
        <v>3663.1668242119358</v>
      </c>
      <c r="L670">
        <v>6</v>
      </c>
    </row>
    <row r="671" spans="1:12" x14ac:dyDescent="0.3">
      <c r="A671" t="s">
        <v>106</v>
      </c>
      <c r="B671" t="s">
        <v>51</v>
      </c>
      <c r="C671" s="5">
        <v>0.39984676499999999</v>
      </c>
      <c r="D671" s="5">
        <v>0.450333333</v>
      </c>
      <c r="E671">
        <v>8</v>
      </c>
      <c r="F671" s="2">
        <v>45.317834394904459</v>
      </c>
      <c r="G671" s="3">
        <f t="shared" si="53"/>
        <v>1612.9770102853365</v>
      </c>
      <c r="H671" s="3">
        <f t="shared" si="54"/>
        <v>402.08469671041792</v>
      </c>
      <c r="I671" s="3">
        <f t="shared" si="50"/>
        <v>67014.116118402992</v>
      </c>
      <c r="J671" s="5">
        <f t="shared" si="52"/>
        <v>66.489471198831595</v>
      </c>
      <c r="K671" s="5">
        <f t="shared" si="51"/>
        <v>11081.5785331386</v>
      </c>
      <c r="L671">
        <v>6</v>
      </c>
    </row>
    <row r="672" spans="1:12" x14ac:dyDescent="0.3">
      <c r="A672" t="s">
        <v>106</v>
      </c>
      <c r="B672" t="s">
        <v>34</v>
      </c>
      <c r="C672" s="5">
        <v>0.590536375</v>
      </c>
      <c r="D672" s="5">
        <v>0.61247410899999999</v>
      </c>
      <c r="E672">
        <v>6</v>
      </c>
      <c r="F672" s="2">
        <v>7.1019108280254777</v>
      </c>
      <c r="G672" s="3">
        <f t="shared" si="53"/>
        <v>39.613235088230461</v>
      </c>
      <c r="H672" s="3">
        <f t="shared" si="54"/>
        <v>11.004561280164936</v>
      </c>
      <c r="I672" s="3">
        <f t="shared" si="50"/>
        <v>1834.0935466941557</v>
      </c>
      <c r="J672" s="5">
        <f t="shared" si="52"/>
        <v>10.044879885593735</v>
      </c>
      <c r="K672" s="5">
        <f t="shared" si="51"/>
        <v>1674.1466475989557</v>
      </c>
      <c r="L672">
        <v>6</v>
      </c>
    </row>
    <row r="673" spans="1:12" x14ac:dyDescent="0.3">
      <c r="A673" t="s">
        <v>106</v>
      </c>
      <c r="B673" t="s">
        <v>34</v>
      </c>
      <c r="C673" s="5">
        <v>0.590536375</v>
      </c>
      <c r="D673" s="5">
        <v>0.61247410899999999</v>
      </c>
      <c r="E673">
        <v>8</v>
      </c>
      <c r="F673" s="2">
        <v>13.280254777070065</v>
      </c>
      <c r="G673" s="3">
        <f t="shared" si="53"/>
        <v>138.51687820501735</v>
      </c>
      <c r="H673" s="3">
        <f t="shared" si="54"/>
        <v>49.445574442252841</v>
      </c>
      <c r="I673" s="3">
        <f t="shared" si="50"/>
        <v>8240.9290737088068</v>
      </c>
      <c r="J673" s="5">
        <f t="shared" si="52"/>
        <v>13.923924674428983</v>
      </c>
      <c r="K673" s="5">
        <f t="shared" si="51"/>
        <v>2320.6541124048304</v>
      </c>
      <c r="L673">
        <v>6</v>
      </c>
    </row>
    <row r="674" spans="1:12" x14ac:dyDescent="0.3">
      <c r="A674" t="s">
        <v>106</v>
      </c>
      <c r="B674" t="s">
        <v>34</v>
      </c>
      <c r="C674" s="5">
        <v>0.590536375</v>
      </c>
      <c r="D674" s="5">
        <v>0.61247410899999999</v>
      </c>
      <c r="E674">
        <v>9</v>
      </c>
      <c r="F674" s="2">
        <v>17.611464968152866</v>
      </c>
      <c r="G674" s="3">
        <f t="shared" si="53"/>
        <v>243.6019990166034</v>
      </c>
      <c r="H674" s="3">
        <f t="shared" si="54"/>
        <v>96.237906187964882</v>
      </c>
      <c r="I674" s="3">
        <f t="shared" si="50"/>
        <v>16039.651031327479</v>
      </c>
      <c r="J674" s="5">
        <f t="shared" si="52"/>
        <v>18.755856497220982</v>
      </c>
      <c r="K674" s="5">
        <f t="shared" si="51"/>
        <v>3125.9760828701637</v>
      </c>
      <c r="L674">
        <v>6</v>
      </c>
    </row>
    <row r="675" spans="1:12" x14ac:dyDescent="0.3">
      <c r="A675" t="s">
        <v>106</v>
      </c>
      <c r="B675" t="s">
        <v>34</v>
      </c>
      <c r="C675" s="5">
        <v>0.590536375</v>
      </c>
      <c r="D675" s="5">
        <v>0.61247410899999999</v>
      </c>
      <c r="E675">
        <v>6</v>
      </c>
      <c r="F675" s="2">
        <v>29.822292993630573</v>
      </c>
      <c r="G675" s="3">
        <f t="shared" si="53"/>
        <v>698.50890437348005</v>
      </c>
      <c r="H675" s="3">
        <f t="shared" si="54"/>
        <v>181.13084340692612</v>
      </c>
      <c r="I675" s="3">
        <f t="shared" si="50"/>
        <v>30188.473901154353</v>
      </c>
      <c r="J675" s="5">
        <f t="shared" si="52"/>
        <v>27.66245234735689</v>
      </c>
      <c r="K675" s="5">
        <f t="shared" si="51"/>
        <v>4610.4087245594819</v>
      </c>
      <c r="L675">
        <v>6</v>
      </c>
    </row>
    <row r="676" spans="1:12" x14ac:dyDescent="0.3">
      <c r="A676" t="s">
        <v>106</v>
      </c>
      <c r="B676" t="s">
        <v>34</v>
      </c>
      <c r="C676" s="5">
        <v>0.590536375</v>
      </c>
      <c r="D676" s="5">
        <v>0.61247410899999999</v>
      </c>
      <c r="E676">
        <v>8</v>
      </c>
      <c r="F676" s="2">
        <v>37.867515923566884</v>
      </c>
      <c r="G676" s="3">
        <f t="shared" si="53"/>
        <v>1126.2207242548823</v>
      </c>
      <c r="H676" s="3">
        <f t="shared" si="54"/>
        <v>382.30092312885773</v>
      </c>
      <c r="I676" s="3">
        <f t="shared" si="50"/>
        <v>63716.820521476293</v>
      </c>
      <c r="J676" s="5">
        <f t="shared" si="52"/>
        <v>49.136265342204567</v>
      </c>
      <c r="K676" s="5">
        <f t="shared" si="51"/>
        <v>8189.3775570340949</v>
      </c>
      <c r="L676">
        <v>6</v>
      </c>
    </row>
    <row r="677" spans="1:12" x14ac:dyDescent="0.3">
      <c r="A677" t="s">
        <v>106</v>
      </c>
      <c r="B677" t="s">
        <v>34</v>
      </c>
      <c r="C677" s="5">
        <v>0.590536375</v>
      </c>
      <c r="D677" s="5">
        <v>0.61247410899999999</v>
      </c>
      <c r="E677">
        <v>8</v>
      </c>
      <c r="F677" s="2">
        <v>52.650318471337577</v>
      </c>
      <c r="G677" s="3">
        <f t="shared" si="53"/>
        <v>2177.1677188284834</v>
      </c>
      <c r="H677" s="3">
        <f t="shared" si="54"/>
        <v>727.45021628388838</v>
      </c>
      <c r="I677" s="3">
        <f t="shared" si="50"/>
        <v>121241.70271398139</v>
      </c>
      <c r="J677" s="5">
        <f t="shared" si="52"/>
        <v>86.603268983731581</v>
      </c>
      <c r="K677" s="5">
        <f t="shared" si="51"/>
        <v>14433.878163955264</v>
      </c>
      <c r="L677">
        <v>6</v>
      </c>
    </row>
    <row r="678" spans="1:12" x14ac:dyDescent="0.3">
      <c r="A678" t="s">
        <v>106</v>
      </c>
      <c r="B678" t="s">
        <v>34</v>
      </c>
      <c r="C678" s="5">
        <v>0.590536375</v>
      </c>
      <c r="D678" s="5">
        <v>0.61247410899999999</v>
      </c>
      <c r="E678">
        <v>9</v>
      </c>
      <c r="F678" s="2">
        <v>60.147133757961782</v>
      </c>
      <c r="G678" s="3">
        <f t="shared" si="53"/>
        <v>2841.31742079267</v>
      </c>
      <c r="H678" s="3">
        <f t="shared" si="54"/>
        <v>1058.2321172023203</v>
      </c>
      <c r="I678" s="3">
        <f t="shared" si="50"/>
        <v>176372.01953372007</v>
      </c>
      <c r="J678" s="5">
        <f t="shared" si="52"/>
        <v>122.94254752789159</v>
      </c>
      <c r="K678" s="5">
        <f t="shared" si="51"/>
        <v>20490.424587981932</v>
      </c>
      <c r="L678">
        <v>6</v>
      </c>
    </row>
    <row r="679" spans="1:12" x14ac:dyDescent="0.3">
      <c r="A679" t="s">
        <v>106</v>
      </c>
      <c r="B679" t="s">
        <v>34</v>
      </c>
      <c r="C679" s="5">
        <v>0.590536375</v>
      </c>
      <c r="D679" s="5">
        <v>0.61247410899999999</v>
      </c>
      <c r="E679">
        <v>12</v>
      </c>
      <c r="F679" s="2">
        <v>63.994267515923568</v>
      </c>
      <c r="G679" s="3">
        <f t="shared" si="53"/>
        <v>3216.414610929648</v>
      </c>
      <c r="H679" s="3">
        <f t="shared" si="54"/>
        <v>1581.542848737683</v>
      </c>
      <c r="I679" s="3">
        <f t="shared" si="50"/>
        <v>263590.4747896138</v>
      </c>
      <c r="J679" s="5">
        <f t="shared" si="52"/>
        <v>180.9868835457828</v>
      </c>
      <c r="K679" s="5">
        <f t="shared" si="51"/>
        <v>30164.480590963798</v>
      </c>
      <c r="L679">
        <v>6</v>
      </c>
    </row>
    <row r="680" spans="1:12" x14ac:dyDescent="0.3">
      <c r="A680" t="s">
        <v>106</v>
      </c>
      <c r="B680" t="s">
        <v>42</v>
      </c>
      <c r="C680" s="5">
        <v>0.40238543599999999</v>
      </c>
      <c r="D680" s="5">
        <v>0.40883333300000002</v>
      </c>
      <c r="E680">
        <v>7</v>
      </c>
      <c r="F680" s="2">
        <v>10.636942675159235</v>
      </c>
      <c r="G680" s="3">
        <f t="shared" si="53"/>
        <v>88.863521355801183</v>
      </c>
      <c r="H680" s="3">
        <f t="shared" si="54"/>
        <v>18.969084352889404</v>
      </c>
      <c r="I680" s="3">
        <f t="shared" si="50"/>
        <v>3161.5140588149006</v>
      </c>
      <c r="J680" s="5">
        <f t="shared" si="52"/>
        <v>11.75774146212828</v>
      </c>
      <c r="K680" s="5">
        <f t="shared" si="51"/>
        <v>1959.62357702138</v>
      </c>
      <c r="L680">
        <v>6</v>
      </c>
    </row>
    <row r="681" spans="1:12" x14ac:dyDescent="0.3">
      <c r="A681" t="s">
        <v>107</v>
      </c>
      <c r="B681" t="s">
        <v>64</v>
      </c>
      <c r="C681" s="5">
        <v>0.31264018999999998</v>
      </c>
      <c r="D681" s="5">
        <v>0.356821212</v>
      </c>
      <c r="E681">
        <v>5</v>
      </c>
      <c r="F681" s="2">
        <v>14.171974522292993</v>
      </c>
      <c r="G681" s="3">
        <f t="shared" si="53"/>
        <v>157.74318563306795</v>
      </c>
      <c r="H681" s="3">
        <f t="shared" si="54"/>
        <v>20.940821021478847</v>
      </c>
      <c r="I681" s="3">
        <f t="shared" si="50"/>
        <v>3490.136836913141</v>
      </c>
      <c r="J681" s="5">
        <f t="shared" si="52"/>
        <v>12.50048508255913</v>
      </c>
      <c r="K681" s="5">
        <f t="shared" si="51"/>
        <v>2083.4141804265219</v>
      </c>
      <c r="L681">
        <v>6</v>
      </c>
    </row>
    <row r="682" spans="1:12" x14ac:dyDescent="0.3">
      <c r="A682" t="s">
        <v>107</v>
      </c>
      <c r="B682" t="s">
        <v>64</v>
      </c>
      <c r="C682" s="5">
        <v>0.31264018999999998</v>
      </c>
      <c r="D682" s="5">
        <v>0.356821212</v>
      </c>
      <c r="E682">
        <v>9</v>
      </c>
      <c r="F682" s="2">
        <v>27.515923566878982</v>
      </c>
      <c r="G682" s="3">
        <f t="shared" si="53"/>
        <v>594.64540892484649</v>
      </c>
      <c r="H682" s="3">
        <f t="shared" si="54"/>
        <v>135.71121972984997</v>
      </c>
      <c r="I682" s="3">
        <f t="shared" si="50"/>
        <v>22618.536621641662</v>
      </c>
      <c r="J682" s="5">
        <f t="shared" si="52"/>
        <v>32.835170566757277</v>
      </c>
      <c r="K682" s="5">
        <f t="shared" si="51"/>
        <v>5472.5284277928795</v>
      </c>
      <c r="L682">
        <v>6</v>
      </c>
    </row>
    <row r="683" spans="1:12" x14ac:dyDescent="0.3">
      <c r="A683" t="s">
        <v>107</v>
      </c>
      <c r="B683" t="s">
        <v>80</v>
      </c>
      <c r="C683" s="5">
        <v>0.6</v>
      </c>
      <c r="D683" s="5">
        <v>0.66674999999999995</v>
      </c>
      <c r="E683">
        <v>7</v>
      </c>
      <c r="F683" s="2">
        <v>10.891719745222931</v>
      </c>
      <c r="G683" s="3">
        <f t="shared" si="53"/>
        <v>93.171437769908678</v>
      </c>
      <c r="H683" s="3">
        <f t="shared" si="54"/>
        <v>32.020709385908688</v>
      </c>
      <c r="I683" s="3">
        <f t="shared" si="50"/>
        <v>5336.7848976514479</v>
      </c>
      <c r="J683" s="5">
        <f t="shared" si="52"/>
        <v>11.892124195707737</v>
      </c>
      <c r="K683" s="5">
        <f t="shared" si="51"/>
        <v>1982.0206992846227</v>
      </c>
      <c r="L683">
        <v>6</v>
      </c>
    </row>
    <row r="684" spans="1:12" x14ac:dyDescent="0.3">
      <c r="A684" t="s">
        <v>107</v>
      </c>
      <c r="B684" t="s">
        <v>80</v>
      </c>
      <c r="C684" s="5">
        <v>0.6</v>
      </c>
      <c r="D684" s="5">
        <v>0.66674999999999995</v>
      </c>
      <c r="E684" s="1">
        <v>6.5</v>
      </c>
      <c r="F684" s="2">
        <v>12.32484076433121</v>
      </c>
      <c r="G684" s="3">
        <f t="shared" si="53"/>
        <v>119.30331609180131</v>
      </c>
      <c r="H684" s="3">
        <f t="shared" si="54"/>
        <v>37.915042118252494</v>
      </c>
      <c r="I684" s="3">
        <f t="shared" si="50"/>
        <v>6319.1736863754159</v>
      </c>
      <c r="J684" s="5">
        <f t="shared" si="52"/>
        <v>12.441463671954237</v>
      </c>
      <c r="K684" s="5">
        <f t="shared" si="51"/>
        <v>2073.5772786590396</v>
      </c>
      <c r="L684">
        <v>6</v>
      </c>
    </row>
    <row r="685" spans="1:12" x14ac:dyDescent="0.3">
      <c r="A685" t="s">
        <v>107</v>
      </c>
      <c r="B685" t="s">
        <v>108</v>
      </c>
      <c r="C685" s="5">
        <v>0.6</v>
      </c>
      <c r="D685" s="5">
        <v>0.51040266700000003</v>
      </c>
      <c r="E685">
        <v>8</v>
      </c>
      <c r="F685" s="2">
        <v>72.045222929936301</v>
      </c>
      <c r="G685" s="3">
        <f t="shared" si="53"/>
        <v>4076.6202781612951</v>
      </c>
      <c r="H685" s="3">
        <f t="shared" si="54"/>
        <v>1123.0503980013036</v>
      </c>
      <c r="I685" s="3">
        <f t="shared" si="50"/>
        <v>187175.06633355061</v>
      </c>
      <c r="J685" s="5">
        <f t="shared" si="52"/>
        <v>154.32009611667817</v>
      </c>
      <c r="K685" s="5">
        <f t="shared" si="51"/>
        <v>25720.016019446364</v>
      </c>
      <c r="L685">
        <v>6</v>
      </c>
    </row>
    <row r="686" spans="1:12" x14ac:dyDescent="0.3">
      <c r="A686" t="s">
        <v>107</v>
      </c>
      <c r="B686" t="s">
        <v>108</v>
      </c>
      <c r="C686" s="5">
        <v>0.6</v>
      </c>
      <c r="D686" s="5">
        <v>0.51040266700000003</v>
      </c>
      <c r="E686">
        <v>9</v>
      </c>
      <c r="F686" s="2">
        <v>10.350318471337578</v>
      </c>
      <c r="G686" s="3">
        <f t="shared" si="53"/>
        <v>84.138992463036487</v>
      </c>
      <c r="H686" s="3">
        <f t="shared" si="54"/>
        <v>28.540950058387384</v>
      </c>
      <c r="I686" s="3">
        <f t="shared" si="50"/>
        <v>4756.8250097312311</v>
      </c>
      <c r="J686" s="5">
        <f t="shared" si="52"/>
        <v>12.360266412430523</v>
      </c>
      <c r="K686" s="5">
        <f t="shared" si="51"/>
        <v>2060.0444020717537</v>
      </c>
      <c r="L686">
        <v>6</v>
      </c>
    </row>
    <row r="687" spans="1:12" x14ac:dyDescent="0.3">
      <c r="A687" t="s">
        <v>107</v>
      </c>
      <c r="B687" t="s">
        <v>108</v>
      </c>
      <c r="C687" s="5">
        <v>0.6</v>
      </c>
      <c r="D687" s="5">
        <v>0.51040266700000003</v>
      </c>
      <c r="E687">
        <v>11</v>
      </c>
      <c r="F687" s="2">
        <v>29.005732484076432</v>
      </c>
      <c r="G687" s="3">
        <f t="shared" si="53"/>
        <v>660.78101360950598</v>
      </c>
      <c r="H687" s="3">
        <f t="shared" si="54"/>
        <v>259.48114148745344</v>
      </c>
      <c r="I687" s="3">
        <f t="shared" si="50"/>
        <v>43246.856914575576</v>
      </c>
      <c r="J687" s="5">
        <f t="shared" si="52"/>
        <v>41.377001902105562</v>
      </c>
      <c r="K687" s="5">
        <f t="shared" si="51"/>
        <v>6896.1669836842602</v>
      </c>
      <c r="L687">
        <v>6</v>
      </c>
    </row>
    <row r="688" spans="1:12" x14ac:dyDescent="0.3">
      <c r="A688" t="s">
        <v>107</v>
      </c>
      <c r="B688" t="s">
        <v>61</v>
      </c>
      <c r="C688" s="5">
        <v>0.62643652800000005</v>
      </c>
      <c r="D688" s="5">
        <v>0.57808694400000005</v>
      </c>
      <c r="E688">
        <v>5</v>
      </c>
      <c r="F688" s="2">
        <v>6.5286624203821653</v>
      </c>
      <c r="G688" s="3">
        <f t="shared" si="53"/>
        <v>33.476365995352509</v>
      </c>
      <c r="H688" s="3">
        <f t="shared" si="54"/>
        <v>7.3867257884065873</v>
      </c>
      <c r="I688" s="3">
        <f t="shared" si="50"/>
        <v>1231.1209647344313</v>
      </c>
      <c r="J688" s="5">
        <f t="shared" si="52"/>
        <v>9.7316100774879306</v>
      </c>
      <c r="K688" s="5">
        <f t="shared" si="51"/>
        <v>1621.9350129146551</v>
      </c>
      <c r="L688">
        <v>6</v>
      </c>
    </row>
    <row r="689" spans="1:12" x14ac:dyDescent="0.3">
      <c r="A689" t="s">
        <v>107</v>
      </c>
      <c r="B689" t="s">
        <v>61</v>
      </c>
      <c r="C689" s="5">
        <v>0.62643652800000005</v>
      </c>
      <c r="D689" s="5">
        <v>0.57808694400000005</v>
      </c>
      <c r="E689">
        <v>5</v>
      </c>
      <c r="F689" s="2">
        <v>6.6242038216560513</v>
      </c>
      <c r="G689" s="3">
        <f t="shared" si="53"/>
        <v>34.463331312859758</v>
      </c>
      <c r="H689" s="3">
        <f t="shared" si="54"/>
        <v>7.5992034251848786</v>
      </c>
      <c r="I689" s="3">
        <f t="shared" si="50"/>
        <v>1266.5339041974796</v>
      </c>
      <c r="J689" s="5">
        <f t="shared" si="52"/>
        <v>9.753601334739745</v>
      </c>
      <c r="K689" s="5">
        <f t="shared" si="51"/>
        <v>1625.6002224566244</v>
      </c>
      <c r="L689">
        <v>6</v>
      </c>
    </row>
    <row r="690" spans="1:12" x14ac:dyDescent="0.3">
      <c r="A690" t="s">
        <v>107</v>
      </c>
      <c r="B690" t="s">
        <v>61</v>
      </c>
      <c r="C690" s="5">
        <v>0.62643652800000005</v>
      </c>
      <c r="D690" s="5">
        <v>0.57808694400000005</v>
      </c>
      <c r="E690">
        <v>4</v>
      </c>
      <c r="F690" s="2">
        <v>16.376433121019108</v>
      </c>
      <c r="G690" s="3">
        <f t="shared" si="53"/>
        <v>210.63401845800774</v>
      </c>
      <c r="H690" s="3">
        <f t="shared" si="54"/>
        <v>35.767373154564218</v>
      </c>
      <c r="I690" s="3">
        <f t="shared" si="50"/>
        <v>5961.2288590940361</v>
      </c>
      <c r="J690" s="5">
        <f t="shared" si="52"/>
        <v>12.740325864740964</v>
      </c>
      <c r="K690" s="5">
        <f t="shared" si="51"/>
        <v>2123.3876441234938</v>
      </c>
      <c r="L690">
        <v>6</v>
      </c>
    </row>
    <row r="691" spans="1:12" x14ac:dyDescent="0.3">
      <c r="A691" t="s">
        <v>107</v>
      </c>
      <c r="B691" t="s">
        <v>61</v>
      </c>
      <c r="C691" s="5">
        <v>0.62643652800000005</v>
      </c>
      <c r="D691" s="5">
        <v>0.57808694400000005</v>
      </c>
      <c r="E691" s="1">
        <v>5.5</v>
      </c>
      <c r="F691" s="2">
        <v>16.448407643312102</v>
      </c>
      <c r="G691" s="3">
        <f t="shared" si="53"/>
        <v>212.48956264301634</v>
      </c>
      <c r="H691" s="3">
        <f t="shared" si="54"/>
        <v>49.22527491464092</v>
      </c>
      <c r="I691" s="3">
        <f t="shared" si="50"/>
        <v>8204.2124857734871</v>
      </c>
      <c r="J691" s="5">
        <f t="shared" si="52"/>
        <v>14.193789694510933</v>
      </c>
      <c r="K691" s="5">
        <f t="shared" si="51"/>
        <v>2365.6316157518222</v>
      </c>
      <c r="L691">
        <v>6</v>
      </c>
    </row>
    <row r="692" spans="1:12" x14ac:dyDescent="0.3">
      <c r="A692" t="s">
        <v>107</v>
      </c>
      <c r="B692" t="s">
        <v>61</v>
      </c>
      <c r="C692" s="5">
        <v>0.62643652800000005</v>
      </c>
      <c r="D692" s="5">
        <v>0.57808694400000005</v>
      </c>
      <c r="E692">
        <v>6</v>
      </c>
      <c r="F692" s="2">
        <v>21.91783439490446</v>
      </c>
      <c r="G692" s="3">
        <f t="shared" si="53"/>
        <v>377.29857397916408</v>
      </c>
      <c r="H692" s="3">
        <f t="shared" si="54"/>
        <v>93.849725213354347</v>
      </c>
      <c r="I692" s="3">
        <f t="shared" si="50"/>
        <v>15641.620868892393</v>
      </c>
      <c r="J692" s="5">
        <f t="shared" si="52"/>
        <v>19.073920755811596</v>
      </c>
      <c r="K692" s="5">
        <f t="shared" si="51"/>
        <v>3178.9867926352658</v>
      </c>
      <c r="L692">
        <v>6</v>
      </c>
    </row>
    <row r="693" spans="1:12" x14ac:dyDescent="0.3">
      <c r="A693" t="s">
        <v>107</v>
      </c>
      <c r="B693" t="s">
        <v>51</v>
      </c>
      <c r="C693" s="5">
        <v>0.39984676499999999</v>
      </c>
      <c r="D693" s="5">
        <v>0.450333333</v>
      </c>
      <c r="E693">
        <v>13</v>
      </c>
      <c r="F693" s="2">
        <v>17.261146496815286</v>
      </c>
      <c r="G693" s="3">
        <f t="shared" si="53"/>
        <v>234.00716669265282</v>
      </c>
      <c r="H693" s="3">
        <f t="shared" si="54"/>
        <v>98.13704709337874</v>
      </c>
      <c r="I693" s="3">
        <f t="shared" si="50"/>
        <v>16356.174515563123</v>
      </c>
      <c r="J693" s="5">
        <f t="shared" si="52"/>
        <v>22.542296616495598</v>
      </c>
      <c r="K693" s="5">
        <f t="shared" si="51"/>
        <v>3757.0494360825996</v>
      </c>
      <c r="L693">
        <v>6</v>
      </c>
    </row>
    <row r="694" spans="1:12" x14ac:dyDescent="0.3">
      <c r="A694" t="s">
        <v>107</v>
      </c>
      <c r="B694" t="s">
        <v>34</v>
      </c>
      <c r="C694" s="5">
        <v>0.590536375</v>
      </c>
      <c r="D694" s="5">
        <v>0.61247410899999999</v>
      </c>
      <c r="E694">
        <v>9</v>
      </c>
      <c r="F694" s="2">
        <v>41.731210191082802</v>
      </c>
      <c r="G694" s="3">
        <f t="shared" si="53"/>
        <v>1367.7661137791385</v>
      </c>
      <c r="H694" s="3">
        <f t="shared" si="54"/>
        <v>518.43368748768023</v>
      </c>
      <c r="I694" s="3">
        <f t="shared" si="50"/>
        <v>86405.614581280039</v>
      </c>
      <c r="J694" s="5">
        <f t="shared" si="52"/>
        <v>63.842757976388491</v>
      </c>
      <c r="K694" s="5">
        <f t="shared" si="51"/>
        <v>10640.459662731415</v>
      </c>
      <c r="L694">
        <v>6</v>
      </c>
    </row>
    <row r="695" spans="1:12" x14ac:dyDescent="0.3">
      <c r="A695" t="s">
        <v>107</v>
      </c>
      <c r="B695" t="s">
        <v>34</v>
      </c>
      <c r="C695" s="5">
        <v>0.590536375</v>
      </c>
      <c r="D695" s="5">
        <v>0.61247410899999999</v>
      </c>
      <c r="E695">
        <v>10</v>
      </c>
      <c r="F695" s="2">
        <v>66.91783439490446</v>
      </c>
      <c r="G695" s="3">
        <f t="shared" si="53"/>
        <v>3517.0102740056614</v>
      </c>
      <c r="H695" s="3">
        <f t="shared" si="54"/>
        <v>1444.3433249354709</v>
      </c>
      <c r="I695" s="3">
        <f t="shared" si="50"/>
        <v>240723.88748924516</v>
      </c>
      <c r="J695" s="5">
        <f t="shared" si="52"/>
        <v>165.71557960363506</v>
      </c>
      <c r="K695" s="5">
        <f t="shared" si="51"/>
        <v>27619.263267272512</v>
      </c>
      <c r="L695">
        <v>6</v>
      </c>
    </row>
    <row r="696" spans="1:12" x14ac:dyDescent="0.3">
      <c r="A696" t="s">
        <v>107</v>
      </c>
      <c r="B696" t="s">
        <v>34</v>
      </c>
      <c r="C696" s="5">
        <v>0.590536375</v>
      </c>
      <c r="D696" s="5">
        <v>0.61247410899999999</v>
      </c>
      <c r="E696">
        <v>11</v>
      </c>
      <c r="F696" s="2">
        <v>101.86369426751592</v>
      </c>
      <c r="G696" s="3">
        <f t="shared" si="53"/>
        <v>8149.4580126194851</v>
      </c>
      <c r="H696" s="3">
        <f t="shared" si="54"/>
        <v>3599.6963424044147</v>
      </c>
      <c r="I696" s="3">
        <f t="shared" si="50"/>
        <v>599949.39040073578</v>
      </c>
      <c r="J696" s="5">
        <f t="shared" si="52"/>
        <v>408.46987007829938</v>
      </c>
      <c r="K696" s="5">
        <f t="shared" si="51"/>
        <v>68078.311679716557</v>
      </c>
      <c r="L696">
        <v>6</v>
      </c>
    </row>
    <row r="697" spans="1:12" x14ac:dyDescent="0.3">
      <c r="A697" t="s">
        <v>107</v>
      </c>
      <c r="B697" t="s">
        <v>68</v>
      </c>
      <c r="C697" s="5">
        <v>0.39</v>
      </c>
      <c r="D697" s="5">
        <v>0.28861111099999998</v>
      </c>
      <c r="E697" s="1">
        <v>4.5</v>
      </c>
      <c r="F697" s="2">
        <v>29.359235668789808</v>
      </c>
      <c r="G697" s="3">
        <f t="shared" si="53"/>
        <v>676.98550725961843</v>
      </c>
      <c r="H697" s="3">
        <f t="shared" si="54"/>
        <v>63.658111937855431</v>
      </c>
      <c r="I697" s="3">
        <f t="shared" si="50"/>
        <v>10609.685322975905</v>
      </c>
      <c r="J697" s="5">
        <f t="shared" si="52"/>
        <v>22.56164432512475</v>
      </c>
      <c r="K697" s="5">
        <f t="shared" si="51"/>
        <v>3760.2740541874587</v>
      </c>
      <c r="L697">
        <v>6</v>
      </c>
    </row>
    <row r="698" spans="1:12" x14ac:dyDescent="0.3">
      <c r="A698" t="s">
        <v>109</v>
      </c>
      <c r="B698" t="s">
        <v>67</v>
      </c>
      <c r="C698" s="5">
        <v>0.43916666700000001</v>
      </c>
      <c r="D698" s="5">
        <v>0.51877777800000002</v>
      </c>
      <c r="E698">
        <v>4</v>
      </c>
      <c r="F698" s="2">
        <v>5.1910828025477711</v>
      </c>
      <c r="G698" s="3">
        <f t="shared" si="53"/>
        <v>21.164391865092711</v>
      </c>
      <c r="H698" s="3">
        <f t="shared" si="54"/>
        <v>3.4168896905565767</v>
      </c>
      <c r="I698" s="3">
        <f t="shared" si="50"/>
        <v>683.3779381113153</v>
      </c>
      <c r="J698" s="5">
        <f t="shared" si="52"/>
        <v>9.3629627692807009</v>
      </c>
      <c r="K698" s="5">
        <f t="shared" si="51"/>
        <v>1872.5925538561401</v>
      </c>
      <c r="L698">
        <v>5</v>
      </c>
    </row>
    <row r="699" spans="1:12" x14ac:dyDescent="0.3">
      <c r="A699" t="s">
        <v>109</v>
      </c>
      <c r="B699" t="s">
        <v>110</v>
      </c>
      <c r="C699" s="5">
        <v>0.56572270000000002</v>
      </c>
      <c r="D699" s="5">
        <v>0.61247410899999999</v>
      </c>
      <c r="E699">
        <v>6</v>
      </c>
      <c r="F699" s="2">
        <v>28.115286624203822</v>
      </c>
      <c r="G699" s="3">
        <f t="shared" si="53"/>
        <v>620.83316939826443</v>
      </c>
      <c r="H699" s="3">
        <f t="shared" si="54"/>
        <v>161.44481566696393</v>
      </c>
      <c r="I699" s="3">
        <f t="shared" si="50"/>
        <v>32288.963133392786</v>
      </c>
      <c r="J699" s="5">
        <f t="shared" si="52"/>
        <v>25.585556181183819</v>
      </c>
      <c r="K699" s="5">
        <f t="shared" si="51"/>
        <v>5117.1112362367639</v>
      </c>
      <c r="L699">
        <v>5</v>
      </c>
    </row>
    <row r="700" spans="1:12" x14ac:dyDescent="0.3">
      <c r="A700" t="s">
        <v>109</v>
      </c>
      <c r="B700" t="s">
        <v>111</v>
      </c>
      <c r="C700" s="5">
        <v>0.46921933300000002</v>
      </c>
      <c r="D700" s="5">
        <v>0.46713991199999999</v>
      </c>
      <c r="E700">
        <v>5</v>
      </c>
      <c r="F700" s="2">
        <v>21.777707006369425</v>
      </c>
      <c r="G700" s="3">
        <f t="shared" si="53"/>
        <v>372.48962649359208</v>
      </c>
      <c r="H700" s="3">
        <f t="shared" si="54"/>
        <v>63.007138098209104</v>
      </c>
      <c r="I700" s="3">
        <f t="shared" si="50"/>
        <v>12601.427619641821</v>
      </c>
      <c r="J700" s="5">
        <f t="shared" si="52"/>
        <v>17.285399142967258</v>
      </c>
      <c r="K700" s="5">
        <f t="shared" si="51"/>
        <v>3457.0798285934516</v>
      </c>
      <c r="L700">
        <v>5</v>
      </c>
    </row>
    <row r="701" spans="1:12" x14ac:dyDescent="0.3">
      <c r="A701" t="s">
        <v>109</v>
      </c>
      <c r="B701" t="s">
        <v>13</v>
      </c>
      <c r="C701" s="5">
        <v>0.45255480399999998</v>
      </c>
      <c r="D701" s="5">
        <v>0.57808694400000005</v>
      </c>
      <c r="E701">
        <v>8</v>
      </c>
      <c r="F701" s="2">
        <v>44.621019108280251</v>
      </c>
      <c r="G701" s="3">
        <f t="shared" si="53"/>
        <v>1563.7555042131935</v>
      </c>
      <c r="H701" s="3">
        <f t="shared" si="54"/>
        <v>497.77982581185967</v>
      </c>
      <c r="I701" s="3">
        <f t="shared" si="50"/>
        <v>99555.96516237194</v>
      </c>
      <c r="J701" s="5">
        <f t="shared" si="52"/>
        <v>64.734689695322317</v>
      </c>
      <c r="K701" s="5">
        <f t="shared" si="51"/>
        <v>12946.937939064464</v>
      </c>
      <c r="L701">
        <v>5</v>
      </c>
    </row>
    <row r="702" spans="1:12" x14ac:dyDescent="0.3">
      <c r="A702" t="s">
        <v>109</v>
      </c>
      <c r="B702" t="s">
        <v>51</v>
      </c>
      <c r="C702" s="5">
        <v>0.39984676499999999</v>
      </c>
      <c r="D702" s="5">
        <v>0.450333333</v>
      </c>
      <c r="E702">
        <v>7</v>
      </c>
      <c r="F702" s="2">
        <v>61.585350318471342</v>
      </c>
      <c r="G702" s="3">
        <f t="shared" si="53"/>
        <v>2978.8231048366797</v>
      </c>
      <c r="H702" s="3">
        <f t="shared" si="54"/>
        <v>642.30298952295982</v>
      </c>
      <c r="I702" s="3">
        <f t="shared" si="50"/>
        <v>128460.59790459197</v>
      </c>
      <c r="J702" s="5">
        <f t="shared" si="52"/>
        <v>101.90820665929654</v>
      </c>
      <c r="K702" s="5">
        <f t="shared" si="51"/>
        <v>20381.641331859308</v>
      </c>
      <c r="L702">
        <v>5</v>
      </c>
    </row>
    <row r="703" spans="1:12" x14ac:dyDescent="0.3">
      <c r="A703" t="s">
        <v>109</v>
      </c>
      <c r="B703" t="s">
        <v>112</v>
      </c>
      <c r="C703" s="5">
        <v>0.56572270000000002</v>
      </c>
      <c r="D703" s="5">
        <v>0.61247410899999999</v>
      </c>
      <c r="E703">
        <v>6</v>
      </c>
      <c r="F703" s="2">
        <v>27.028025477707004</v>
      </c>
      <c r="G703" s="3">
        <f t="shared" si="53"/>
        <v>573.74448056082633</v>
      </c>
      <c r="H703" s="3">
        <f t="shared" si="54"/>
        <v>149.48233235549213</v>
      </c>
      <c r="I703" s="3">
        <f t="shared" si="50"/>
        <v>29896.466471098429</v>
      </c>
      <c r="J703" s="5">
        <f t="shared" si="52"/>
        <v>24.326497385695156</v>
      </c>
      <c r="K703" s="5">
        <f t="shared" si="51"/>
        <v>4865.2994771390313</v>
      </c>
      <c r="L703">
        <v>5</v>
      </c>
    </row>
    <row r="704" spans="1:12" x14ac:dyDescent="0.3">
      <c r="A704" t="s">
        <v>109</v>
      </c>
      <c r="B704" t="s">
        <v>113</v>
      </c>
      <c r="C704" s="5">
        <v>0.56023871300000005</v>
      </c>
      <c r="D704" s="5">
        <v>0.74103703700000001</v>
      </c>
      <c r="E704">
        <v>6</v>
      </c>
      <c r="F704" s="2">
        <v>12.611464968152866</v>
      </c>
      <c r="G704" s="3">
        <f t="shared" si="53"/>
        <v>124.91683069428197</v>
      </c>
      <c r="H704" s="3">
        <f t="shared" si="54"/>
        <v>40.65825834569543</v>
      </c>
      <c r="I704" s="3">
        <f t="shared" si="50"/>
        <v>8131.6516691390862</v>
      </c>
      <c r="J704" s="5">
        <f t="shared" si="52"/>
        <v>12.325730021501887</v>
      </c>
      <c r="K704" s="5">
        <f t="shared" si="51"/>
        <v>2465.1460043003772</v>
      </c>
      <c r="L704">
        <v>5</v>
      </c>
    </row>
    <row r="705" spans="1:12" x14ac:dyDescent="0.3">
      <c r="A705" t="s">
        <v>109</v>
      </c>
      <c r="B705" t="s">
        <v>102</v>
      </c>
      <c r="C705" s="5">
        <v>0.53168696000000004</v>
      </c>
      <c r="D705" s="5">
        <v>0.61247410899999999</v>
      </c>
      <c r="E705">
        <v>9</v>
      </c>
      <c r="F705" s="2">
        <v>10.318471337579616</v>
      </c>
      <c r="G705" s="3">
        <f t="shared" si="53"/>
        <v>83.622010630056508</v>
      </c>
      <c r="H705" s="3">
        <f t="shared" si="54"/>
        <v>33.894604388349364</v>
      </c>
      <c r="I705" s="3">
        <f t="shared" si="50"/>
        <v>6778.9208776698724</v>
      </c>
      <c r="J705" s="5">
        <f t="shared" si="52"/>
        <v>12.33953179845024</v>
      </c>
      <c r="K705" s="5">
        <f t="shared" si="51"/>
        <v>2467.9063596900478</v>
      </c>
      <c r="L705">
        <v>5</v>
      </c>
    </row>
    <row r="706" spans="1:12" x14ac:dyDescent="0.3">
      <c r="A706" t="s">
        <v>109</v>
      </c>
      <c r="B706" t="s">
        <v>102</v>
      </c>
      <c r="C706" s="5">
        <v>0.53168696000000004</v>
      </c>
      <c r="D706" s="5">
        <v>0.61247410899999999</v>
      </c>
      <c r="E706">
        <v>6</v>
      </c>
      <c r="F706" s="2">
        <v>35.389808917197456</v>
      </c>
      <c r="G706" s="3">
        <f t="shared" si="53"/>
        <v>983.66295672685794</v>
      </c>
      <c r="H706" s="3">
        <f t="shared" si="54"/>
        <v>252.98722687630479</v>
      </c>
      <c r="I706" s="3">
        <f t="shared" ref="I706:I769" si="55">(H706*1000)/L706</f>
        <v>50597.445375260955</v>
      </c>
      <c r="J706" s="5">
        <f t="shared" si="52"/>
        <v>35.286910079110719</v>
      </c>
      <c r="K706" s="5">
        <f t="shared" ref="K706:K769" si="56">(J706*1000)/L706</f>
        <v>7057.3820158221442</v>
      </c>
      <c r="L706">
        <v>5</v>
      </c>
    </row>
    <row r="707" spans="1:12" x14ac:dyDescent="0.3">
      <c r="A707" t="s">
        <v>109</v>
      </c>
      <c r="B707" t="s">
        <v>114</v>
      </c>
      <c r="C707" s="5">
        <v>0.432770245</v>
      </c>
      <c r="D707" s="5">
        <v>0.61247410899999999</v>
      </c>
      <c r="E707">
        <v>5</v>
      </c>
      <c r="F707" s="9">
        <v>60.509554140127392</v>
      </c>
      <c r="G707" s="3">
        <f t="shared" si="53"/>
        <v>2875.6616595650826</v>
      </c>
      <c r="H707" s="3">
        <f t="shared" si="54"/>
        <v>603.29228764125605</v>
      </c>
      <c r="I707" s="3">
        <f t="shared" si="55"/>
        <v>120658.45752825119</v>
      </c>
      <c r="J707" s="5">
        <f t="shared" ref="J707:J770" si="57">8.9857 + 0.0035 * F707^2 * E707</f>
        <v>73.060307489147633</v>
      </c>
      <c r="K707" s="5">
        <f t="shared" si="56"/>
        <v>14612.061497829525</v>
      </c>
      <c r="L707">
        <v>5</v>
      </c>
    </row>
    <row r="708" spans="1:12" x14ac:dyDescent="0.3">
      <c r="A708" t="s">
        <v>109</v>
      </c>
      <c r="B708" t="s">
        <v>115</v>
      </c>
      <c r="C708" s="5">
        <v>0.98708677300000003</v>
      </c>
      <c r="D708" s="5">
        <v>0.60285714300000004</v>
      </c>
      <c r="E708">
        <v>7</v>
      </c>
      <c r="F708" s="2">
        <v>32.536305732484081</v>
      </c>
      <c r="G708" s="3">
        <f t="shared" ref="G708:G771" si="58">PI()*(F708/2)^2</f>
        <v>831.43128494164887</v>
      </c>
      <c r="H708" s="3">
        <f t="shared" ref="H708:H771" si="59">0.0673 * ((D708 * F708^2 * E708)^0.976)</f>
        <v>245.73262592294091</v>
      </c>
      <c r="I708" s="3">
        <f t="shared" si="55"/>
        <v>49146.525184588179</v>
      </c>
      <c r="J708" s="5">
        <f t="shared" si="57"/>
        <v>34.921674172583074</v>
      </c>
      <c r="K708" s="5">
        <f t="shared" si="56"/>
        <v>6984.3348345166141</v>
      </c>
      <c r="L708">
        <v>5</v>
      </c>
    </row>
    <row r="709" spans="1:12" x14ac:dyDescent="0.3">
      <c r="A709" t="s">
        <v>109</v>
      </c>
      <c r="B709" t="s">
        <v>115</v>
      </c>
      <c r="C709" s="5">
        <v>0.98708677300000003</v>
      </c>
      <c r="D709" s="5">
        <v>0.60285714300000004</v>
      </c>
      <c r="E709">
        <v>6</v>
      </c>
      <c r="F709" s="2">
        <v>58.191719745222926</v>
      </c>
      <c r="G709" s="3">
        <f t="shared" si="58"/>
        <v>2659.5751450768225</v>
      </c>
      <c r="H709" s="3">
        <f t="shared" si="59"/>
        <v>657.64117530157864</v>
      </c>
      <c r="I709" s="3">
        <f t="shared" si="55"/>
        <v>131528.23506031572</v>
      </c>
      <c r="J709" s="5">
        <f t="shared" si="57"/>
        <v>80.097501185037927</v>
      </c>
      <c r="K709" s="5">
        <f t="shared" si="56"/>
        <v>16019.500237007585</v>
      </c>
      <c r="L709">
        <v>5</v>
      </c>
    </row>
    <row r="710" spans="1:12" x14ac:dyDescent="0.3">
      <c r="A710" t="s">
        <v>109</v>
      </c>
      <c r="B710" t="s">
        <v>115</v>
      </c>
      <c r="C710" s="5">
        <v>0.98708677300000003</v>
      </c>
      <c r="D710" s="5">
        <v>0.60285714300000004</v>
      </c>
      <c r="E710">
        <v>9</v>
      </c>
      <c r="F710" s="2">
        <v>71.001910828025487</v>
      </c>
      <c r="G710" s="3">
        <f t="shared" si="58"/>
        <v>3959.4052525909265</v>
      </c>
      <c r="H710" s="3">
        <f t="shared" si="59"/>
        <v>1440.536047442459</v>
      </c>
      <c r="I710" s="3">
        <f t="shared" si="55"/>
        <v>288107.20948849182</v>
      </c>
      <c r="J710" s="5">
        <f t="shared" si="57"/>
        <v>167.78574724877282</v>
      </c>
      <c r="K710" s="5">
        <f t="shared" si="56"/>
        <v>33557.149449754565</v>
      </c>
      <c r="L710">
        <v>5</v>
      </c>
    </row>
    <row r="711" spans="1:12" x14ac:dyDescent="0.3">
      <c r="A711" t="s">
        <v>109</v>
      </c>
      <c r="B711" t="s">
        <v>57</v>
      </c>
      <c r="C711" s="5">
        <v>0.693333333</v>
      </c>
      <c r="D711" s="5">
        <v>0.64166666699999997</v>
      </c>
      <c r="E711" s="1">
        <v>6.8</v>
      </c>
      <c r="F711" s="2">
        <v>20.563057324840763</v>
      </c>
      <c r="G711" s="3">
        <f t="shared" si="58"/>
        <v>332.09723048041138</v>
      </c>
      <c r="H711" s="3">
        <f t="shared" si="59"/>
        <v>103.66328768506681</v>
      </c>
      <c r="I711" s="3">
        <f t="shared" si="55"/>
        <v>20732.657537013361</v>
      </c>
      <c r="J711" s="5">
        <f t="shared" si="57"/>
        <v>19.049275971763556</v>
      </c>
      <c r="K711" s="5">
        <f t="shared" si="56"/>
        <v>3809.8551943527114</v>
      </c>
      <c r="L711">
        <v>5</v>
      </c>
    </row>
    <row r="712" spans="1:12" x14ac:dyDescent="0.3">
      <c r="A712" t="s">
        <v>109</v>
      </c>
      <c r="B712" t="s">
        <v>57</v>
      </c>
      <c r="C712" s="5">
        <v>0.693333333</v>
      </c>
      <c r="D712" s="5">
        <v>0.64166666699999997</v>
      </c>
      <c r="E712">
        <v>6</v>
      </c>
      <c r="F712" s="2">
        <v>8.1847133757961785</v>
      </c>
      <c r="G712" s="3">
        <f t="shared" si="58"/>
        <v>52.613456219560696</v>
      </c>
      <c r="H712" s="3">
        <f t="shared" si="59"/>
        <v>15.191740039044717</v>
      </c>
      <c r="I712" s="3">
        <f t="shared" si="55"/>
        <v>3038.3480078089433</v>
      </c>
      <c r="J712" s="5">
        <f t="shared" si="57"/>
        <v>10.392480193922674</v>
      </c>
      <c r="K712" s="5">
        <f t="shared" si="56"/>
        <v>2078.4960387845349</v>
      </c>
      <c r="L712">
        <v>5</v>
      </c>
    </row>
    <row r="713" spans="1:12" x14ac:dyDescent="0.3">
      <c r="A713" t="s">
        <v>116</v>
      </c>
      <c r="B713" t="s">
        <v>70</v>
      </c>
      <c r="C713" s="5">
        <v>0.86</v>
      </c>
      <c r="D713" s="5">
        <v>0.65666666699999998</v>
      </c>
      <c r="E713">
        <v>7</v>
      </c>
      <c r="F713" s="5">
        <v>8.4394904458598727</v>
      </c>
      <c r="G713" s="3">
        <f t="shared" si="58"/>
        <v>55.939983391401071</v>
      </c>
      <c r="H713" s="3">
        <f t="shared" si="59"/>
        <v>19.174706121006373</v>
      </c>
      <c r="I713" s="3">
        <f t="shared" si="55"/>
        <v>3834.9412242012745</v>
      </c>
      <c r="J713" s="5">
        <f t="shared" si="57"/>
        <v>10.730712475151121</v>
      </c>
      <c r="K713" s="5">
        <f t="shared" si="56"/>
        <v>2146.1424950302239</v>
      </c>
      <c r="L713">
        <v>5</v>
      </c>
    </row>
    <row r="714" spans="1:12" x14ac:dyDescent="0.3">
      <c r="A714" t="s">
        <v>116</v>
      </c>
      <c r="B714" t="s">
        <v>46</v>
      </c>
      <c r="C714" s="5">
        <v>0.40257753800000001</v>
      </c>
      <c r="D714" s="5">
        <v>0.40843333300000001</v>
      </c>
      <c r="E714">
        <v>6</v>
      </c>
      <c r="F714" s="5">
        <v>23.346496815286624</v>
      </c>
      <c r="G714" s="3">
        <f t="shared" si="58"/>
        <v>428.08826964258498</v>
      </c>
      <c r="H714" s="3">
        <f t="shared" si="59"/>
        <v>75.633423386061367</v>
      </c>
      <c r="I714" s="3">
        <f t="shared" si="55"/>
        <v>15126.684677212272</v>
      </c>
      <c r="J714" s="5">
        <f t="shared" si="57"/>
        <v>20.431937184469959</v>
      </c>
      <c r="K714" s="5">
        <f t="shared" si="56"/>
        <v>4086.3874368939919</v>
      </c>
      <c r="L714">
        <v>5</v>
      </c>
    </row>
    <row r="715" spans="1:12" x14ac:dyDescent="0.3">
      <c r="A715" t="s">
        <v>116</v>
      </c>
      <c r="B715" t="s">
        <v>21</v>
      </c>
      <c r="C715" s="5">
        <v>0.80908761900000004</v>
      </c>
      <c r="D715" s="5">
        <v>0.87473809499999999</v>
      </c>
      <c r="E715">
        <v>8</v>
      </c>
      <c r="F715" s="5">
        <v>22.738853503184714</v>
      </c>
      <c r="G715" s="3">
        <f t="shared" si="58"/>
        <v>406.0944075899281</v>
      </c>
      <c r="H715" s="3">
        <f t="shared" si="59"/>
        <v>200.03965434404421</v>
      </c>
      <c r="I715" s="3">
        <f t="shared" si="55"/>
        <v>40007.930868808842</v>
      </c>
      <c r="J715" s="5">
        <f t="shared" si="57"/>
        <v>23.463252841900278</v>
      </c>
      <c r="K715" s="5">
        <f t="shared" si="56"/>
        <v>4692.6505683800551</v>
      </c>
      <c r="L715">
        <v>5</v>
      </c>
    </row>
    <row r="716" spans="1:12" x14ac:dyDescent="0.3">
      <c r="A716" t="s">
        <v>116</v>
      </c>
      <c r="B716" t="s">
        <v>80</v>
      </c>
      <c r="C716" s="5">
        <v>0.6</v>
      </c>
      <c r="D716" s="5">
        <v>0.66674999999999995</v>
      </c>
      <c r="E716">
        <v>5</v>
      </c>
      <c r="F716" s="2">
        <v>6.114649681528662</v>
      </c>
      <c r="G716" s="3">
        <f t="shared" si="58"/>
        <v>29.365205379004752</v>
      </c>
      <c r="H716" s="3">
        <f t="shared" si="59"/>
        <v>7.4712802223108312</v>
      </c>
      <c r="I716" s="3">
        <f t="shared" si="55"/>
        <v>1494.2560444621663</v>
      </c>
      <c r="J716" s="5">
        <f t="shared" si="57"/>
        <v>9.6400064627368245</v>
      </c>
      <c r="K716" s="5">
        <f t="shared" si="56"/>
        <v>1928.001292547365</v>
      </c>
      <c r="L716">
        <v>5</v>
      </c>
    </row>
    <row r="717" spans="1:12" x14ac:dyDescent="0.3">
      <c r="A717" t="s">
        <v>116</v>
      </c>
      <c r="B717" t="s">
        <v>13</v>
      </c>
      <c r="C717" s="5">
        <v>0.45255480399999998</v>
      </c>
      <c r="D717" s="5">
        <v>0.57808694400000005</v>
      </c>
      <c r="E717">
        <v>6</v>
      </c>
      <c r="F717" s="2">
        <v>35.421656050955413</v>
      </c>
      <c r="G717" s="3">
        <f t="shared" si="58"/>
        <v>985.43414126614016</v>
      </c>
      <c r="H717" s="3">
        <f t="shared" si="59"/>
        <v>239.53491605584139</v>
      </c>
      <c r="I717" s="3">
        <f t="shared" si="55"/>
        <v>47906.983211168277</v>
      </c>
      <c r="J717" s="5">
        <f t="shared" si="57"/>
        <v>35.334268065235918</v>
      </c>
      <c r="K717" s="5">
        <f t="shared" si="56"/>
        <v>7066.8536130471839</v>
      </c>
      <c r="L717">
        <v>5</v>
      </c>
    </row>
    <row r="718" spans="1:12" x14ac:dyDescent="0.3">
      <c r="A718" t="s">
        <v>116</v>
      </c>
      <c r="B718" t="s">
        <v>13</v>
      </c>
      <c r="C718" s="5">
        <v>0.45255480399999998</v>
      </c>
      <c r="D718" s="5">
        <v>0.57808694400000005</v>
      </c>
      <c r="E718">
        <v>5</v>
      </c>
      <c r="F718" s="2">
        <v>11.369426751592357</v>
      </c>
      <c r="G718" s="3">
        <f t="shared" si="58"/>
        <v>101.52360189748202</v>
      </c>
      <c r="H718" s="3">
        <f t="shared" si="59"/>
        <v>21.813070269476693</v>
      </c>
      <c r="I718" s="3">
        <f t="shared" si="55"/>
        <v>4362.6140538953387</v>
      </c>
      <c r="J718" s="5">
        <f t="shared" si="57"/>
        <v>11.247817631546919</v>
      </c>
      <c r="K718" s="5">
        <f t="shared" si="56"/>
        <v>2249.5635263093836</v>
      </c>
      <c r="L718">
        <v>5</v>
      </c>
    </row>
    <row r="719" spans="1:12" x14ac:dyDescent="0.3">
      <c r="A719" t="s">
        <v>116</v>
      </c>
      <c r="B719" t="s">
        <v>13</v>
      </c>
      <c r="C719" s="5">
        <v>0.45255480399999998</v>
      </c>
      <c r="D719" s="5">
        <v>0.57808694400000005</v>
      </c>
      <c r="E719" s="1">
        <v>5.5</v>
      </c>
      <c r="F719" s="2">
        <v>21.56751592356688</v>
      </c>
      <c r="G719" s="3">
        <f t="shared" si="58"/>
        <v>365.33403713129644</v>
      </c>
      <c r="H719" s="3">
        <f t="shared" si="59"/>
        <v>83.539567578381295</v>
      </c>
      <c r="I719" s="3">
        <f t="shared" si="55"/>
        <v>16707.913515676257</v>
      </c>
      <c r="J719" s="5">
        <f t="shared" si="57"/>
        <v>17.939986554931235</v>
      </c>
      <c r="K719" s="5">
        <f t="shared" si="56"/>
        <v>3587.9973109862467</v>
      </c>
      <c r="L719">
        <v>5</v>
      </c>
    </row>
    <row r="720" spans="1:12" x14ac:dyDescent="0.3">
      <c r="A720" t="s">
        <v>116</v>
      </c>
      <c r="B720" t="s">
        <v>13</v>
      </c>
      <c r="C720" s="5">
        <v>0.45255480399999998</v>
      </c>
      <c r="D720" s="5">
        <v>0.57808694400000005</v>
      </c>
      <c r="E720">
        <v>5</v>
      </c>
      <c r="F720" s="2">
        <v>21.140764331210192</v>
      </c>
      <c r="G720" s="3">
        <f t="shared" si="58"/>
        <v>351.01950638890355</v>
      </c>
      <c r="H720" s="3">
        <f t="shared" si="59"/>
        <v>73.206676451504151</v>
      </c>
      <c r="I720" s="3">
        <f t="shared" si="55"/>
        <v>14641.335290300831</v>
      </c>
      <c r="J720" s="5">
        <f t="shared" si="57"/>
        <v>16.80700853888596</v>
      </c>
      <c r="K720" s="5">
        <f t="shared" si="56"/>
        <v>3361.4017077771919</v>
      </c>
      <c r="L720">
        <v>5</v>
      </c>
    </row>
    <row r="721" spans="1:12" x14ac:dyDescent="0.3">
      <c r="A721" t="s">
        <v>116</v>
      </c>
      <c r="B721" t="s">
        <v>13</v>
      </c>
      <c r="C721" s="5">
        <v>0.45255480399999998</v>
      </c>
      <c r="D721" s="5">
        <v>0.57808694400000005</v>
      </c>
      <c r="E721">
        <v>6</v>
      </c>
      <c r="F721" s="2">
        <v>25.640127388535031</v>
      </c>
      <c r="G721" s="3">
        <f t="shared" si="58"/>
        <v>516.33342305359247</v>
      </c>
      <c r="H721" s="3">
        <f t="shared" si="59"/>
        <v>127.47006237308528</v>
      </c>
      <c r="I721" s="3">
        <f t="shared" si="55"/>
        <v>25494.012474617055</v>
      </c>
      <c r="J721" s="5">
        <f t="shared" si="57"/>
        <v>22.79143878250639</v>
      </c>
      <c r="K721" s="5">
        <f t="shared" si="56"/>
        <v>4558.2877565012777</v>
      </c>
      <c r="L721">
        <v>5</v>
      </c>
    </row>
    <row r="722" spans="1:12" x14ac:dyDescent="0.3">
      <c r="A722" t="s">
        <v>116</v>
      </c>
      <c r="B722" t="s">
        <v>51</v>
      </c>
      <c r="C722" s="5">
        <v>0.39984676499999999</v>
      </c>
      <c r="D722" s="5">
        <v>0.450333333</v>
      </c>
      <c r="E722">
        <v>8</v>
      </c>
      <c r="F722" s="2">
        <v>44.068789808917195</v>
      </c>
      <c r="G722" s="3">
        <f t="shared" si="58"/>
        <v>1525.28897115466</v>
      </c>
      <c r="H722" s="3">
        <f t="shared" si="59"/>
        <v>380.73615696613865</v>
      </c>
      <c r="I722" s="3">
        <f t="shared" si="55"/>
        <v>76147.231393227732</v>
      </c>
      <c r="J722" s="5">
        <f t="shared" si="57"/>
        <v>63.363330586230674</v>
      </c>
      <c r="K722" s="5">
        <f t="shared" si="56"/>
        <v>12672.666117246135</v>
      </c>
      <c r="L722">
        <v>5</v>
      </c>
    </row>
    <row r="723" spans="1:12" x14ac:dyDescent="0.3">
      <c r="A723" t="s">
        <v>116</v>
      </c>
      <c r="B723" t="s">
        <v>51</v>
      </c>
      <c r="C723" s="5">
        <v>0.39984676499999999</v>
      </c>
      <c r="D723" s="5">
        <v>0.450333333</v>
      </c>
      <c r="E723">
        <v>9</v>
      </c>
      <c r="F723" s="2">
        <v>54.057961783439488</v>
      </c>
      <c r="G723" s="3">
        <f t="shared" si="58"/>
        <v>2295.140175517909</v>
      </c>
      <c r="H723" s="3">
        <f t="shared" si="59"/>
        <v>636.42480617984609</v>
      </c>
      <c r="I723" s="3">
        <f t="shared" si="55"/>
        <v>127284.96123596921</v>
      </c>
      <c r="J723" s="5">
        <f t="shared" si="57"/>
        <v>101.03699181366383</v>
      </c>
      <c r="K723" s="5">
        <f t="shared" si="56"/>
        <v>20207.398362732765</v>
      </c>
      <c r="L723">
        <v>5</v>
      </c>
    </row>
    <row r="724" spans="1:12" x14ac:dyDescent="0.3">
      <c r="A724" t="s">
        <v>116</v>
      </c>
      <c r="B724" t="s">
        <v>117</v>
      </c>
      <c r="C724" s="5">
        <v>0.85750000000000004</v>
      </c>
      <c r="D724" s="5">
        <v>0.61247410899999999</v>
      </c>
      <c r="E724">
        <v>7</v>
      </c>
      <c r="F724" s="2">
        <v>78.634394904458588</v>
      </c>
      <c r="G724" s="3">
        <f t="shared" si="58"/>
        <v>4856.4059194976544</v>
      </c>
      <c r="H724" s="3">
        <f t="shared" si="59"/>
        <v>1397.2176924168739</v>
      </c>
      <c r="I724" s="3">
        <f t="shared" si="55"/>
        <v>279443.53848337481</v>
      </c>
      <c r="J724" s="5">
        <f t="shared" si="57"/>
        <v>160.47821751876339</v>
      </c>
      <c r="K724" s="5">
        <f t="shared" si="56"/>
        <v>32095.643503752675</v>
      </c>
      <c r="L724">
        <v>5</v>
      </c>
    </row>
    <row r="725" spans="1:12" x14ac:dyDescent="0.3">
      <c r="A725" t="s">
        <v>116</v>
      </c>
      <c r="B725" t="s">
        <v>114</v>
      </c>
      <c r="C725" s="5">
        <v>0.432770245</v>
      </c>
      <c r="D725" s="5">
        <v>0.61247410899999999</v>
      </c>
      <c r="E725">
        <v>5</v>
      </c>
      <c r="F725" s="2">
        <v>9.7133757961783438</v>
      </c>
      <c r="G725" s="3">
        <f t="shared" si="58"/>
        <v>74.102057030759482</v>
      </c>
      <c r="H725" s="3">
        <f t="shared" si="59"/>
        <v>16.972820988755007</v>
      </c>
      <c r="I725" s="3">
        <f t="shared" si="55"/>
        <v>3394.5641977510013</v>
      </c>
      <c r="J725" s="5">
        <f t="shared" si="57"/>
        <v>10.636819213761207</v>
      </c>
      <c r="K725" s="5">
        <f t="shared" si="56"/>
        <v>2127.3638427522415</v>
      </c>
      <c r="L725">
        <v>5</v>
      </c>
    </row>
    <row r="726" spans="1:12" x14ac:dyDescent="0.3">
      <c r="A726" t="s">
        <v>116</v>
      </c>
      <c r="B726" t="s">
        <v>68</v>
      </c>
      <c r="C726" s="5">
        <v>0.39</v>
      </c>
      <c r="D726" s="5">
        <v>0.28861111099999998</v>
      </c>
      <c r="E726">
        <v>6</v>
      </c>
      <c r="F726" s="2">
        <v>18.754140127388535</v>
      </c>
      <c r="G726" s="3">
        <f t="shared" si="58"/>
        <v>276.23849209842371</v>
      </c>
      <c r="H726" s="3">
        <f t="shared" si="59"/>
        <v>35.143245622510541</v>
      </c>
      <c r="I726" s="3">
        <f t="shared" si="55"/>
        <v>7028.649124502108</v>
      </c>
      <c r="J726" s="5">
        <f t="shared" si="57"/>
        <v>16.371773210272224</v>
      </c>
      <c r="K726" s="5">
        <f t="shared" si="56"/>
        <v>3274.3546420544449</v>
      </c>
      <c r="L726">
        <v>5</v>
      </c>
    </row>
    <row r="727" spans="1:12" x14ac:dyDescent="0.3">
      <c r="A727" t="s">
        <v>116</v>
      </c>
      <c r="B727" t="s">
        <v>23</v>
      </c>
      <c r="C727" s="5">
        <v>0.48464433800000001</v>
      </c>
      <c r="D727" s="5">
        <v>0.62688577999999995</v>
      </c>
      <c r="E727">
        <v>5</v>
      </c>
      <c r="F727" s="2">
        <v>67.557961783439495</v>
      </c>
      <c r="G727" s="3">
        <f t="shared" si="58"/>
        <v>3584.6186361436112</v>
      </c>
      <c r="H727" s="3">
        <f t="shared" si="59"/>
        <v>765.23405333008623</v>
      </c>
      <c r="I727" s="3">
        <f t="shared" si="55"/>
        <v>153046.81066601723</v>
      </c>
      <c r="J727" s="5">
        <f t="shared" si="57"/>
        <v>88.857068505821744</v>
      </c>
      <c r="K727" s="5">
        <f t="shared" si="56"/>
        <v>17771.413701164351</v>
      </c>
      <c r="L727">
        <v>5</v>
      </c>
    </row>
    <row r="728" spans="1:12" x14ac:dyDescent="0.3">
      <c r="A728" t="s">
        <v>116</v>
      </c>
      <c r="B728" t="s">
        <v>115</v>
      </c>
      <c r="C728" s="5">
        <v>0.98708677300000003</v>
      </c>
      <c r="D728" s="5">
        <v>0.60285714300000004</v>
      </c>
      <c r="E728">
        <v>7</v>
      </c>
      <c r="F728" s="2">
        <v>5.5414012738853495</v>
      </c>
      <c r="G728" s="3">
        <f t="shared" si="58"/>
        <v>24.117321995842772</v>
      </c>
      <c r="H728" s="3">
        <f t="shared" si="59"/>
        <v>7.7600670915249443</v>
      </c>
      <c r="I728" s="3">
        <f t="shared" si="55"/>
        <v>1552.013418304989</v>
      </c>
      <c r="J728" s="5">
        <f t="shared" si="57"/>
        <v>9.7380246379163449</v>
      </c>
      <c r="K728" s="5">
        <f t="shared" si="56"/>
        <v>1947.604927583269</v>
      </c>
      <c r="L728">
        <v>5</v>
      </c>
    </row>
    <row r="729" spans="1:12" x14ac:dyDescent="0.3">
      <c r="A729" t="s">
        <v>116</v>
      </c>
      <c r="B729" t="s">
        <v>104</v>
      </c>
      <c r="C729" s="5">
        <v>0.470857311</v>
      </c>
      <c r="D729" s="5">
        <v>0.375</v>
      </c>
      <c r="E729">
        <v>5</v>
      </c>
      <c r="F729" s="2">
        <v>61.340764331210188</v>
      </c>
      <c r="G729" s="3">
        <f t="shared" si="58"/>
        <v>2955.2093196411975</v>
      </c>
      <c r="H729" s="3">
        <f t="shared" si="59"/>
        <v>383.84042483622329</v>
      </c>
      <c r="I729" s="3">
        <f t="shared" si="55"/>
        <v>76768.084967244664</v>
      </c>
      <c r="J729" s="5">
        <f t="shared" si="57"/>
        <v>74.832763952898688</v>
      </c>
      <c r="K729" s="5">
        <f t="shared" si="56"/>
        <v>14966.552790579739</v>
      </c>
      <c r="L729">
        <v>5</v>
      </c>
    </row>
    <row r="730" spans="1:12" x14ac:dyDescent="0.3">
      <c r="A730" t="s">
        <v>116</v>
      </c>
      <c r="B730" t="s">
        <v>89</v>
      </c>
      <c r="C730" s="5">
        <v>0.28577490700000002</v>
      </c>
      <c r="D730" s="5">
        <v>0.3422</v>
      </c>
      <c r="E730">
        <v>6</v>
      </c>
      <c r="F730" s="2">
        <v>6.8471337579617835</v>
      </c>
      <c r="G730" s="3">
        <f t="shared" si="58"/>
        <v>36.822011139444854</v>
      </c>
      <c r="H730" s="3">
        <f t="shared" si="59"/>
        <v>5.8057879598449702</v>
      </c>
      <c r="I730" s="3">
        <f t="shared" si="55"/>
        <v>1161.157591968994</v>
      </c>
      <c r="J730" s="5">
        <f t="shared" si="57"/>
        <v>9.9702480546878167</v>
      </c>
      <c r="K730" s="5">
        <f t="shared" si="56"/>
        <v>1994.0496109375631</v>
      </c>
      <c r="L730">
        <v>5</v>
      </c>
    </row>
    <row r="731" spans="1:12" x14ac:dyDescent="0.3">
      <c r="A731" t="s">
        <v>118</v>
      </c>
      <c r="B731" t="s">
        <v>70</v>
      </c>
      <c r="C731" s="5">
        <v>0.86</v>
      </c>
      <c r="D731" s="5">
        <v>0.65666666699999998</v>
      </c>
      <c r="E731">
        <v>8</v>
      </c>
      <c r="F731" s="2">
        <v>13.535031847133757</v>
      </c>
      <c r="G731" s="3">
        <f t="shared" si="58"/>
        <v>143.88265575039969</v>
      </c>
      <c r="H731" s="3">
        <f t="shared" si="59"/>
        <v>54.924751702683182</v>
      </c>
      <c r="I731" s="3">
        <f t="shared" si="55"/>
        <v>10984.950340536638</v>
      </c>
      <c r="J731" s="5">
        <f t="shared" si="57"/>
        <v>14.1152184388819</v>
      </c>
      <c r="K731" s="5">
        <f t="shared" si="56"/>
        <v>2823.04368777638</v>
      </c>
      <c r="L731">
        <v>5</v>
      </c>
    </row>
    <row r="732" spans="1:12" x14ac:dyDescent="0.3">
      <c r="A732" t="s">
        <v>118</v>
      </c>
      <c r="B732" t="s">
        <v>55</v>
      </c>
      <c r="C732" s="5">
        <v>0.41</v>
      </c>
      <c r="D732" s="5">
        <v>0.33983503399999998</v>
      </c>
      <c r="E732">
        <v>7</v>
      </c>
      <c r="F732" s="2">
        <v>5.1910828025477711</v>
      </c>
      <c r="G732" s="3">
        <f t="shared" si="58"/>
        <v>21.164391865092711</v>
      </c>
      <c r="H732" s="3">
        <f t="shared" si="59"/>
        <v>3.90419944376568</v>
      </c>
      <c r="I732" s="3">
        <f t="shared" si="55"/>
        <v>780.83988875313594</v>
      </c>
      <c r="J732" s="5">
        <f t="shared" si="57"/>
        <v>9.645909846241226</v>
      </c>
      <c r="K732" s="5">
        <f t="shared" si="56"/>
        <v>1929.1819692482452</v>
      </c>
      <c r="L732">
        <v>5</v>
      </c>
    </row>
    <row r="733" spans="1:12" x14ac:dyDescent="0.3">
      <c r="A733" t="s">
        <v>118</v>
      </c>
      <c r="B733" t="s">
        <v>119</v>
      </c>
      <c r="C733" s="5">
        <v>0.64800000000000002</v>
      </c>
      <c r="D733" s="5">
        <v>0.66733333299999997</v>
      </c>
      <c r="E733">
        <v>7</v>
      </c>
      <c r="F733" s="2">
        <v>8.6942675159235669</v>
      </c>
      <c r="G733" s="3">
        <f t="shared" si="58"/>
        <v>59.368473081918566</v>
      </c>
      <c r="H733" s="3">
        <f t="shared" si="59"/>
        <v>20.642968783980272</v>
      </c>
      <c r="I733" s="3">
        <f t="shared" si="55"/>
        <v>4128.5937567960545</v>
      </c>
      <c r="J733" s="5">
        <f t="shared" si="57"/>
        <v>10.837662047141873</v>
      </c>
      <c r="K733" s="5">
        <f t="shared" si="56"/>
        <v>2167.5324094283742</v>
      </c>
      <c r="L733">
        <v>5</v>
      </c>
    </row>
    <row r="734" spans="1:12" x14ac:dyDescent="0.3">
      <c r="A734" t="s">
        <v>118</v>
      </c>
      <c r="B734" t="s">
        <v>80</v>
      </c>
      <c r="C734" s="5">
        <v>0.6</v>
      </c>
      <c r="D734" s="5">
        <v>0.66674999999999995</v>
      </c>
      <c r="E734">
        <v>6</v>
      </c>
      <c r="F734" s="2">
        <v>8.1847133757961785</v>
      </c>
      <c r="G734" s="3">
        <f t="shared" si="58"/>
        <v>52.613456219560696</v>
      </c>
      <c r="H734" s="3">
        <f t="shared" si="59"/>
        <v>15.771078015209122</v>
      </c>
      <c r="I734" s="3">
        <f t="shared" si="55"/>
        <v>3154.2156030418246</v>
      </c>
      <c r="J734" s="5">
        <f t="shared" si="57"/>
        <v>10.392480193922674</v>
      </c>
      <c r="K734" s="5">
        <f t="shared" si="56"/>
        <v>2078.4960387845349</v>
      </c>
      <c r="L734">
        <v>5</v>
      </c>
    </row>
    <row r="735" spans="1:12" x14ac:dyDescent="0.3">
      <c r="A735" t="s">
        <v>118</v>
      </c>
      <c r="B735" t="s">
        <v>108</v>
      </c>
      <c r="C735" s="5">
        <v>0.6</v>
      </c>
      <c r="D735" s="5">
        <v>0.51040266700000003</v>
      </c>
      <c r="E735">
        <v>8</v>
      </c>
      <c r="F735" s="2">
        <v>37.028662420382162</v>
      </c>
      <c r="G735" s="3">
        <f t="shared" si="58"/>
        <v>1076.8765754348442</v>
      </c>
      <c r="H735" s="3">
        <f t="shared" si="59"/>
        <v>306.29516386915117</v>
      </c>
      <c r="I735" s="3">
        <f t="shared" si="55"/>
        <v>61259.032773830229</v>
      </c>
      <c r="J735" s="5">
        <f t="shared" si="57"/>
        <v>47.377111537993422</v>
      </c>
      <c r="K735" s="5">
        <f t="shared" si="56"/>
        <v>9475.4223075986847</v>
      </c>
      <c r="L735">
        <v>5</v>
      </c>
    </row>
    <row r="736" spans="1:12" x14ac:dyDescent="0.3">
      <c r="A736" t="s">
        <v>118</v>
      </c>
      <c r="B736" t="s">
        <v>120</v>
      </c>
      <c r="C736" s="5">
        <v>0.51642601200000005</v>
      </c>
      <c r="D736" s="5">
        <v>0.60835714299999999</v>
      </c>
      <c r="E736">
        <v>4</v>
      </c>
      <c r="F736" s="2">
        <v>3.9808917197452227</v>
      </c>
      <c r="G736" s="3">
        <f t="shared" si="58"/>
        <v>12.446596518200664</v>
      </c>
      <c r="H736" s="3">
        <f t="shared" si="59"/>
        <v>2.3775304788550691</v>
      </c>
      <c r="I736" s="3">
        <f t="shared" si="55"/>
        <v>475.50609577101375</v>
      </c>
      <c r="J736" s="5">
        <f t="shared" si="57"/>
        <v>9.2075649843807046</v>
      </c>
      <c r="K736" s="5">
        <f t="shared" si="56"/>
        <v>1841.5129968761407</v>
      </c>
      <c r="L736">
        <v>5</v>
      </c>
    </row>
    <row r="737" spans="1:12" x14ac:dyDescent="0.3">
      <c r="A737" t="s">
        <v>118</v>
      </c>
      <c r="B737" t="s">
        <v>121</v>
      </c>
      <c r="C737" s="5">
        <v>0.490852183</v>
      </c>
      <c r="D737" s="5">
        <v>0.607288889</v>
      </c>
      <c r="E737">
        <v>4</v>
      </c>
      <c r="F737" s="2">
        <v>3.9490445859872612</v>
      </c>
      <c r="G737" s="3">
        <f t="shared" si="58"/>
        <v>12.248247556086621</v>
      </c>
      <c r="H737" s="3">
        <f t="shared" si="59"/>
        <v>2.3365330014311816</v>
      </c>
      <c r="I737" s="3">
        <f t="shared" si="55"/>
        <v>467.30660028623635</v>
      </c>
      <c r="J737" s="5">
        <f t="shared" si="57"/>
        <v>9.2040293439896139</v>
      </c>
      <c r="K737" s="5">
        <f t="shared" si="56"/>
        <v>1840.8058687979228</v>
      </c>
      <c r="L737">
        <v>5</v>
      </c>
    </row>
    <row r="738" spans="1:12" x14ac:dyDescent="0.3">
      <c r="A738" t="s">
        <v>118</v>
      </c>
      <c r="B738" t="s">
        <v>121</v>
      </c>
      <c r="C738" s="5">
        <v>0.490852183</v>
      </c>
      <c r="D738" s="5">
        <v>0.607288889</v>
      </c>
      <c r="E738">
        <v>5</v>
      </c>
      <c r="F738" s="2">
        <v>4.6178343949044587</v>
      </c>
      <c r="G738" s="3">
        <f t="shared" si="58"/>
        <v>16.748140274890819</v>
      </c>
      <c r="H738" s="3">
        <f t="shared" si="59"/>
        <v>3.9426416279145227</v>
      </c>
      <c r="I738" s="3">
        <f t="shared" si="55"/>
        <v>788.52832558290459</v>
      </c>
      <c r="J738" s="5">
        <f t="shared" si="57"/>
        <v>9.3588769037283459</v>
      </c>
      <c r="K738" s="5">
        <f t="shared" si="56"/>
        <v>1871.7753807456691</v>
      </c>
      <c r="L738">
        <v>5</v>
      </c>
    </row>
    <row r="739" spans="1:12" x14ac:dyDescent="0.3">
      <c r="A739" t="s">
        <v>118</v>
      </c>
      <c r="B739" t="s">
        <v>13</v>
      </c>
      <c r="C739" s="5">
        <v>0.45255480399999998</v>
      </c>
      <c r="D739" s="5">
        <v>0.57808694400000005</v>
      </c>
      <c r="E739">
        <v>9</v>
      </c>
      <c r="F739" s="2">
        <v>103.62165605095541</v>
      </c>
      <c r="G739" s="3">
        <f t="shared" si="58"/>
        <v>8433.1716267702959</v>
      </c>
      <c r="H739" s="3">
        <f t="shared" si="59"/>
        <v>2892.1479826513792</v>
      </c>
      <c r="I739" s="3">
        <f t="shared" si="55"/>
        <v>578429.59653027577</v>
      </c>
      <c r="J739" s="5">
        <f t="shared" si="57"/>
        <v>347.21529948638891</v>
      </c>
      <c r="K739" s="5">
        <f t="shared" si="56"/>
        <v>69443.059897277781</v>
      </c>
      <c r="L739">
        <v>5</v>
      </c>
    </row>
    <row r="740" spans="1:12" x14ac:dyDescent="0.3">
      <c r="A740" t="s">
        <v>118</v>
      </c>
      <c r="B740" t="s">
        <v>13</v>
      </c>
      <c r="C740" s="5">
        <v>0.45255480399999998</v>
      </c>
      <c r="D740" s="5">
        <v>0.57808694400000005</v>
      </c>
      <c r="E740">
        <v>10</v>
      </c>
      <c r="F740" s="2">
        <v>114.11210191082803</v>
      </c>
      <c r="G740" s="3">
        <f t="shared" si="58"/>
        <v>10227.118578237156</v>
      </c>
      <c r="H740" s="3">
        <f t="shared" si="59"/>
        <v>3869.2953155607574</v>
      </c>
      <c r="I740" s="3">
        <f t="shared" si="55"/>
        <v>773859.06311215158</v>
      </c>
      <c r="J740" s="5">
        <f t="shared" si="57"/>
        <v>464.74071308775211</v>
      </c>
      <c r="K740" s="5">
        <f t="shared" si="56"/>
        <v>92948.142617550417</v>
      </c>
      <c r="L740">
        <v>5</v>
      </c>
    </row>
    <row r="741" spans="1:12" x14ac:dyDescent="0.3">
      <c r="A741" t="s">
        <v>118</v>
      </c>
      <c r="B741" t="s">
        <v>51</v>
      </c>
      <c r="C741" s="5">
        <v>0.39984676499999999</v>
      </c>
      <c r="D741" s="5">
        <v>0.450333333</v>
      </c>
      <c r="E741">
        <v>9</v>
      </c>
      <c r="F741" s="2">
        <v>20.445859872611464</v>
      </c>
      <c r="G741" s="3">
        <f t="shared" si="58"/>
        <v>328.3224964689702</v>
      </c>
      <c r="H741" s="3">
        <f t="shared" si="59"/>
        <v>95.390852687955942</v>
      </c>
      <c r="I741" s="3">
        <f t="shared" si="55"/>
        <v>19078.170537591188</v>
      </c>
      <c r="J741" s="5">
        <f t="shared" si="57"/>
        <v>22.153745356809605</v>
      </c>
      <c r="K741" s="5">
        <f t="shared" si="56"/>
        <v>4430.7490713619209</v>
      </c>
      <c r="L741">
        <v>5</v>
      </c>
    </row>
    <row r="742" spans="1:12" x14ac:dyDescent="0.3">
      <c r="A742" t="s">
        <v>118</v>
      </c>
      <c r="B742" t="s">
        <v>34</v>
      </c>
      <c r="C742" s="5">
        <v>0.590536375</v>
      </c>
      <c r="D742" s="5">
        <v>0.61247410899999999</v>
      </c>
      <c r="E742">
        <v>7</v>
      </c>
      <c r="F742" s="2">
        <v>52.821019108280254</v>
      </c>
      <c r="G742" s="3">
        <f t="shared" si="58"/>
        <v>2191.3080466077167</v>
      </c>
      <c r="H742" s="3">
        <f t="shared" si="59"/>
        <v>642.60959684930765</v>
      </c>
      <c r="I742" s="3">
        <f t="shared" si="55"/>
        <v>128521.91936986153</v>
      </c>
      <c r="J742" s="5">
        <f t="shared" si="57"/>
        <v>77.342171461114035</v>
      </c>
      <c r="K742" s="5">
        <f t="shared" si="56"/>
        <v>15468.434292222806</v>
      </c>
      <c r="L742">
        <v>5</v>
      </c>
    </row>
    <row r="743" spans="1:12" x14ac:dyDescent="0.3">
      <c r="A743" t="s">
        <v>118</v>
      </c>
      <c r="B743" t="s">
        <v>23</v>
      </c>
      <c r="C743" s="5">
        <v>0.48464433800000001</v>
      </c>
      <c r="D743" s="5">
        <v>0.62688577999999995</v>
      </c>
      <c r="E743">
        <v>7</v>
      </c>
      <c r="F743" s="2">
        <v>10</v>
      </c>
      <c r="G743" s="3">
        <f t="shared" si="58"/>
        <v>78.539816339744831</v>
      </c>
      <c r="H743" s="3">
        <f t="shared" si="59"/>
        <v>25.520351269072634</v>
      </c>
      <c r="I743" s="3">
        <f t="shared" si="55"/>
        <v>5104.070253814527</v>
      </c>
      <c r="J743" s="5">
        <f t="shared" si="57"/>
        <v>11.435700000000001</v>
      </c>
      <c r="K743" s="5">
        <f t="shared" si="56"/>
        <v>2287.1400000000003</v>
      </c>
      <c r="L743">
        <v>5</v>
      </c>
    </row>
    <row r="744" spans="1:12" x14ac:dyDescent="0.3">
      <c r="A744" t="s">
        <v>118</v>
      </c>
      <c r="B744" t="s">
        <v>42</v>
      </c>
      <c r="C744" s="5">
        <v>0.40238543599999999</v>
      </c>
      <c r="D744" s="5">
        <v>0.40883333300000002</v>
      </c>
      <c r="E744">
        <v>6</v>
      </c>
      <c r="F744" s="2">
        <v>10.318471337579616</v>
      </c>
      <c r="G744" s="3">
        <f t="shared" si="58"/>
        <v>83.622010630056508</v>
      </c>
      <c r="H744" s="3">
        <f t="shared" si="59"/>
        <v>15.379317320992111</v>
      </c>
      <c r="I744" s="3">
        <f t="shared" si="55"/>
        <v>3075.8634641984222</v>
      </c>
      <c r="J744" s="5">
        <f t="shared" si="57"/>
        <v>11.221587865633493</v>
      </c>
      <c r="K744" s="5">
        <f t="shared" si="56"/>
        <v>2244.3175731266988</v>
      </c>
      <c r="L744">
        <v>5</v>
      </c>
    </row>
    <row r="745" spans="1:12" x14ac:dyDescent="0.3">
      <c r="A745" t="s">
        <v>118</v>
      </c>
      <c r="B745" t="s">
        <v>42</v>
      </c>
      <c r="C745" s="5">
        <v>0.40238543599999999</v>
      </c>
      <c r="D745" s="5">
        <v>0.40883333300000002</v>
      </c>
      <c r="E745">
        <v>8</v>
      </c>
      <c r="F745" s="2">
        <v>11.687898089171975</v>
      </c>
      <c r="G745" s="3">
        <f t="shared" si="58"/>
        <v>107.29085686015551</v>
      </c>
      <c r="H745" s="3">
        <f t="shared" si="59"/>
        <v>25.97296691096912</v>
      </c>
      <c r="I745" s="3">
        <f t="shared" si="55"/>
        <v>5194.5933821938243</v>
      </c>
      <c r="J745" s="5">
        <f t="shared" si="57"/>
        <v>12.810694928800357</v>
      </c>
      <c r="K745" s="5">
        <f t="shared" si="56"/>
        <v>2562.1389857600716</v>
      </c>
      <c r="L745">
        <v>5</v>
      </c>
    </row>
    <row r="746" spans="1:12" x14ac:dyDescent="0.3">
      <c r="A746" t="s">
        <v>118</v>
      </c>
      <c r="B746" t="s">
        <v>42</v>
      </c>
      <c r="C746" s="5">
        <v>0.40238543599999999</v>
      </c>
      <c r="D746" s="5">
        <v>0.40883333300000002</v>
      </c>
      <c r="E746">
        <v>7</v>
      </c>
      <c r="F746" s="2">
        <v>12.579617834394904</v>
      </c>
      <c r="G746" s="3">
        <f t="shared" si="58"/>
        <v>124.28673419214456</v>
      </c>
      <c r="H746" s="3">
        <f t="shared" si="59"/>
        <v>26.317873507690436</v>
      </c>
      <c r="I746" s="3">
        <f t="shared" si="55"/>
        <v>5263.5747015380875</v>
      </c>
      <c r="J746" s="5">
        <f t="shared" si="57"/>
        <v>12.862746229055944</v>
      </c>
      <c r="K746" s="5">
        <f t="shared" si="56"/>
        <v>2572.5492458111885</v>
      </c>
      <c r="L746">
        <v>5</v>
      </c>
    </row>
    <row r="747" spans="1:12" x14ac:dyDescent="0.3">
      <c r="A747" t="s">
        <v>122</v>
      </c>
      <c r="B747" t="s">
        <v>46</v>
      </c>
      <c r="C747" s="5">
        <v>0.40257753800000001</v>
      </c>
      <c r="D747" s="5">
        <v>0.40843333300000001</v>
      </c>
      <c r="E747">
        <v>8</v>
      </c>
      <c r="F747" s="2">
        <v>11.942675159235668</v>
      </c>
      <c r="G747" s="3">
        <f t="shared" si="58"/>
        <v>112.01936866380598</v>
      </c>
      <c r="H747" s="3">
        <f t="shared" si="59"/>
        <v>27.063721971458278</v>
      </c>
      <c r="I747" s="3">
        <f t="shared" si="55"/>
        <v>5412.7443942916561</v>
      </c>
      <c r="J747" s="5">
        <f t="shared" si="57"/>
        <v>12.979269718852692</v>
      </c>
      <c r="K747" s="5">
        <f t="shared" si="56"/>
        <v>2595.8539437705381</v>
      </c>
      <c r="L747">
        <v>5</v>
      </c>
    </row>
    <row r="748" spans="1:12" x14ac:dyDescent="0.3">
      <c r="A748" t="s">
        <v>122</v>
      </c>
      <c r="B748" t="s">
        <v>64</v>
      </c>
      <c r="C748" s="5">
        <v>0.31264018999999998</v>
      </c>
      <c r="D748" s="5">
        <v>0.356821212</v>
      </c>
      <c r="E748" s="1">
        <v>4.5</v>
      </c>
      <c r="F748" s="2">
        <v>12.834394904458597</v>
      </c>
      <c r="G748" s="3">
        <f t="shared" si="58"/>
        <v>129.37211481116489</v>
      </c>
      <c r="H748" s="3">
        <f t="shared" si="59"/>
        <v>15.570089278041378</v>
      </c>
      <c r="I748" s="3">
        <f t="shared" si="55"/>
        <v>3114.0178556082756</v>
      </c>
      <c r="J748" s="5">
        <f t="shared" si="57"/>
        <v>11.580066657876586</v>
      </c>
      <c r="K748" s="5">
        <f t="shared" si="56"/>
        <v>2316.0133315753169</v>
      </c>
      <c r="L748">
        <v>5</v>
      </c>
    </row>
    <row r="749" spans="1:12" x14ac:dyDescent="0.3">
      <c r="A749" t="s">
        <v>122</v>
      </c>
      <c r="B749" t="s">
        <v>119</v>
      </c>
      <c r="C749" s="5">
        <v>0.64800000000000002</v>
      </c>
      <c r="D749" s="5">
        <v>0.66733333299999997</v>
      </c>
      <c r="E749">
        <v>7</v>
      </c>
      <c r="F749" s="2">
        <v>9.1082802547770694</v>
      </c>
      <c r="G749" s="3">
        <f t="shared" si="58"/>
        <v>65.157235763375468</v>
      </c>
      <c r="H749" s="3">
        <f t="shared" si="59"/>
        <v>22.605242247233235</v>
      </c>
      <c r="I749" s="3">
        <f t="shared" si="55"/>
        <v>4521.0484494466473</v>
      </c>
      <c r="J749" s="5">
        <f t="shared" si="57"/>
        <v>11.018238845389265</v>
      </c>
      <c r="K749" s="5">
        <f t="shared" si="56"/>
        <v>2203.6477690778529</v>
      </c>
      <c r="L749">
        <v>5</v>
      </c>
    </row>
    <row r="750" spans="1:12" x14ac:dyDescent="0.3">
      <c r="A750" t="s">
        <v>122</v>
      </c>
      <c r="B750" t="s">
        <v>110</v>
      </c>
      <c r="C750" s="5">
        <v>0.56572270000000002</v>
      </c>
      <c r="D750" s="5">
        <v>0.61247410899999999</v>
      </c>
      <c r="E750">
        <v>8</v>
      </c>
      <c r="F750" s="2">
        <v>31.370063694267515</v>
      </c>
      <c r="G750" s="3">
        <f t="shared" si="58"/>
        <v>772.89532849617251</v>
      </c>
      <c r="H750" s="3">
        <f t="shared" si="59"/>
        <v>264.7442779426911</v>
      </c>
      <c r="I750" s="3">
        <f t="shared" si="55"/>
        <v>52948.855588538223</v>
      </c>
      <c r="J750" s="5">
        <f t="shared" si="57"/>
        <v>36.53996509310722</v>
      </c>
      <c r="K750" s="5">
        <f t="shared" si="56"/>
        <v>7307.9930186214433</v>
      </c>
      <c r="L750">
        <v>5</v>
      </c>
    </row>
    <row r="751" spans="1:12" x14ac:dyDescent="0.3">
      <c r="A751" t="s">
        <v>122</v>
      </c>
      <c r="B751" t="s">
        <v>108</v>
      </c>
      <c r="C751" s="5">
        <v>0.6</v>
      </c>
      <c r="D751" s="5">
        <v>0.51040266700000003</v>
      </c>
      <c r="E751">
        <v>6</v>
      </c>
      <c r="F751" s="2">
        <v>80.32101910828024</v>
      </c>
      <c r="G751" s="3">
        <f t="shared" si="58"/>
        <v>5066.9696344804015</v>
      </c>
      <c r="H751" s="3">
        <f t="shared" si="59"/>
        <v>1048.6735817764752</v>
      </c>
      <c r="I751" s="3">
        <f t="shared" si="55"/>
        <v>209734.71635529507</v>
      </c>
      <c r="J751" s="5">
        <f t="shared" si="57"/>
        <v>144.46648832244713</v>
      </c>
      <c r="K751" s="5">
        <f t="shared" si="56"/>
        <v>28893.29766448943</v>
      </c>
      <c r="L751">
        <v>5</v>
      </c>
    </row>
    <row r="752" spans="1:12" x14ac:dyDescent="0.3">
      <c r="A752" t="s">
        <v>122</v>
      </c>
      <c r="B752" t="s">
        <v>121</v>
      </c>
      <c r="C752" s="5">
        <v>0.490852183</v>
      </c>
      <c r="D752" s="5">
        <v>0.607288889</v>
      </c>
      <c r="E752">
        <v>6</v>
      </c>
      <c r="F752" s="2">
        <v>6.7515923566878975</v>
      </c>
      <c r="G752" s="3">
        <f t="shared" si="58"/>
        <v>35.801589370496679</v>
      </c>
      <c r="H752" s="3">
        <f t="shared" si="59"/>
        <v>9.8874763874812128</v>
      </c>
      <c r="I752" s="3">
        <f t="shared" si="55"/>
        <v>1977.4952774962426</v>
      </c>
      <c r="J752" s="5">
        <f t="shared" si="57"/>
        <v>9.9429639863686141</v>
      </c>
      <c r="K752" s="5">
        <f t="shared" si="56"/>
        <v>1988.5927972737227</v>
      </c>
      <c r="L752">
        <v>5</v>
      </c>
    </row>
    <row r="753" spans="1:12" x14ac:dyDescent="0.3">
      <c r="A753" t="s">
        <v>122</v>
      </c>
      <c r="B753" t="s">
        <v>13</v>
      </c>
      <c r="C753" s="5">
        <v>0.45255480399999998</v>
      </c>
      <c r="D753" s="5">
        <v>0.57808694400000005</v>
      </c>
      <c r="E753">
        <v>6</v>
      </c>
      <c r="F753" s="2">
        <v>19.962420382165604</v>
      </c>
      <c r="G753" s="3">
        <f t="shared" si="58"/>
        <v>312.97977600687028</v>
      </c>
      <c r="H753" s="3">
        <f t="shared" si="59"/>
        <v>78.200975450462707</v>
      </c>
      <c r="I753" s="3">
        <f t="shared" si="55"/>
        <v>15640.19509009254</v>
      </c>
      <c r="J753" s="5">
        <f t="shared" si="57"/>
        <v>17.354162777800312</v>
      </c>
      <c r="K753" s="5">
        <f t="shared" si="56"/>
        <v>3470.8325555600627</v>
      </c>
      <c r="L753">
        <v>5</v>
      </c>
    </row>
    <row r="754" spans="1:12" x14ac:dyDescent="0.3">
      <c r="A754" t="s">
        <v>122</v>
      </c>
      <c r="B754" t="s">
        <v>13</v>
      </c>
      <c r="C754" s="5">
        <v>0.45255480399999998</v>
      </c>
      <c r="D754" s="5">
        <v>0.57808694400000005</v>
      </c>
      <c r="E754">
        <v>7</v>
      </c>
      <c r="F754" s="2">
        <v>29.359872611464969</v>
      </c>
      <c r="G754" s="3">
        <f t="shared" si="58"/>
        <v>677.01488170535072</v>
      </c>
      <c r="H754" s="3">
        <f t="shared" si="59"/>
        <v>193.01551068577083</v>
      </c>
      <c r="I754" s="3">
        <f t="shared" si="55"/>
        <v>38603.102137154165</v>
      </c>
      <c r="J754" s="5">
        <f t="shared" si="57"/>
        <v>30.104751934155544</v>
      </c>
      <c r="K754" s="5">
        <f t="shared" si="56"/>
        <v>6020.9503868311094</v>
      </c>
      <c r="L754">
        <v>5</v>
      </c>
    </row>
    <row r="755" spans="1:12" x14ac:dyDescent="0.3">
      <c r="A755" t="s">
        <v>122</v>
      </c>
      <c r="B755" t="s">
        <v>51</v>
      </c>
      <c r="C755" s="5">
        <v>0.39984676499999999</v>
      </c>
      <c r="D755" s="5">
        <v>0.450333333</v>
      </c>
      <c r="E755">
        <v>8</v>
      </c>
      <c r="F755" s="2">
        <v>19.840764331210188</v>
      </c>
      <c r="G755" s="3">
        <f t="shared" si="58"/>
        <v>309.17664384081314</v>
      </c>
      <c r="H755" s="3">
        <f t="shared" si="59"/>
        <v>80.188882506712957</v>
      </c>
      <c r="I755" s="3">
        <f t="shared" si="55"/>
        <v>16037.776501342591</v>
      </c>
      <c r="J755" s="5">
        <f t="shared" si="57"/>
        <v>20.008066018905431</v>
      </c>
      <c r="K755" s="5">
        <f t="shared" si="56"/>
        <v>4001.6132037810867</v>
      </c>
      <c r="L755">
        <v>5</v>
      </c>
    </row>
    <row r="756" spans="1:12" x14ac:dyDescent="0.3">
      <c r="A756" t="s">
        <v>122</v>
      </c>
      <c r="B756" t="s">
        <v>113</v>
      </c>
      <c r="C756" s="5">
        <v>0.56023871300000005</v>
      </c>
      <c r="D756" s="5">
        <v>0.74103703700000001</v>
      </c>
      <c r="E756">
        <v>6</v>
      </c>
      <c r="F756" s="2">
        <v>7.484076433121019</v>
      </c>
      <c r="G756" s="3">
        <f t="shared" si="58"/>
        <v>43.991250733928432</v>
      </c>
      <c r="H756" s="3">
        <f t="shared" si="59"/>
        <v>14.681561047765641</v>
      </c>
      <c r="I756" s="3">
        <f t="shared" si="55"/>
        <v>2936.312209553128</v>
      </c>
      <c r="J756" s="5">
        <f t="shared" si="57"/>
        <v>10.161939401192745</v>
      </c>
      <c r="K756" s="5">
        <f t="shared" si="56"/>
        <v>2032.3878802385491</v>
      </c>
      <c r="L756">
        <v>5</v>
      </c>
    </row>
    <row r="757" spans="1:12" x14ac:dyDescent="0.3">
      <c r="A757" t="s">
        <v>122</v>
      </c>
      <c r="B757" t="s">
        <v>22</v>
      </c>
      <c r="C757" s="5">
        <v>0.50857142899999996</v>
      </c>
      <c r="D757" s="5">
        <v>0.49666666700000001</v>
      </c>
      <c r="E757">
        <v>6</v>
      </c>
      <c r="F757" s="2">
        <v>8.503184713375795</v>
      </c>
      <c r="G757" s="3">
        <f t="shared" si="58"/>
        <v>56.78754682790445</v>
      </c>
      <c r="H757" s="3">
        <f t="shared" si="59"/>
        <v>12.746573289289815</v>
      </c>
      <c r="I757" s="3">
        <f t="shared" si="55"/>
        <v>2549.3146578579626</v>
      </c>
      <c r="J757" s="5">
        <f t="shared" si="57"/>
        <v>10.504087155665543</v>
      </c>
      <c r="K757" s="5">
        <f t="shared" si="56"/>
        <v>2100.8174311331086</v>
      </c>
      <c r="L757">
        <v>5</v>
      </c>
    </row>
    <row r="758" spans="1:12" x14ac:dyDescent="0.3">
      <c r="A758" t="s">
        <v>122</v>
      </c>
      <c r="B758" t="s">
        <v>22</v>
      </c>
      <c r="C758" s="5">
        <v>0.50857142899999996</v>
      </c>
      <c r="D758" s="5">
        <v>0.49666666700000001</v>
      </c>
      <c r="E758">
        <v>8</v>
      </c>
      <c r="F758" s="2">
        <v>60.440127388535032</v>
      </c>
      <c r="G758" s="3">
        <f t="shared" si="58"/>
        <v>2869.0665584865874</v>
      </c>
      <c r="H758" s="3">
        <f t="shared" si="59"/>
        <v>776.13535906269624</v>
      </c>
      <c r="I758" s="3">
        <f t="shared" si="55"/>
        <v>155227.07181253925</v>
      </c>
      <c r="J758" s="5">
        <f t="shared" si="57"/>
        <v>111.26995196478559</v>
      </c>
      <c r="K758" s="5">
        <f t="shared" si="56"/>
        <v>22253.990392957119</v>
      </c>
      <c r="L758">
        <v>5</v>
      </c>
    </row>
    <row r="759" spans="1:12" x14ac:dyDescent="0.3">
      <c r="A759" t="s">
        <v>122</v>
      </c>
      <c r="B759" t="s">
        <v>68</v>
      </c>
      <c r="C759" s="5">
        <v>0.39</v>
      </c>
      <c r="D759" s="5">
        <v>0.28861111099999998</v>
      </c>
      <c r="E759">
        <v>6</v>
      </c>
      <c r="F759" s="2">
        <v>12.802547770700638</v>
      </c>
      <c r="G759" s="3">
        <f t="shared" si="58"/>
        <v>128.73086615854726</v>
      </c>
      <c r="H759" s="3">
        <f t="shared" si="59"/>
        <v>16.680105788229486</v>
      </c>
      <c r="I759" s="3">
        <f t="shared" si="55"/>
        <v>3336.0211576458978</v>
      </c>
      <c r="J759" s="5">
        <f t="shared" si="57"/>
        <v>12.427709817842508</v>
      </c>
      <c r="K759" s="5">
        <f t="shared" si="56"/>
        <v>2485.5419635685016</v>
      </c>
      <c r="L759">
        <v>5</v>
      </c>
    </row>
    <row r="760" spans="1:12" x14ac:dyDescent="0.3">
      <c r="A760" t="s">
        <v>122</v>
      </c>
      <c r="B760" t="s">
        <v>27</v>
      </c>
      <c r="C760" s="5">
        <v>0.65716857299999998</v>
      </c>
      <c r="D760" s="5">
        <v>0.85527777800000004</v>
      </c>
      <c r="E760">
        <v>5</v>
      </c>
      <c r="F760" s="2">
        <v>7.484076433121019</v>
      </c>
      <c r="G760" s="3">
        <f t="shared" si="58"/>
        <v>43.991250733928432</v>
      </c>
      <c r="H760" s="3">
        <f t="shared" si="59"/>
        <v>14.133971078286709</v>
      </c>
      <c r="I760" s="3">
        <f t="shared" si="55"/>
        <v>2826.7942156573417</v>
      </c>
      <c r="J760" s="5">
        <f t="shared" si="57"/>
        <v>9.9658995009939542</v>
      </c>
      <c r="K760" s="5">
        <f t="shared" si="56"/>
        <v>1993.1799001987906</v>
      </c>
      <c r="L760">
        <v>5</v>
      </c>
    </row>
    <row r="761" spans="1:12" x14ac:dyDescent="0.3">
      <c r="A761" t="s">
        <v>122</v>
      </c>
      <c r="B761" t="s">
        <v>123</v>
      </c>
      <c r="C761" s="5">
        <v>0.84850681500000003</v>
      </c>
      <c r="D761" s="5">
        <v>0.85527777800000004</v>
      </c>
      <c r="E761">
        <v>10</v>
      </c>
      <c r="F761" s="2">
        <v>14.840764331210192</v>
      </c>
      <c r="G761" s="3">
        <f t="shared" si="58"/>
        <v>172.98259926440858</v>
      </c>
      <c r="H761" s="3">
        <f t="shared" si="59"/>
        <v>105.78749084404964</v>
      </c>
      <c r="I761" s="3">
        <f t="shared" si="55"/>
        <v>21157.498168809929</v>
      </c>
      <c r="J761" s="5">
        <f t="shared" si="57"/>
        <v>16.694390007708222</v>
      </c>
      <c r="K761" s="5">
        <f t="shared" si="56"/>
        <v>3338.8780015416442</v>
      </c>
      <c r="L761">
        <v>5</v>
      </c>
    </row>
    <row r="762" spans="1:12" x14ac:dyDescent="0.3">
      <c r="A762" t="s">
        <v>122</v>
      </c>
      <c r="B762" t="s">
        <v>42</v>
      </c>
      <c r="C762" s="5">
        <v>0.40238543599999999</v>
      </c>
      <c r="D762" s="5">
        <v>0.40883333300000002</v>
      </c>
      <c r="E762">
        <v>8</v>
      </c>
      <c r="F762" s="2">
        <v>11.847133757961783</v>
      </c>
      <c r="G762" s="3">
        <f t="shared" si="58"/>
        <v>110.2342280047796</v>
      </c>
      <c r="H762" s="3">
        <f t="shared" si="59"/>
        <v>26.668170524065015</v>
      </c>
      <c r="I762" s="3">
        <f t="shared" si="55"/>
        <v>5333.6341048130034</v>
      </c>
      <c r="J762" s="5">
        <f t="shared" si="57"/>
        <v>12.915628191813056</v>
      </c>
      <c r="K762" s="5">
        <f t="shared" si="56"/>
        <v>2583.125638362611</v>
      </c>
      <c r="L762">
        <v>5</v>
      </c>
    </row>
    <row r="763" spans="1:12" x14ac:dyDescent="0.3">
      <c r="A763" t="s">
        <v>122</v>
      </c>
      <c r="B763" t="s">
        <v>42</v>
      </c>
      <c r="C763" s="5">
        <v>0.40238543599999999</v>
      </c>
      <c r="D763" s="5">
        <v>0.40883333300000002</v>
      </c>
      <c r="E763">
        <v>8</v>
      </c>
      <c r="F763" s="2">
        <v>14.203821656050955</v>
      </c>
      <c r="G763" s="3">
        <f t="shared" si="58"/>
        <v>158.45294035292184</v>
      </c>
      <c r="H763" s="3">
        <f t="shared" si="59"/>
        <v>38.001002078672563</v>
      </c>
      <c r="I763" s="3">
        <f t="shared" si="55"/>
        <v>7600.2004157345127</v>
      </c>
      <c r="J763" s="5">
        <f t="shared" si="57"/>
        <v>14.63465938983326</v>
      </c>
      <c r="K763" s="5">
        <f t="shared" si="56"/>
        <v>2926.9318779666519</v>
      </c>
      <c r="L763">
        <v>5</v>
      </c>
    </row>
    <row r="764" spans="1:12" x14ac:dyDescent="0.3">
      <c r="A764" t="s">
        <v>122</v>
      </c>
      <c r="B764" t="s">
        <v>42</v>
      </c>
      <c r="C764" s="5">
        <v>0.40238543599999999</v>
      </c>
      <c r="D764" s="5">
        <v>0.40883333300000002</v>
      </c>
      <c r="E764">
        <v>8</v>
      </c>
      <c r="F764" s="2">
        <v>14.808917197452228</v>
      </c>
      <c r="G764" s="3">
        <f t="shared" si="58"/>
        <v>172.24098125746809</v>
      </c>
      <c r="H764" s="3">
        <f t="shared" si="59"/>
        <v>41.225085863015096</v>
      </c>
      <c r="I764" s="3">
        <f t="shared" si="55"/>
        <v>8245.0171726030203</v>
      </c>
      <c r="J764" s="5">
        <f t="shared" si="57"/>
        <v>15.126212799707897</v>
      </c>
      <c r="K764" s="5">
        <f t="shared" si="56"/>
        <v>3025.2425599415792</v>
      </c>
      <c r="L764">
        <v>5</v>
      </c>
    </row>
    <row r="765" spans="1:12" x14ac:dyDescent="0.3">
      <c r="A765" t="s">
        <v>122</v>
      </c>
      <c r="B765" t="s">
        <v>115</v>
      </c>
      <c r="C765" s="5">
        <v>0.98708677300000003</v>
      </c>
      <c r="D765" s="5">
        <v>0.60285714300000004</v>
      </c>
      <c r="E765">
        <v>7</v>
      </c>
      <c r="F765" s="2">
        <v>44.022292993630572</v>
      </c>
      <c r="G765" s="3">
        <f t="shared" si="58"/>
        <v>1522.0720157730859</v>
      </c>
      <c r="H765" s="3">
        <f t="shared" si="59"/>
        <v>443.37280219305563</v>
      </c>
      <c r="I765" s="3">
        <f t="shared" si="55"/>
        <v>88674.560438611123</v>
      </c>
      <c r="J765" s="5">
        <f t="shared" si="57"/>
        <v>56.465775870217854</v>
      </c>
      <c r="K765" s="5">
        <f t="shared" si="56"/>
        <v>11293.155174043572</v>
      </c>
      <c r="L765">
        <v>5</v>
      </c>
    </row>
    <row r="766" spans="1:12" x14ac:dyDescent="0.3">
      <c r="A766" t="s">
        <v>124</v>
      </c>
      <c r="B766" t="s">
        <v>21</v>
      </c>
      <c r="C766" s="5">
        <v>0.80908761900000004</v>
      </c>
      <c r="D766" s="5">
        <v>0.87473809499999999</v>
      </c>
      <c r="E766">
        <v>6</v>
      </c>
      <c r="F766" s="2">
        <v>7.1019108280254777</v>
      </c>
      <c r="G766" s="3">
        <f t="shared" si="58"/>
        <v>39.613235088230461</v>
      </c>
      <c r="H766" s="3">
        <f t="shared" si="59"/>
        <v>15.582892397292609</v>
      </c>
      <c r="I766" s="3">
        <f t="shared" si="55"/>
        <v>3116.578479458522</v>
      </c>
      <c r="J766" s="5">
        <f t="shared" si="57"/>
        <v>10.044879885593735</v>
      </c>
      <c r="K766" s="5">
        <f t="shared" si="56"/>
        <v>2008.9759771187469</v>
      </c>
      <c r="L766">
        <v>5</v>
      </c>
    </row>
    <row r="767" spans="1:12" x14ac:dyDescent="0.3">
      <c r="A767" t="s">
        <v>124</v>
      </c>
      <c r="B767" t="s">
        <v>21</v>
      </c>
      <c r="C767" s="5">
        <v>0.80908761900000004</v>
      </c>
      <c r="D767" s="5">
        <v>0.87473809499999999</v>
      </c>
      <c r="E767">
        <v>8</v>
      </c>
      <c r="F767" s="2">
        <v>6.5605095541401273</v>
      </c>
      <c r="G767" s="3">
        <f t="shared" si="58"/>
        <v>33.803761270167257</v>
      </c>
      <c r="H767" s="3">
        <f t="shared" si="59"/>
        <v>17.675267704444853</v>
      </c>
      <c r="I767" s="3">
        <f t="shared" si="55"/>
        <v>3535.0535408889709</v>
      </c>
      <c r="J767" s="5">
        <f t="shared" si="57"/>
        <v>10.190827997078989</v>
      </c>
      <c r="K767" s="5">
        <f t="shared" si="56"/>
        <v>2038.1655994157977</v>
      </c>
      <c r="L767">
        <v>5</v>
      </c>
    </row>
    <row r="768" spans="1:12" x14ac:dyDescent="0.3">
      <c r="A768" t="s">
        <v>124</v>
      </c>
      <c r="B768" t="s">
        <v>21</v>
      </c>
      <c r="C768" s="5">
        <v>0.80908761900000004</v>
      </c>
      <c r="D768" s="5">
        <v>0.87473809499999999</v>
      </c>
      <c r="E768">
        <v>7</v>
      </c>
      <c r="F768" s="2">
        <v>8.4713375796178347</v>
      </c>
      <c r="G768" s="3">
        <f t="shared" si="58"/>
        <v>56.362968527475616</v>
      </c>
      <c r="H768" s="3">
        <f t="shared" si="59"/>
        <v>25.554418360719247</v>
      </c>
      <c r="I768" s="3">
        <f t="shared" si="55"/>
        <v>5110.8836721438493</v>
      </c>
      <c r="J768" s="5">
        <f t="shared" si="57"/>
        <v>10.743907229502211</v>
      </c>
      <c r="K768" s="5">
        <f t="shared" si="56"/>
        <v>2148.7814459004421</v>
      </c>
      <c r="L768">
        <v>5</v>
      </c>
    </row>
    <row r="769" spans="1:12" x14ac:dyDescent="0.3">
      <c r="A769" t="s">
        <v>124</v>
      </c>
      <c r="B769" t="s">
        <v>21</v>
      </c>
      <c r="C769" s="5">
        <v>0.80908761900000004</v>
      </c>
      <c r="D769" s="5">
        <v>0.87473809499999999</v>
      </c>
      <c r="E769">
        <v>8</v>
      </c>
      <c r="F769" s="2">
        <v>11.273885350318471</v>
      </c>
      <c r="G769" s="3">
        <f t="shared" si="58"/>
        <v>99.824492113589415</v>
      </c>
      <c r="H769" s="3">
        <f t="shared" si="59"/>
        <v>50.857095497394546</v>
      </c>
      <c r="I769" s="3">
        <f t="shared" si="55"/>
        <v>10171.41909947891</v>
      </c>
      <c r="J769" s="5">
        <f t="shared" si="57"/>
        <v>12.544513744979511</v>
      </c>
      <c r="K769" s="5">
        <f t="shared" si="56"/>
        <v>2508.9027489959021</v>
      </c>
      <c r="L769">
        <v>5</v>
      </c>
    </row>
    <row r="770" spans="1:12" x14ac:dyDescent="0.3">
      <c r="A770" t="s">
        <v>124</v>
      </c>
      <c r="B770" t="s">
        <v>21</v>
      </c>
      <c r="C770" s="5">
        <v>0.80908761900000004</v>
      </c>
      <c r="D770" s="5">
        <v>0.87473809499999999</v>
      </c>
      <c r="E770">
        <v>8</v>
      </c>
      <c r="F770" s="2">
        <v>13.471337579617833</v>
      </c>
      <c r="G770" s="3">
        <f t="shared" si="58"/>
        <v>142.53165237792811</v>
      </c>
      <c r="H770" s="3">
        <f t="shared" si="59"/>
        <v>71.996864512225599</v>
      </c>
      <c r="I770" s="3">
        <f t="shared" ref="I770:I833" si="60">(H770*1000)/L770</f>
        <v>14399.37290244512</v>
      </c>
      <c r="J770" s="5">
        <f t="shared" si="57"/>
        <v>14.067054213152662</v>
      </c>
      <c r="K770" s="5">
        <f t="shared" ref="K770:K833" si="61">(J770*1000)/L770</f>
        <v>2813.4108426305324</v>
      </c>
      <c r="L770">
        <v>5</v>
      </c>
    </row>
    <row r="771" spans="1:12" x14ac:dyDescent="0.3">
      <c r="A771" t="s">
        <v>124</v>
      </c>
      <c r="B771" t="s">
        <v>21</v>
      </c>
      <c r="C771" s="5">
        <v>0.80908761900000004</v>
      </c>
      <c r="D771" s="5">
        <v>0.87473809499999999</v>
      </c>
      <c r="E771">
        <v>8</v>
      </c>
      <c r="F771" s="2">
        <v>14.458598726114648</v>
      </c>
      <c r="G771" s="3">
        <f t="shared" si="58"/>
        <v>164.18833202850868</v>
      </c>
      <c r="H771" s="3">
        <f t="shared" si="59"/>
        <v>82.655205662417345</v>
      </c>
      <c r="I771" s="3">
        <f t="shared" si="60"/>
        <v>16531.041132483468</v>
      </c>
      <c r="J771" s="5">
        <f t="shared" ref="J771:J834" si="62">8.9857 + 0.0035 * F771^2 * E771</f>
        <v>14.839130159438515</v>
      </c>
      <c r="K771" s="5">
        <f t="shared" si="61"/>
        <v>2967.8260318877028</v>
      </c>
      <c r="L771">
        <v>5</v>
      </c>
    </row>
    <row r="772" spans="1:12" x14ac:dyDescent="0.3">
      <c r="A772" t="s">
        <v>124</v>
      </c>
      <c r="B772" t="s">
        <v>80</v>
      </c>
      <c r="C772" s="5">
        <v>0.6</v>
      </c>
      <c r="D772" s="5">
        <v>0.66674999999999995</v>
      </c>
      <c r="E772" s="1">
        <v>6.5</v>
      </c>
      <c r="F772" s="2">
        <v>4.8726114649681529</v>
      </c>
      <c r="G772" s="3">
        <f t="shared" ref="G772:G835" si="63">PI()*(F772/2)^2</f>
        <v>18.647192185251804</v>
      </c>
      <c r="H772" s="3">
        <f t="shared" ref="H772:H835" si="64">0.0673 * ((D772 * F772^2 * E772)^0.976)</f>
        <v>6.196085643075949</v>
      </c>
      <c r="I772" s="3">
        <f t="shared" si="60"/>
        <v>1239.2171286151897</v>
      </c>
      <c r="J772" s="5">
        <f t="shared" si="62"/>
        <v>9.5258382916142637</v>
      </c>
      <c r="K772" s="5">
        <f t="shared" si="61"/>
        <v>1905.1676583228527</v>
      </c>
      <c r="L772">
        <v>5</v>
      </c>
    </row>
    <row r="773" spans="1:12" x14ac:dyDescent="0.3">
      <c r="A773" t="s">
        <v>124</v>
      </c>
      <c r="B773" t="s">
        <v>13</v>
      </c>
      <c r="C773" s="5">
        <v>0.45255480399999998</v>
      </c>
      <c r="D773" s="5">
        <v>0.57808694400000005</v>
      </c>
      <c r="E773">
        <v>3</v>
      </c>
      <c r="F773" s="5">
        <v>4.2675159235668794</v>
      </c>
      <c r="G773" s="3">
        <f t="shared" si="63"/>
        <v>14.303429573171918</v>
      </c>
      <c r="H773" s="3">
        <f t="shared" si="64"/>
        <v>1.9565575528330952</v>
      </c>
      <c r="I773" s="3">
        <f t="shared" si="60"/>
        <v>391.31151056661901</v>
      </c>
      <c r="J773" s="5">
        <f t="shared" si="62"/>
        <v>9.176922767657917</v>
      </c>
      <c r="K773" s="5">
        <f t="shared" si="61"/>
        <v>1835.3845535315836</v>
      </c>
      <c r="L773">
        <v>5</v>
      </c>
    </row>
    <row r="774" spans="1:12" x14ac:dyDescent="0.3">
      <c r="A774" t="s">
        <v>124</v>
      </c>
      <c r="B774" t="s">
        <v>73</v>
      </c>
      <c r="C774" s="5">
        <v>0.43538739399999998</v>
      </c>
      <c r="D774" s="5">
        <v>0.568333333</v>
      </c>
      <c r="E774">
        <v>2</v>
      </c>
      <c r="F774" s="5">
        <v>4.2038216560509554</v>
      </c>
      <c r="G774" s="3">
        <f t="shared" si="63"/>
        <v>13.879647854920218</v>
      </c>
      <c r="H774" s="3">
        <f t="shared" si="64"/>
        <v>1.2579594267604506</v>
      </c>
      <c r="I774" s="3">
        <f t="shared" si="60"/>
        <v>251.59188535209015</v>
      </c>
      <c r="J774" s="5">
        <f t="shared" si="62"/>
        <v>9.10940481561118</v>
      </c>
      <c r="K774" s="5">
        <f t="shared" si="61"/>
        <v>1821.8809631222362</v>
      </c>
      <c r="L774">
        <v>5</v>
      </c>
    </row>
    <row r="775" spans="1:12" x14ac:dyDescent="0.3">
      <c r="A775" t="s">
        <v>124</v>
      </c>
      <c r="B775" t="s">
        <v>112</v>
      </c>
      <c r="C775" s="5">
        <v>0.56572270000000002</v>
      </c>
      <c r="D775" s="5">
        <v>0.61247410899999999</v>
      </c>
      <c r="E775" s="1">
        <v>4.5</v>
      </c>
      <c r="F775" s="5">
        <v>5.8280254777070066</v>
      </c>
      <c r="G775" s="3">
        <f t="shared" si="63"/>
        <v>26.676740531073417</v>
      </c>
      <c r="H775" s="3">
        <f t="shared" si="64"/>
        <v>5.6499676440574245</v>
      </c>
      <c r="I775" s="3">
        <f t="shared" si="60"/>
        <v>1129.993528811485</v>
      </c>
      <c r="J775" s="5">
        <f t="shared" si="62"/>
        <v>9.5206626252586304</v>
      </c>
      <c r="K775" s="5">
        <f t="shared" si="61"/>
        <v>1904.1325250517261</v>
      </c>
      <c r="L775">
        <v>5</v>
      </c>
    </row>
    <row r="776" spans="1:12" x14ac:dyDescent="0.3">
      <c r="A776" t="s">
        <v>124</v>
      </c>
      <c r="B776" t="s">
        <v>117</v>
      </c>
      <c r="C776" s="5">
        <v>0.85750000000000004</v>
      </c>
      <c r="D776" s="5">
        <v>0.61247410899999999</v>
      </c>
      <c r="E776">
        <v>5</v>
      </c>
      <c r="F776" s="5">
        <v>5.5732484076433115</v>
      </c>
      <c r="G776" s="3">
        <f t="shared" si="63"/>
        <v>24.395329175673304</v>
      </c>
      <c r="H776" s="3">
        <f t="shared" si="64"/>
        <v>5.7386668798551037</v>
      </c>
      <c r="I776" s="3">
        <f t="shared" si="60"/>
        <v>1147.7333759710207</v>
      </c>
      <c r="J776" s="5">
        <f t="shared" si="62"/>
        <v>9.5292692117327267</v>
      </c>
      <c r="K776" s="5">
        <f t="shared" si="61"/>
        <v>1905.8538423465452</v>
      </c>
      <c r="L776">
        <v>5</v>
      </c>
    </row>
    <row r="777" spans="1:12" x14ac:dyDescent="0.3">
      <c r="A777" t="s">
        <v>124</v>
      </c>
      <c r="B777" t="s">
        <v>42</v>
      </c>
      <c r="C777" s="5">
        <v>0.40238543599999999</v>
      </c>
      <c r="D777" s="5">
        <v>0.40883333300000002</v>
      </c>
      <c r="E777">
        <v>7</v>
      </c>
      <c r="F777" s="5">
        <v>12.32484076433121</v>
      </c>
      <c r="G777" s="3">
        <f t="shared" si="63"/>
        <v>119.30331609180131</v>
      </c>
      <c r="H777" s="3">
        <f t="shared" si="64"/>
        <v>25.287451817891892</v>
      </c>
      <c r="I777" s="3">
        <f t="shared" si="60"/>
        <v>5057.4903635783785</v>
      </c>
      <c r="J777" s="5">
        <f t="shared" si="62"/>
        <v>12.707291646719948</v>
      </c>
      <c r="K777" s="5">
        <f t="shared" si="61"/>
        <v>2541.4583293439896</v>
      </c>
      <c r="L777">
        <v>5</v>
      </c>
    </row>
    <row r="778" spans="1:12" x14ac:dyDescent="0.3">
      <c r="A778" t="s">
        <v>124</v>
      </c>
      <c r="B778" t="s">
        <v>115</v>
      </c>
      <c r="C778" s="5">
        <v>0.98708677300000003</v>
      </c>
      <c r="D778" s="5">
        <v>0.60285714300000004</v>
      </c>
      <c r="E778">
        <v>9</v>
      </c>
      <c r="F778" s="5">
        <v>17.67515923566879</v>
      </c>
      <c r="G778" s="3">
        <f t="shared" si="63"/>
        <v>245.36722512120065</v>
      </c>
      <c r="H778" s="3">
        <f t="shared" si="64"/>
        <v>95.43292798161724</v>
      </c>
      <c r="I778" s="3">
        <f t="shared" si="60"/>
        <v>19086.585596323446</v>
      </c>
      <c r="J778" s="5">
        <f t="shared" si="62"/>
        <v>18.826654501196803</v>
      </c>
      <c r="K778" s="5">
        <f t="shared" si="61"/>
        <v>3765.3309002393603</v>
      </c>
      <c r="L778">
        <v>5</v>
      </c>
    </row>
    <row r="779" spans="1:12" x14ac:dyDescent="0.3">
      <c r="A779" t="s">
        <v>124</v>
      </c>
      <c r="B779" t="s">
        <v>115</v>
      </c>
      <c r="C779" s="5">
        <v>0.98708677300000003</v>
      </c>
      <c r="D779" s="5">
        <v>0.60285714300000004</v>
      </c>
      <c r="E779">
        <v>8</v>
      </c>
      <c r="F779" s="5">
        <v>46.465605095541399</v>
      </c>
      <c r="G779" s="3">
        <f t="shared" si="63"/>
        <v>1695.7158343239264</v>
      </c>
      <c r="H779" s="3">
        <f t="shared" si="64"/>
        <v>561.25604842048381</v>
      </c>
      <c r="I779" s="3">
        <f t="shared" si="60"/>
        <v>112251.20968409677</v>
      </c>
      <c r="J779" s="5">
        <f t="shared" si="62"/>
        <v>69.439168793054478</v>
      </c>
      <c r="K779" s="5">
        <f t="shared" si="61"/>
        <v>13887.833758610894</v>
      </c>
      <c r="L779">
        <v>5</v>
      </c>
    </row>
    <row r="780" spans="1:12" x14ac:dyDescent="0.3">
      <c r="A780" t="s">
        <v>124</v>
      </c>
      <c r="B780" t="s">
        <v>115</v>
      </c>
      <c r="C780" s="5">
        <v>0.98708677300000003</v>
      </c>
      <c r="D780" s="5">
        <v>0.60285714300000004</v>
      </c>
      <c r="E780">
        <v>10</v>
      </c>
      <c r="F780" s="5">
        <v>88.566242038216558</v>
      </c>
      <c r="G780" s="3">
        <f t="shared" si="63"/>
        <v>6160.646880005228</v>
      </c>
      <c r="H780" s="3">
        <f t="shared" si="64"/>
        <v>2457.9434675416778</v>
      </c>
      <c r="I780" s="3">
        <f t="shared" si="60"/>
        <v>491588.69350833556</v>
      </c>
      <c r="J780" s="5">
        <f t="shared" si="62"/>
        <v>283.52497300701856</v>
      </c>
      <c r="K780" s="5">
        <f t="shared" si="61"/>
        <v>56704.994601403712</v>
      </c>
      <c r="L780">
        <v>5</v>
      </c>
    </row>
    <row r="781" spans="1:12" x14ac:dyDescent="0.3">
      <c r="A781" t="s">
        <v>125</v>
      </c>
      <c r="B781" t="s">
        <v>80</v>
      </c>
      <c r="C781" s="5">
        <v>0.6</v>
      </c>
      <c r="D781" s="5">
        <v>0.66674999999999995</v>
      </c>
      <c r="E781">
        <v>3</v>
      </c>
      <c r="F781" s="2">
        <v>4.4585987261146496</v>
      </c>
      <c r="G781" s="3">
        <f t="shared" si="63"/>
        <v>15.613010672430914</v>
      </c>
      <c r="H781" s="3">
        <f t="shared" si="64"/>
        <v>2.4496755818941538</v>
      </c>
      <c r="I781" s="3">
        <f t="shared" si="60"/>
        <v>408.27926364902561</v>
      </c>
      <c r="J781" s="5">
        <f t="shared" si="62"/>
        <v>9.1944305773053667</v>
      </c>
      <c r="K781" s="5">
        <f t="shared" si="61"/>
        <v>1532.4050962175613</v>
      </c>
      <c r="L781">
        <v>6</v>
      </c>
    </row>
    <row r="782" spans="1:12" x14ac:dyDescent="0.3">
      <c r="A782" t="s">
        <v>125</v>
      </c>
      <c r="B782" t="s">
        <v>32</v>
      </c>
      <c r="C782" s="5">
        <v>0.39790071399999999</v>
      </c>
      <c r="D782" s="5">
        <v>0.50565277799999997</v>
      </c>
      <c r="E782" s="1">
        <v>4.5</v>
      </c>
      <c r="F782" s="2">
        <v>7.0063694267515917</v>
      </c>
      <c r="G782" s="3">
        <f t="shared" si="63"/>
        <v>38.554577374778376</v>
      </c>
      <c r="H782" s="3">
        <f t="shared" si="64"/>
        <v>6.712940805430085</v>
      </c>
      <c r="I782" s="3">
        <f t="shared" si="60"/>
        <v>1118.8234675716808</v>
      </c>
      <c r="J782" s="5">
        <f t="shared" si="62"/>
        <v>9.7588550975698798</v>
      </c>
      <c r="K782" s="5">
        <f t="shared" si="61"/>
        <v>1626.47584959498</v>
      </c>
      <c r="L782">
        <v>6</v>
      </c>
    </row>
    <row r="783" spans="1:12" x14ac:dyDescent="0.3">
      <c r="A783" t="s">
        <v>125</v>
      </c>
      <c r="B783" t="s">
        <v>61</v>
      </c>
      <c r="C783" s="5">
        <v>0.62643652800000005</v>
      </c>
      <c r="D783" s="5">
        <v>0.57808694400000005</v>
      </c>
      <c r="E783">
        <v>5</v>
      </c>
      <c r="F783" s="2">
        <v>4.2356687898089174</v>
      </c>
      <c r="G783" s="3">
        <f t="shared" si="63"/>
        <v>14.090742131868904</v>
      </c>
      <c r="H783" s="3">
        <f t="shared" si="64"/>
        <v>3.1744379594700267</v>
      </c>
      <c r="I783" s="3">
        <f t="shared" si="60"/>
        <v>529.07299324500445</v>
      </c>
      <c r="J783" s="5">
        <f t="shared" si="62"/>
        <v>9.2996655766968228</v>
      </c>
      <c r="K783" s="5">
        <f t="shared" si="61"/>
        <v>1549.9442627828039</v>
      </c>
      <c r="L783">
        <v>6</v>
      </c>
    </row>
    <row r="784" spans="1:12" x14ac:dyDescent="0.3">
      <c r="A784" t="s">
        <v>125</v>
      </c>
      <c r="B784" t="s">
        <v>36</v>
      </c>
      <c r="C784" s="5">
        <v>0.56193137999999998</v>
      </c>
      <c r="D784" s="5">
        <v>0.57808694400000005</v>
      </c>
      <c r="E784" s="1">
        <v>4.5</v>
      </c>
      <c r="F784" s="2">
        <v>20.859872611464969</v>
      </c>
      <c r="G784" s="3">
        <f t="shared" si="63"/>
        <v>341.75366855814667</v>
      </c>
      <c r="H784" s="3">
        <f t="shared" si="64"/>
        <v>64.350532844804832</v>
      </c>
      <c r="I784" s="3">
        <f t="shared" si="60"/>
        <v>10725.088807467471</v>
      </c>
      <c r="J784" s="5">
        <f t="shared" si="62"/>
        <v>15.839064994523104</v>
      </c>
      <c r="K784" s="5">
        <f t="shared" si="61"/>
        <v>2639.8441657538506</v>
      </c>
      <c r="L784">
        <v>6</v>
      </c>
    </row>
    <row r="785" spans="1:12" x14ac:dyDescent="0.3">
      <c r="A785" t="s">
        <v>125</v>
      </c>
      <c r="B785" t="s">
        <v>36</v>
      </c>
      <c r="C785" s="5">
        <v>0.56193137999999998</v>
      </c>
      <c r="D785" s="5">
        <v>0.57808694400000005</v>
      </c>
      <c r="E785">
        <v>7</v>
      </c>
      <c r="F785" s="2">
        <v>24.522292993630572</v>
      </c>
      <c r="G785" s="3">
        <f t="shared" si="63"/>
        <v>472.2935728410352</v>
      </c>
      <c r="H785" s="3">
        <f t="shared" si="64"/>
        <v>135.81861545605577</v>
      </c>
      <c r="I785" s="3">
        <f t="shared" si="60"/>
        <v>22636.435909342628</v>
      </c>
      <c r="J785" s="5">
        <f t="shared" si="62"/>
        <v>23.718599914803846</v>
      </c>
      <c r="K785" s="5">
        <f t="shared" si="61"/>
        <v>3953.0999858006412</v>
      </c>
      <c r="L785">
        <v>6</v>
      </c>
    </row>
    <row r="786" spans="1:12" x14ac:dyDescent="0.3">
      <c r="A786" t="s">
        <v>125</v>
      </c>
      <c r="B786" t="s">
        <v>36</v>
      </c>
      <c r="C786" s="5">
        <v>0.56193137999999998</v>
      </c>
      <c r="D786" s="5">
        <v>0.57808694400000005</v>
      </c>
      <c r="E786">
        <v>8</v>
      </c>
      <c r="F786" s="2">
        <v>21.656050955414013</v>
      </c>
      <c r="G786" s="3">
        <f t="shared" si="63"/>
        <v>368.33959872102326</v>
      </c>
      <c r="H786" s="3">
        <f t="shared" si="64"/>
        <v>121.39112638409081</v>
      </c>
      <c r="I786" s="3">
        <f t="shared" si="60"/>
        <v>20231.854397348467</v>
      </c>
      <c r="J786" s="5">
        <f t="shared" si="62"/>
        <v>22.117267203537672</v>
      </c>
      <c r="K786" s="5">
        <f t="shared" si="61"/>
        <v>3686.211200589612</v>
      </c>
      <c r="L786">
        <v>6</v>
      </c>
    </row>
    <row r="787" spans="1:12" x14ac:dyDescent="0.3">
      <c r="A787" t="s">
        <v>125</v>
      </c>
      <c r="B787" t="s">
        <v>36</v>
      </c>
      <c r="C787" s="5">
        <v>0.56193137999999998</v>
      </c>
      <c r="D787" s="5">
        <v>0.57808694400000005</v>
      </c>
      <c r="E787">
        <v>8</v>
      </c>
      <c r="F787" s="2">
        <v>17.515923566878982</v>
      </c>
      <c r="G787" s="3">
        <f t="shared" si="63"/>
        <v>240.96610859236495</v>
      </c>
      <c r="H787" s="3">
        <f t="shared" si="64"/>
        <v>80.226438606997235</v>
      </c>
      <c r="I787" s="3">
        <f t="shared" si="60"/>
        <v>13371.073101166206</v>
      </c>
      <c r="J787" s="5">
        <f t="shared" si="62"/>
        <v>17.5763121952209</v>
      </c>
      <c r="K787" s="5">
        <f t="shared" si="61"/>
        <v>2929.3853658701501</v>
      </c>
      <c r="L787">
        <v>6</v>
      </c>
    </row>
    <row r="788" spans="1:12" x14ac:dyDescent="0.3">
      <c r="A788" t="s">
        <v>125</v>
      </c>
      <c r="B788" t="s">
        <v>36</v>
      </c>
      <c r="C788" s="5">
        <v>0.56193137999999998</v>
      </c>
      <c r="D788" s="5">
        <v>0.57808694400000005</v>
      </c>
      <c r="E788">
        <v>6</v>
      </c>
      <c r="F788" s="2">
        <v>8.9171974522292992</v>
      </c>
      <c r="G788" s="3">
        <f t="shared" si="63"/>
        <v>62.452042689723655</v>
      </c>
      <c r="H788" s="3">
        <f t="shared" si="64"/>
        <v>16.219662528186532</v>
      </c>
      <c r="I788" s="3">
        <f t="shared" si="60"/>
        <v>2703.2770880310886</v>
      </c>
      <c r="J788" s="5">
        <f t="shared" si="62"/>
        <v>10.655544618442939</v>
      </c>
      <c r="K788" s="5">
        <f t="shared" si="61"/>
        <v>1775.9241030738231</v>
      </c>
      <c r="L788">
        <v>6</v>
      </c>
    </row>
    <row r="789" spans="1:12" x14ac:dyDescent="0.3">
      <c r="A789" t="s">
        <v>125</v>
      </c>
      <c r="B789" t="s">
        <v>36</v>
      </c>
      <c r="C789" s="5">
        <v>0.56193137999999998</v>
      </c>
      <c r="D789" s="5">
        <v>0.57808694400000005</v>
      </c>
      <c r="E789" s="1">
        <v>7.5</v>
      </c>
      <c r="F789" s="2">
        <v>31.050955414012737</v>
      </c>
      <c r="G789" s="3">
        <f t="shared" si="63"/>
        <v>757.25093216732841</v>
      </c>
      <c r="H789" s="3">
        <f t="shared" si="64"/>
        <v>230.30879298066816</v>
      </c>
      <c r="I789" s="3">
        <f t="shared" si="60"/>
        <v>38384.798830111358</v>
      </c>
      <c r="J789" s="5">
        <f t="shared" si="62"/>
        <v>34.294948093228932</v>
      </c>
      <c r="K789" s="5">
        <f t="shared" si="61"/>
        <v>5715.8246822048213</v>
      </c>
      <c r="L789">
        <v>6</v>
      </c>
    </row>
    <row r="790" spans="1:12" x14ac:dyDescent="0.3">
      <c r="A790" t="s">
        <v>125</v>
      </c>
      <c r="B790" t="s">
        <v>117</v>
      </c>
      <c r="C790" s="5">
        <v>0.85750000000000004</v>
      </c>
      <c r="D790" s="5">
        <v>0.61247410899999999</v>
      </c>
      <c r="E790" s="1">
        <v>2.7</v>
      </c>
      <c r="F790" s="2">
        <v>4.1401273885350314</v>
      </c>
      <c r="G790" s="3">
        <f t="shared" si="63"/>
        <v>13.462238794085838</v>
      </c>
      <c r="H790" s="3">
        <f t="shared" si="64"/>
        <v>1.7604937096755811</v>
      </c>
      <c r="I790" s="3">
        <f t="shared" si="60"/>
        <v>293.41561827926353</v>
      </c>
      <c r="J790" s="5">
        <f t="shared" si="62"/>
        <v>9.1476791877966654</v>
      </c>
      <c r="K790" s="5">
        <f t="shared" si="61"/>
        <v>1524.6131979661111</v>
      </c>
      <c r="L790">
        <v>6</v>
      </c>
    </row>
    <row r="791" spans="1:12" x14ac:dyDescent="0.3">
      <c r="A791" t="s">
        <v>125</v>
      </c>
      <c r="B791" t="s">
        <v>117</v>
      </c>
      <c r="C791" s="5">
        <v>0.85750000000000004</v>
      </c>
      <c r="D791" s="5">
        <v>0.61247410899999999</v>
      </c>
      <c r="E791">
        <v>2</v>
      </c>
      <c r="F791" s="2">
        <v>5.0955414012738851</v>
      </c>
      <c r="G791" s="3">
        <f t="shared" si="63"/>
        <v>20.392503735419968</v>
      </c>
      <c r="H791" s="3">
        <f t="shared" si="64"/>
        <v>1.9699422830751157</v>
      </c>
      <c r="I791" s="3">
        <f t="shared" si="60"/>
        <v>328.32371384585264</v>
      </c>
      <c r="J791" s="5">
        <f t="shared" si="62"/>
        <v>9.1674517952046735</v>
      </c>
      <c r="K791" s="5">
        <f t="shared" si="61"/>
        <v>1527.9086325341123</v>
      </c>
      <c r="L791">
        <v>6</v>
      </c>
    </row>
    <row r="792" spans="1:12" x14ac:dyDescent="0.3">
      <c r="A792" t="s">
        <v>125</v>
      </c>
      <c r="B792" t="s">
        <v>117</v>
      </c>
      <c r="C792" s="5">
        <v>0.85750000000000004</v>
      </c>
      <c r="D792" s="5">
        <v>0.61247410899999999</v>
      </c>
      <c r="E792" s="1">
        <v>4.5</v>
      </c>
      <c r="F792" s="2">
        <v>11.624203821656051</v>
      </c>
      <c r="G792" s="3">
        <f t="shared" si="63"/>
        <v>106.12466055278617</v>
      </c>
      <c r="H792" s="3">
        <f t="shared" si="64"/>
        <v>21.743883123361989</v>
      </c>
      <c r="I792" s="3">
        <f t="shared" si="60"/>
        <v>3623.9805205603316</v>
      </c>
      <c r="J792" s="5">
        <f t="shared" si="62"/>
        <v>11.1138733031766</v>
      </c>
      <c r="K792" s="5">
        <f t="shared" si="61"/>
        <v>1852.3122171961002</v>
      </c>
      <c r="L792">
        <v>6</v>
      </c>
    </row>
    <row r="793" spans="1:12" x14ac:dyDescent="0.3">
      <c r="A793" t="s">
        <v>125</v>
      </c>
      <c r="B793" t="s">
        <v>117</v>
      </c>
      <c r="C793" s="5">
        <v>0.85750000000000004</v>
      </c>
      <c r="D793" s="5">
        <v>0.61247410899999999</v>
      </c>
      <c r="E793" s="1">
        <v>6.5</v>
      </c>
      <c r="F793" s="2">
        <v>11.942675159235668</v>
      </c>
      <c r="G793" s="3">
        <f t="shared" si="63"/>
        <v>112.01936866380598</v>
      </c>
      <c r="H793" s="3">
        <f t="shared" si="64"/>
        <v>32.81848212699002</v>
      </c>
      <c r="I793" s="3">
        <f t="shared" si="60"/>
        <v>5469.7470211650034</v>
      </c>
      <c r="J793" s="5">
        <f t="shared" si="62"/>
        <v>12.230475396567812</v>
      </c>
      <c r="K793" s="5">
        <f t="shared" si="61"/>
        <v>2038.4125660946354</v>
      </c>
      <c r="L793">
        <v>6</v>
      </c>
    </row>
    <row r="794" spans="1:12" x14ac:dyDescent="0.3">
      <c r="A794" t="s">
        <v>125</v>
      </c>
      <c r="B794" t="s">
        <v>117</v>
      </c>
      <c r="C794" s="5">
        <v>0.85750000000000004</v>
      </c>
      <c r="D794" s="5">
        <v>0.61247410899999999</v>
      </c>
      <c r="E794" s="1">
        <v>4.5</v>
      </c>
      <c r="F794" s="2">
        <v>6.6878980891719744</v>
      </c>
      <c r="G794" s="3">
        <f t="shared" si="63"/>
        <v>35.12927401296956</v>
      </c>
      <c r="H794" s="3">
        <f t="shared" si="64"/>
        <v>7.391175200097674</v>
      </c>
      <c r="I794" s="3">
        <f t="shared" si="60"/>
        <v>1231.8625333496122</v>
      </c>
      <c r="J794" s="5">
        <f t="shared" si="62"/>
        <v>9.6901656984056146</v>
      </c>
      <c r="K794" s="5">
        <f t="shared" si="61"/>
        <v>1615.0276164009358</v>
      </c>
      <c r="L794">
        <v>6</v>
      </c>
    </row>
    <row r="795" spans="1:12" x14ac:dyDescent="0.3">
      <c r="A795" t="s">
        <v>125</v>
      </c>
      <c r="B795" t="s">
        <v>117</v>
      </c>
      <c r="C795" s="5">
        <v>0.85750000000000004</v>
      </c>
      <c r="D795" s="5">
        <v>0.61247410899999999</v>
      </c>
      <c r="E795" s="1">
        <v>3.5</v>
      </c>
      <c r="F795" s="2">
        <v>6.6878980891719744</v>
      </c>
      <c r="G795" s="3">
        <f t="shared" si="63"/>
        <v>35.12927401296956</v>
      </c>
      <c r="H795" s="3">
        <f t="shared" si="64"/>
        <v>5.7834701010306562</v>
      </c>
      <c r="I795" s="3">
        <f t="shared" si="60"/>
        <v>963.91168350510941</v>
      </c>
      <c r="J795" s="5">
        <f t="shared" si="62"/>
        <v>9.5336177654265892</v>
      </c>
      <c r="K795" s="5">
        <f t="shared" si="61"/>
        <v>1588.9362942377647</v>
      </c>
      <c r="L795">
        <v>6</v>
      </c>
    </row>
    <row r="796" spans="1:12" x14ac:dyDescent="0.3">
      <c r="A796" t="s">
        <v>125</v>
      </c>
      <c r="B796" t="s">
        <v>117</v>
      </c>
      <c r="C796" s="5">
        <v>0.85750000000000004</v>
      </c>
      <c r="D796" s="5">
        <v>0.61247410899999999</v>
      </c>
      <c r="E796" s="1">
        <v>5.5</v>
      </c>
      <c r="F796" s="2">
        <v>3.6624203821656049</v>
      </c>
      <c r="G796" s="3">
        <f t="shared" si="63"/>
        <v>10.534799293005044</v>
      </c>
      <c r="H796" s="3">
        <f t="shared" si="64"/>
        <v>2.7751226971666414</v>
      </c>
      <c r="I796" s="3">
        <f t="shared" si="60"/>
        <v>462.52044952777356</v>
      </c>
      <c r="J796" s="5">
        <f t="shared" si="62"/>
        <v>9.2439064688222636</v>
      </c>
      <c r="K796" s="5">
        <f t="shared" si="61"/>
        <v>1540.6510781370441</v>
      </c>
      <c r="L796">
        <v>6</v>
      </c>
    </row>
    <row r="797" spans="1:12" x14ac:dyDescent="0.3">
      <c r="A797" t="s">
        <v>125</v>
      </c>
      <c r="B797" t="s">
        <v>117</v>
      </c>
      <c r="C797" s="5">
        <v>0.85750000000000004</v>
      </c>
      <c r="D797" s="5">
        <v>0.61247410899999999</v>
      </c>
      <c r="E797" s="1">
        <v>6.5</v>
      </c>
      <c r="F797" s="2">
        <v>19.331210191082803</v>
      </c>
      <c r="G797" s="3">
        <f t="shared" si="63"/>
        <v>293.49990659420916</v>
      </c>
      <c r="H797" s="3">
        <f t="shared" si="64"/>
        <v>84.022148241514429</v>
      </c>
      <c r="I797" s="3">
        <f t="shared" si="60"/>
        <v>14003.691373585738</v>
      </c>
      <c r="J797" s="5">
        <f t="shared" si="62"/>
        <v>17.487276889528985</v>
      </c>
      <c r="K797" s="5">
        <f t="shared" si="61"/>
        <v>2914.5461482548308</v>
      </c>
      <c r="L797">
        <v>6</v>
      </c>
    </row>
    <row r="798" spans="1:12" x14ac:dyDescent="0.3">
      <c r="A798" t="s">
        <v>125</v>
      </c>
      <c r="B798" t="s">
        <v>117</v>
      </c>
      <c r="C798" s="5">
        <v>0.85750000000000004</v>
      </c>
      <c r="D798" s="5">
        <v>0.61247410899999999</v>
      </c>
      <c r="E798">
        <v>7</v>
      </c>
      <c r="F798" s="2">
        <v>8.7579617834394909</v>
      </c>
      <c r="G798" s="3">
        <f t="shared" si="63"/>
        <v>60.241527148091237</v>
      </c>
      <c r="H798" s="3">
        <f t="shared" si="64"/>
        <v>19.257465369355607</v>
      </c>
      <c r="I798" s="3">
        <f t="shared" si="60"/>
        <v>3209.5775615592679</v>
      </c>
      <c r="J798" s="5">
        <f t="shared" si="62"/>
        <v>10.864896417704571</v>
      </c>
      <c r="K798" s="5">
        <f t="shared" si="61"/>
        <v>1810.8160696174284</v>
      </c>
      <c r="L798">
        <v>6</v>
      </c>
    </row>
    <row r="799" spans="1:12" x14ac:dyDescent="0.3">
      <c r="A799" t="s">
        <v>125</v>
      </c>
      <c r="B799" t="s">
        <v>117</v>
      </c>
      <c r="C799" s="5">
        <v>0.85750000000000004</v>
      </c>
      <c r="D799" s="5">
        <v>0.61247410899999999</v>
      </c>
      <c r="E799">
        <v>8</v>
      </c>
      <c r="F799" s="2">
        <v>51.910828025477706</v>
      </c>
      <c r="G799" s="3">
        <f t="shared" si="63"/>
        <v>2116.4391865092707</v>
      </c>
      <c r="H799" s="3">
        <f t="shared" si="64"/>
        <v>707.63947436848491</v>
      </c>
      <c r="I799" s="3">
        <f t="shared" si="60"/>
        <v>117939.91239474749</v>
      </c>
      <c r="J799" s="5">
        <f t="shared" si="62"/>
        <v>84.438253856140207</v>
      </c>
      <c r="K799" s="5">
        <f t="shared" si="61"/>
        <v>14073.042309356701</v>
      </c>
      <c r="L799">
        <v>6</v>
      </c>
    </row>
    <row r="800" spans="1:12" x14ac:dyDescent="0.3">
      <c r="A800" t="s">
        <v>125</v>
      </c>
      <c r="B800" t="s">
        <v>27</v>
      </c>
      <c r="C800" s="5">
        <v>0.65716857299999998</v>
      </c>
      <c r="D800" s="5">
        <v>0.85527777800000004</v>
      </c>
      <c r="E800" s="1">
        <v>1.9</v>
      </c>
      <c r="F800" s="2">
        <v>6.5286624203821653</v>
      </c>
      <c r="G800" s="3">
        <f t="shared" si="63"/>
        <v>33.476365995352509</v>
      </c>
      <c r="H800" s="3">
        <f t="shared" si="64"/>
        <v>4.2106782618799521</v>
      </c>
      <c r="I800" s="3">
        <f t="shared" si="60"/>
        <v>701.77971031332538</v>
      </c>
      <c r="J800" s="5">
        <f t="shared" si="62"/>
        <v>9.2691458294454137</v>
      </c>
      <c r="K800" s="5">
        <f t="shared" si="61"/>
        <v>1544.8576382409021</v>
      </c>
      <c r="L800">
        <v>6</v>
      </c>
    </row>
    <row r="801" spans="1:12" x14ac:dyDescent="0.3">
      <c r="A801" t="s">
        <v>125</v>
      </c>
      <c r="B801" t="s">
        <v>27</v>
      </c>
      <c r="C801" s="5">
        <v>0.65716857299999998</v>
      </c>
      <c r="D801" s="5">
        <v>0.85527777800000004</v>
      </c>
      <c r="E801" s="1">
        <v>1.5</v>
      </c>
      <c r="F801" s="2">
        <v>1.2738853503184713</v>
      </c>
      <c r="G801" s="3">
        <f t="shared" si="63"/>
        <v>1.274531483463748</v>
      </c>
      <c r="H801" s="3">
        <f t="shared" si="64"/>
        <v>0.13766742170206037</v>
      </c>
      <c r="I801" s="3">
        <f t="shared" si="60"/>
        <v>22.944570283676729</v>
      </c>
      <c r="J801" s="5">
        <f t="shared" si="62"/>
        <v>8.994219615400219</v>
      </c>
      <c r="K801" s="5">
        <f t="shared" si="61"/>
        <v>1499.0366025667033</v>
      </c>
      <c r="L801">
        <v>6</v>
      </c>
    </row>
    <row r="802" spans="1:12" x14ac:dyDescent="0.3">
      <c r="A802" t="s">
        <v>125</v>
      </c>
      <c r="B802" t="s">
        <v>126</v>
      </c>
      <c r="C802" s="5">
        <v>0.52520999999999995</v>
      </c>
      <c r="D802" s="5">
        <v>0.58666666700000003</v>
      </c>
      <c r="E802">
        <v>7</v>
      </c>
      <c r="F802" s="2">
        <v>4.6178343949044587</v>
      </c>
      <c r="G802" s="3">
        <f t="shared" si="63"/>
        <v>16.748140274890819</v>
      </c>
      <c r="H802" s="3">
        <f t="shared" si="64"/>
        <v>5.293762315458169</v>
      </c>
      <c r="I802" s="3">
        <f t="shared" si="60"/>
        <v>882.29371924302814</v>
      </c>
      <c r="J802" s="5">
        <f t="shared" si="62"/>
        <v>9.5081476652196848</v>
      </c>
      <c r="K802" s="5">
        <f t="shared" si="61"/>
        <v>1584.6912775366143</v>
      </c>
      <c r="L802">
        <v>6</v>
      </c>
    </row>
    <row r="803" spans="1:12" x14ac:dyDescent="0.3">
      <c r="A803" t="s">
        <v>125</v>
      </c>
      <c r="B803" t="s">
        <v>18</v>
      </c>
      <c r="C803" s="5">
        <v>0.76500000000000001</v>
      </c>
      <c r="D803" s="5">
        <v>0.61247410899999999</v>
      </c>
      <c r="E803">
        <v>7</v>
      </c>
      <c r="F803" s="2">
        <v>23.726114649681527</v>
      </c>
      <c r="G803" s="3">
        <f t="shared" si="63"/>
        <v>442.12302288091672</v>
      </c>
      <c r="H803" s="3">
        <f t="shared" si="64"/>
        <v>134.73199843978188</v>
      </c>
      <c r="I803" s="3">
        <f t="shared" si="60"/>
        <v>22455.333073296977</v>
      </c>
      <c r="J803" s="5">
        <f t="shared" si="62"/>
        <v>22.777448651060894</v>
      </c>
      <c r="K803" s="5">
        <f t="shared" si="61"/>
        <v>3796.2414418434823</v>
      </c>
      <c r="L803">
        <v>6</v>
      </c>
    </row>
    <row r="804" spans="1:12" x14ac:dyDescent="0.3">
      <c r="A804" t="s">
        <v>125</v>
      </c>
      <c r="B804" t="s">
        <v>127</v>
      </c>
      <c r="C804" s="5">
        <v>0.68500000000000005</v>
      </c>
      <c r="D804" s="5">
        <v>0.54</v>
      </c>
      <c r="E804" s="1">
        <v>2.5</v>
      </c>
      <c r="F804" s="2">
        <v>5.7324840764331206</v>
      </c>
      <c r="G804" s="3">
        <f t="shared" si="63"/>
        <v>25.809262540140899</v>
      </c>
      <c r="H804" s="3">
        <f t="shared" si="64"/>
        <v>2.7258758951187816</v>
      </c>
      <c r="I804" s="3">
        <f t="shared" si="60"/>
        <v>454.3126491864636</v>
      </c>
      <c r="J804" s="5">
        <f t="shared" si="62"/>
        <v>9.2732370197573939</v>
      </c>
      <c r="K804" s="5">
        <f t="shared" si="61"/>
        <v>1545.5395032928991</v>
      </c>
      <c r="L804">
        <v>6</v>
      </c>
    </row>
    <row r="805" spans="1:12" x14ac:dyDescent="0.3">
      <c r="A805" t="s">
        <v>125</v>
      </c>
      <c r="B805" t="s">
        <v>127</v>
      </c>
      <c r="C805" s="5">
        <v>0.68500000000000005</v>
      </c>
      <c r="D805" s="5">
        <v>0.54</v>
      </c>
      <c r="E805" s="1">
        <v>4.5</v>
      </c>
      <c r="F805" s="2">
        <v>2.5477707006369426</v>
      </c>
      <c r="G805" s="3">
        <f t="shared" si="63"/>
        <v>5.098125933854992</v>
      </c>
      <c r="H805" s="3">
        <f t="shared" si="64"/>
        <v>0.99355466958642291</v>
      </c>
      <c r="I805" s="3">
        <f t="shared" si="60"/>
        <v>165.5924449310705</v>
      </c>
      <c r="J805" s="5">
        <f t="shared" si="62"/>
        <v>9.0879353848026287</v>
      </c>
      <c r="K805" s="5">
        <f t="shared" si="61"/>
        <v>1514.655897467105</v>
      </c>
      <c r="L805">
        <v>6</v>
      </c>
    </row>
    <row r="806" spans="1:12" x14ac:dyDescent="0.3">
      <c r="A806" t="s">
        <v>125</v>
      </c>
      <c r="B806" t="s">
        <v>128</v>
      </c>
      <c r="C806" s="5">
        <v>0.50016547600000005</v>
      </c>
      <c r="D806" s="5">
        <v>0.61774072899999999</v>
      </c>
      <c r="E806">
        <v>2</v>
      </c>
      <c r="F806" s="2">
        <v>1.592356687898089</v>
      </c>
      <c r="G806" s="3">
        <f t="shared" si="63"/>
        <v>1.9914554429121063</v>
      </c>
      <c r="H806" s="3">
        <f t="shared" si="64"/>
        <v>0.20513038825014149</v>
      </c>
      <c r="I806" s="3">
        <f t="shared" si="60"/>
        <v>34.188398041690249</v>
      </c>
      <c r="J806" s="5">
        <f t="shared" si="62"/>
        <v>9.0034491987504559</v>
      </c>
      <c r="K806" s="5">
        <f t="shared" si="61"/>
        <v>1500.5748664584091</v>
      </c>
      <c r="L806">
        <v>6</v>
      </c>
    </row>
    <row r="807" spans="1:12" x14ac:dyDescent="0.3">
      <c r="A807" t="s">
        <v>129</v>
      </c>
      <c r="B807" t="s">
        <v>56</v>
      </c>
      <c r="C807" s="5">
        <v>0.9</v>
      </c>
      <c r="D807" s="5">
        <v>0.61247410899999999</v>
      </c>
      <c r="E807">
        <v>4</v>
      </c>
      <c r="F807" s="2">
        <v>2.5477707006369426</v>
      </c>
      <c r="G807" s="3">
        <f t="shared" si="63"/>
        <v>5.098125933854992</v>
      </c>
      <c r="H807" s="3">
        <f t="shared" si="64"/>
        <v>1.0014937106388553</v>
      </c>
      <c r="I807" s="3">
        <f t="shared" si="60"/>
        <v>166.91561843980921</v>
      </c>
      <c r="J807" s="5">
        <f t="shared" si="62"/>
        <v>9.0765758976023356</v>
      </c>
      <c r="K807" s="5">
        <f t="shared" si="61"/>
        <v>1512.7626496003893</v>
      </c>
      <c r="L807">
        <v>6</v>
      </c>
    </row>
    <row r="808" spans="1:12" x14ac:dyDescent="0.3">
      <c r="A808" t="s">
        <v>129</v>
      </c>
      <c r="B808" t="s">
        <v>36</v>
      </c>
      <c r="C808" s="5">
        <v>0.56193137999999998</v>
      </c>
      <c r="D808" s="5">
        <v>0.57808694400000005</v>
      </c>
      <c r="E808">
        <v>5</v>
      </c>
      <c r="F808" s="2">
        <v>9.0764331210191074</v>
      </c>
      <c r="G808" s="3">
        <f t="shared" si="63"/>
        <v>64.702387340214344</v>
      </c>
      <c r="H808" s="3">
        <f t="shared" si="64"/>
        <v>14.052888721931872</v>
      </c>
      <c r="I808" s="3">
        <f t="shared" si="60"/>
        <v>2342.1481203219787</v>
      </c>
      <c r="J808" s="5">
        <f t="shared" si="62"/>
        <v>10.427378668505821</v>
      </c>
      <c r="K808" s="5">
        <f t="shared" si="61"/>
        <v>1737.89644475097</v>
      </c>
      <c r="L808">
        <v>6</v>
      </c>
    </row>
    <row r="809" spans="1:12" x14ac:dyDescent="0.3">
      <c r="A809" t="s">
        <v>129</v>
      </c>
      <c r="B809" t="s">
        <v>36</v>
      </c>
      <c r="C809" s="5">
        <v>0.56193137999999998</v>
      </c>
      <c r="D809" s="5">
        <v>0.57808694400000005</v>
      </c>
      <c r="E809">
        <v>6</v>
      </c>
      <c r="F809" s="2">
        <v>6.6878980891719744</v>
      </c>
      <c r="G809" s="3">
        <f t="shared" si="63"/>
        <v>35.12927401296956</v>
      </c>
      <c r="H809" s="3">
        <f t="shared" si="64"/>
        <v>9.2504189014098355</v>
      </c>
      <c r="I809" s="3">
        <f t="shared" si="60"/>
        <v>1541.7364835683059</v>
      </c>
      <c r="J809" s="5">
        <f t="shared" si="62"/>
        <v>9.9249875978741535</v>
      </c>
      <c r="K809" s="5">
        <f t="shared" si="61"/>
        <v>1654.1645996456921</v>
      </c>
      <c r="L809">
        <v>6</v>
      </c>
    </row>
    <row r="810" spans="1:12" x14ac:dyDescent="0.3">
      <c r="A810" t="s">
        <v>129</v>
      </c>
      <c r="B810" t="s">
        <v>36</v>
      </c>
      <c r="C810" s="5">
        <v>0.56193137999999998</v>
      </c>
      <c r="D810" s="5">
        <v>0.57808694400000005</v>
      </c>
      <c r="E810">
        <v>6</v>
      </c>
      <c r="F810" s="2">
        <v>5.2547770700636942</v>
      </c>
      <c r="G810" s="3">
        <f t="shared" si="63"/>
        <v>21.68694977331284</v>
      </c>
      <c r="H810" s="3">
        <f t="shared" si="64"/>
        <v>5.777207891581936</v>
      </c>
      <c r="I810" s="3">
        <f t="shared" si="60"/>
        <v>962.86798193032257</v>
      </c>
      <c r="J810" s="5">
        <f t="shared" si="62"/>
        <v>9.5655663231774106</v>
      </c>
      <c r="K810" s="5">
        <f t="shared" si="61"/>
        <v>1594.2610538629017</v>
      </c>
      <c r="L810">
        <v>6</v>
      </c>
    </row>
    <row r="811" spans="1:12" x14ac:dyDescent="0.3">
      <c r="A811" t="s">
        <v>129</v>
      </c>
      <c r="B811" t="s">
        <v>36</v>
      </c>
      <c r="C811" s="5">
        <v>0.56193137999999998</v>
      </c>
      <c r="D811" s="5">
        <v>0.57808694400000005</v>
      </c>
      <c r="E811">
        <v>6</v>
      </c>
      <c r="F811" s="2">
        <v>9.5541401273885338</v>
      </c>
      <c r="G811" s="3">
        <f t="shared" si="63"/>
        <v>71.692395944835823</v>
      </c>
      <c r="H811" s="3">
        <f t="shared" si="64"/>
        <v>18.557951095563411</v>
      </c>
      <c r="I811" s="3">
        <f t="shared" si="60"/>
        <v>3092.9918492605684</v>
      </c>
      <c r="J811" s="5">
        <f t="shared" si="62"/>
        <v>10.902613465049292</v>
      </c>
      <c r="K811" s="5">
        <f t="shared" si="61"/>
        <v>1817.1022441748819</v>
      </c>
      <c r="L811">
        <v>6</v>
      </c>
    </row>
    <row r="812" spans="1:12" x14ac:dyDescent="0.3">
      <c r="A812" t="s">
        <v>129</v>
      </c>
      <c r="B812" t="s">
        <v>36</v>
      </c>
      <c r="C812" s="5">
        <v>0.56193137999999998</v>
      </c>
      <c r="D812" s="5">
        <v>0.57808694400000005</v>
      </c>
      <c r="E812" s="1">
        <v>5.7</v>
      </c>
      <c r="F812" s="2">
        <v>25.159235668789808</v>
      </c>
      <c r="G812" s="3">
        <f t="shared" si="63"/>
        <v>497.14693676857826</v>
      </c>
      <c r="H812" s="3">
        <f t="shared" si="64"/>
        <v>116.84648642125957</v>
      </c>
      <c r="I812" s="3">
        <f t="shared" si="60"/>
        <v>19474.414403543262</v>
      </c>
      <c r="J812" s="5">
        <f t="shared" si="62"/>
        <v>21.61379343178222</v>
      </c>
      <c r="K812" s="5">
        <f t="shared" si="61"/>
        <v>3602.2989052970365</v>
      </c>
      <c r="L812">
        <v>6</v>
      </c>
    </row>
    <row r="813" spans="1:12" x14ac:dyDescent="0.3">
      <c r="A813" t="s">
        <v>129</v>
      </c>
      <c r="B813" t="s">
        <v>36</v>
      </c>
      <c r="C813" s="5">
        <v>0.56193137999999998</v>
      </c>
      <c r="D813" s="5">
        <v>0.57808694400000005</v>
      </c>
      <c r="E813" s="1">
        <v>6.3</v>
      </c>
      <c r="F813" s="2">
        <v>13.694267515923567</v>
      </c>
      <c r="G813" s="3">
        <f t="shared" si="63"/>
        <v>147.28804455777941</v>
      </c>
      <c r="H813" s="3">
        <f t="shared" si="64"/>
        <v>39.300721000078404</v>
      </c>
      <c r="I813" s="3">
        <f t="shared" si="60"/>
        <v>6550.1201666797342</v>
      </c>
      <c r="J813" s="5">
        <f t="shared" si="62"/>
        <v>13.12080182968883</v>
      </c>
      <c r="K813" s="5">
        <f t="shared" si="61"/>
        <v>2186.8003049481381</v>
      </c>
      <c r="L813">
        <v>6</v>
      </c>
    </row>
    <row r="814" spans="1:12" x14ac:dyDescent="0.3">
      <c r="A814" t="s">
        <v>129</v>
      </c>
      <c r="B814" t="s">
        <v>130</v>
      </c>
      <c r="C814" s="5">
        <v>0.84088890000000005</v>
      </c>
      <c r="D814" s="5">
        <v>0.84088888900000003</v>
      </c>
      <c r="E814">
        <v>9</v>
      </c>
      <c r="F814" s="2">
        <v>25.477707006369425</v>
      </c>
      <c r="G814" s="3">
        <f t="shared" si="63"/>
        <v>509.81259338549921</v>
      </c>
      <c r="H814" s="3">
        <f t="shared" si="64"/>
        <v>269.60355981818287</v>
      </c>
      <c r="I814" s="3">
        <f t="shared" si="60"/>
        <v>44933.926636363816</v>
      </c>
      <c r="J814" s="5">
        <f t="shared" si="62"/>
        <v>29.432776960525779</v>
      </c>
      <c r="K814" s="5">
        <f t="shared" si="61"/>
        <v>4905.4628267542967</v>
      </c>
      <c r="L814">
        <v>6</v>
      </c>
    </row>
    <row r="815" spans="1:12" x14ac:dyDescent="0.3">
      <c r="A815" t="s">
        <v>129</v>
      </c>
      <c r="B815" t="s">
        <v>117</v>
      </c>
      <c r="C815" s="5">
        <v>0.85750000000000004</v>
      </c>
      <c r="D815" s="5">
        <v>0.61247410899999999</v>
      </c>
      <c r="E815" s="1">
        <v>2.5</v>
      </c>
      <c r="F815" s="2">
        <v>1.910828025477707</v>
      </c>
      <c r="G815" s="3">
        <f t="shared" si="63"/>
        <v>2.8676958377934336</v>
      </c>
      <c r="H815" s="3">
        <f t="shared" si="64"/>
        <v>0.36103284139023539</v>
      </c>
      <c r="I815" s="3">
        <f t="shared" si="60"/>
        <v>60.172140231705896</v>
      </c>
      <c r="J815" s="5">
        <f t="shared" si="62"/>
        <v>9.017648557750821</v>
      </c>
      <c r="K815" s="5">
        <f t="shared" si="61"/>
        <v>1502.9414262918035</v>
      </c>
      <c r="L815">
        <v>6</v>
      </c>
    </row>
    <row r="816" spans="1:12" x14ac:dyDescent="0.3">
      <c r="A816" t="s">
        <v>129</v>
      </c>
      <c r="B816" t="s">
        <v>117</v>
      </c>
      <c r="C816" s="5">
        <v>0.85750000000000004</v>
      </c>
      <c r="D816" s="5">
        <v>0.61247410899999999</v>
      </c>
      <c r="E816">
        <v>4</v>
      </c>
      <c r="F816" s="2">
        <v>3.6624203821656049</v>
      </c>
      <c r="G816" s="3">
        <f t="shared" si="63"/>
        <v>10.534799293005044</v>
      </c>
      <c r="H816" s="3">
        <f t="shared" si="64"/>
        <v>2.0337555730791772</v>
      </c>
      <c r="I816" s="3">
        <f t="shared" si="60"/>
        <v>338.95926217986283</v>
      </c>
      <c r="J816" s="5">
        <f t="shared" si="62"/>
        <v>9.1734865227798288</v>
      </c>
      <c r="K816" s="5">
        <f t="shared" si="61"/>
        <v>1528.9144204633049</v>
      </c>
      <c r="L816">
        <v>6</v>
      </c>
    </row>
    <row r="817" spans="1:12" x14ac:dyDescent="0.3">
      <c r="A817" t="s">
        <v>129</v>
      </c>
      <c r="B817" t="s">
        <v>117</v>
      </c>
      <c r="C817" s="5">
        <v>0.85750000000000004</v>
      </c>
      <c r="D817" s="5">
        <v>0.61247410899999999</v>
      </c>
      <c r="E817" s="1">
        <v>7.5</v>
      </c>
      <c r="F817" s="2">
        <v>12.261146496815286</v>
      </c>
      <c r="G817" s="3">
        <f t="shared" si="63"/>
        <v>118.0733932102588</v>
      </c>
      <c r="H817" s="3">
        <f t="shared" si="64"/>
        <v>39.726943910293258</v>
      </c>
      <c r="I817" s="3">
        <f t="shared" si="60"/>
        <v>6621.1573183822102</v>
      </c>
      <c r="J817" s="5">
        <f t="shared" si="62"/>
        <v>12.932012477179601</v>
      </c>
      <c r="K817" s="5">
        <f t="shared" si="61"/>
        <v>2155.3354128632668</v>
      </c>
      <c r="L817">
        <v>6</v>
      </c>
    </row>
    <row r="818" spans="1:12" x14ac:dyDescent="0.3">
      <c r="A818" t="s">
        <v>129</v>
      </c>
      <c r="B818" t="s">
        <v>117</v>
      </c>
      <c r="C818" s="5">
        <v>0.85750000000000004</v>
      </c>
      <c r="D818" s="5">
        <v>0.61247410899999999</v>
      </c>
      <c r="E818">
        <v>3</v>
      </c>
      <c r="F818" s="2">
        <v>4.1401273885350314</v>
      </c>
      <c r="G818" s="3">
        <f t="shared" si="63"/>
        <v>13.462238794085838</v>
      </c>
      <c r="H818" s="3">
        <f t="shared" si="64"/>
        <v>1.9511640630047671</v>
      </c>
      <c r="I818" s="3">
        <f t="shared" si="60"/>
        <v>325.19401050079449</v>
      </c>
      <c r="J818" s="5">
        <f t="shared" si="62"/>
        <v>9.1656768753296269</v>
      </c>
      <c r="K818" s="5">
        <f t="shared" si="61"/>
        <v>1527.6128125549378</v>
      </c>
      <c r="L818">
        <v>6</v>
      </c>
    </row>
    <row r="819" spans="1:12" x14ac:dyDescent="0.3">
      <c r="A819" t="s">
        <v>129</v>
      </c>
      <c r="B819" t="s">
        <v>117</v>
      </c>
      <c r="C819" s="5">
        <v>0.85750000000000004</v>
      </c>
      <c r="D819" s="5">
        <v>0.61247410899999999</v>
      </c>
      <c r="E819" s="1">
        <v>6.5</v>
      </c>
      <c r="F819" s="2">
        <v>3.3439490445859872</v>
      </c>
      <c r="G819" s="3">
        <f t="shared" si="63"/>
        <v>8.7823185032423901</v>
      </c>
      <c r="H819" s="3">
        <f t="shared" si="64"/>
        <v>2.7350858834002549</v>
      </c>
      <c r="I819" s="3">
        <f t="shared" si="60"/>
        <v>455.84764723337577</v>
      </c>
      <c r="J819" s="5">
        <f t="shared" si="62"/>
        <v>9.2400903910909165</v>
      </c>
      <c r="K819" s="5">
        <f t="shared" si="61"/>
        <v>1540.0150651818194</v>
      </c>
      <c r="L819">
        <v>6</v>
      </c>
    </row>
    <row r="820" spans="1:12" x14ac:dyDescent="0.3">
      <c r="A820" t="s">
        <v>129</v>
      </c>
      <c r="B820" t="s">
        <v>117</v>
      </c>
      <c r="C820" s="5">
        <v>0.85750000000000004</v>
      </c>
      <c r="D820" s="5">
        <v>0.61247410899999999</v>
      </c>
      <c r="E820">
        <v>6</v>
      </c>
      <c r="F820" s="2">
        <v>6.2101910828025479</v>
      </c>
      <c r="G820" s="3">
        <f t="shared" si="63"/>
        <v>30.290037286693146</v>
      </c>
      <c r="H820" s="3">
        <f t="shared" si="64"/>
        <v>8.4689428443508206</v>
      </c>
      <c r="I820" s="3">
        <f t="shared" si="60"/>
        <v>1411.49047405847</v>
      </c>
      <c r="J820" s="5">
        <f t="shared" si="62"/>
        <v>9.7955959389833254</v>
      </c>
      <c r="K820" s="5">
        <f t="shared" si="61"/>
        <v>1632.5993231638877</v>
      </c>
      <c r="L820">
        <v>6</v>
      </c>
    </row>
    <row r="821" spans="1:12" x14ac:dyDescent="0.3">
      <c r="A821" t="s">
        <v>129</v>
      </c>
      <c r="B821" t="s">
        <v>15</v>
      </c>
      <c r="C821" s="5">
        <v>0.74387999999999999</v>
      </c>
      <c r="D821" s="5">
        <v>0.59130000000000005</v>
      </c>
      <c r="E821" s="1">
        <v>3.7</v>
      </c>
      <c r="F821" s="2">
        <v>5.0955414012738851</v>
      </c>
      <c r="G821" s="3">
        <f t="shared" si="63"/>
        <v>20.392503735419968</v>
      </c>
      <c r="H821" s="3">
        <f t="shared" si="64"/>
        <v>3.4697642649820359</v>
      </c>
      <c r="I821" s="3">
        <f t="shared" si="60"/>
        <v>578.29404416367265</v>
      </c>
      <c r="J821" s="5">
        <f t="shared" si="62"/>
        <v>9.3219408211286456</v>
      </c>
      <c r="K821" s="5">
        <f t="shared" si="61"/>
        <v>1553.6568035214411</v>
      </c>
      <c r="L821">
        <v>6</v>
      </c>
    </row>
    <row r="822" spans="1:12" x14ac:dyDescent="0.3">
      <c r="A822" t="s">
        <v>129</v>
      </c>
      <c r="B822" t="s">
        <v>27</v>
      </c>
      <c r="C822" s="5">
        <v>0.65716857299999998</v>
      </c>
      <c r="D822" s="5">
        <v>0.85527777800000004</v>
      </c>
      <c r="E822">
        <v>2</v>
      </c>
      <c r="F822" s="2">
        <v>2.5477707006369426</v>
      </c>
      <c r="G822" s="3">
        <f t="shared" si="63"/>
        <v>5.098125933854992</v>
      </c>
      <c r="H822" s="3">
        <f t="shared" si="64"/>
        <v>0.70531307902694229</v>
      </c>
      <c r="I822" s="3">
        <f t="shared" si="60"/>
        <v>117.55217983782372</v>
      </c>
      <c r="J822" s="5">
        <f t="shared" si="62"/>
        <v>9.0311379488011685</v>
      </c>
      <c r="K822" s="5">
        <f t="shared" si="61"/>
        <v>1505.1896581335279</v>
      </c>
      <c r="L822">
        <v>6</v>
      </c>
    </row>
    <row r="823" spans="1:12" x14ac:dyDescent="0.3">
      <c r="A823" t="s">
        <v>129</v>
      </c>
      <c r="B823" t="s">
        <v>27</v>
      </c>
      <c r="C823" s="5">
        <v>0.65716857299999998</v>
      </c>
      <c r="D823" s="5">
        <v>0.85527777800000004</v>
      </c>
      <c r="E823" s="1">
        <v>2.5</v>
      </c>
      <c r="F823" s="2">
        <v>2.7070063694267517</v>
      </c>
      <c r="G823" s="3">
        <f t="shared" si="63"/>
        <v>5.7553062300159885</v>
      </c>
      <c r="H823" s="3">
        <f t="shared" si="64"/>
        <v>0.98709783273246976</v>
      </c>
      <c r="I823" s="3">
        <f t="shared" si="60"/>
        <v>164.51630545541164</v>
      </c>
      <c r="J823" s="5">
        <f t="shared" si="62"/>
        <v>9.0498189804860232</v>
      </c>
      <c r="K823" s="5">
        <f t="shared" si="61"/>
        <v>1508.3031634143372</v>
      </c>
      <c r="L823">
        <v>6</v>
      </c>
    </row>
    <row r="824" spans="1:12" x14ac:dyDescent="0.3">
      <c r="A824" t="s">
        <v>129</v>
      </c>
      <c r="B824" t="s">
        <v>126</v>
      </c>
      <c r="C824" s="5">
        <v>0.52520999999999995</v>
      </c>
      <c r="D824" s="5">
        <v>0.58666666700000003</v>
      </c>
      <c r="E824" s="1">
        <v>5.5</v>
      </c>
      <c r="F824" s="2">
        <v>7.1656050955414008</v>
      </c>
      <c r="G824" s="3">
        <f t="shared" si="63"/>
        <v>40.326972718970154</v>
      </c>
      <c r="H824" s="3">
        <f t="shared" si="64"/>
        <v>9.8630826158246201</v>
      </c>
      <c r="I824" s="3">
        <f t="shared" si="60"/>
        <v>1643.8471026374366</v>
      </c>
      <c r="J824" s="5">
        <f t="shared" si="62"/>
        <v>9.9741085054160408</v>
      </c>
      <c r="K824" s="5">
        <f t="shared" si="61"/>
        <v>1662.3514175693401</v>
      </c>
      <c r="L824">
        <v>6</v>
      </c>
    </row>
    <row r="825" spans="1:12" x14ac:dyDescent="0.3">
      <c r="A825" t="s">
        <v>129</v>
      </c>
      <c r="B825" t="s">
        <v>126</v>
      </c>
      <c r="C825" s="5">
        <v>0.52520999999999995</v>
      </c>
      <c r="D825" s="5">
        <v>0.58666666700000003</v>
      </c>
      <c r="E825" s="1">
        <v>5.2</v>
      </c>
      <c r="F825" s="2">
        <v>9.5541401273885338</v>
      </c>
      <c r="G825" s="3">
        <f t="shared" si="63"/>
        <v>71.692395944835823</v>
      </c>
      <c r="H825" s="3">
        <f t="shared" si="64"/>
        <v>16.372626824159475</v>
      </c>
      <c r="I825" s="3">
        <f t="shared" si="60"/>
        <v>2728.7711373599127</v>
      </c>
      <c r="J825" s="5">
        <f t="shared" si="62"/>
        <v>10.647025003042719</v>
      </c>
      <c r="K825" s="5">
        <f t="shared" si="61"/>
        <v>1774.5041671737865</v>
      </c>
      <c r="L825">
        <v>6</v>
      </c>
    </row>
    <row r="826" spans="1:12" x14ac:dyDescent="0.3">
      <c r="A826" t="s">
        <v>129</v>
      </c>
      <c r="B826" t="s">
        <v>18</v>
      </c>
      <c r="C826" s="5">
        <v>0.76500000000000001</v>
      </c>
      <c r="D826" s="5">
        <v>0.61247410899999999</v>
      </c>
      <c r="E826" s="1">
        <v>9.5</v>
      </c>
      <c r="F826" s="2">
        <v>26.273885350318469</v>
      </c>
      <c r="G826" s="3">
        <f t="shared" si="63"/>
        <v>542.173744332821</v>
      </c>
      <c r="H826" s="3">
        <f t="shared" si="64"/>
        <v>221.50440455055957</v>
      </c>
      <c r="I826" s="3">
        <f t="shared" si="60"/>
        <v>36917.400758426593</v>
      </c>
      <c r="J826" s="5">
        <f t="shared" si="62"/>
        <v>31.93874195910584</v>
      </c>
      <c r="K826" s="5">
        <f t="shared" si="61"/>
        <v>5323.1236598509731</v>
      </c>
      <c r="L826">
        <v>6</v>
      </c>
    </row>
    <row r="827" spans="1:12" x14ac:dyDescent="0.3">
      <c r="A827" t="s">
        <v>129</v>
      </c>
      <c r="B827" t="s">
        <v>18</v>
      </c>
      <c r="C827" s="5">
        <v>0.76500000000000001</v>
      </c>
      <c r="D827" s="5">
        <v>0.61247410899999999</v>
      </c>
      <c r="E827" s="1">
        <v>9.5</v>
      </c>
      <c r="F827" s="2">
        <v>18.789808917197451</v>
      </c>
      <c r="G827" s="3">
        <f t="shared" si="63"/>
        <v>277.29025587108168</v>
      </c>
      <c r="H827" s="3">
        <f t="shared" si="64"/>
        <v>115.12440154947417</v>
      </c>
      <c r="I827" s="3">
        <f t="shared" si="60"/>
        <v>19187.400258245696</v>
      </c>
      <c r="J827" s="5">
        <f t="shared" si="62"/>
        <v>20.724842561564365</v>
      </c>
      <c r="K827" s="5">
        <f t="shared" si="61"/>
        <v>3454.1404269273939</v>
      </c>
      <c r="L827">
        <v>6</v>
      </c>
    </row>
    <row r="828" spans="1:12" x14ac:dyDescent="0.3">
      <c r="A828" t="s">
        <v>131</v>
      </c>
      <c r="B828" t="s">
        <v>21</v>
      </c>
      <c r="C828" s="5">
        <v>0.80908761900000004</v>
      </c>
      <c r="D828" s="5">
        <v>0.87473809499999999</v>
      </c>
      <c r="E828" s="1">
        <v>5.5</v>
      </c>
      <c r="F828" s="2">
        <v>27.70700636942675</v>
      </c>
      <c r="G828" s="3">
        <f t="shared" si="63"/>
        <v>602.93304989606929</v>
      </c>
      <c r="H828" s="3">
        <f t="shared" si="64"/>
        <v>204.08774391719379</v>
      </c>
      <c r="I828" s="3">
        <f t="shared" si="60"/>
        <v>34014.623986198967</v>
      </c>
      <c r="J828" s="5">
        <f t="shared" si="62"/>
        <v>23.763505387642496</v>
      </c>
      <c r="K828" s="5">
        <f t="shared" si="61"/>
        <v>3960.5842312737495</v>
      </c>
      <c r="L828">
        <v>6</v>
      </c>
    </row>
    <row r="829" spans="1:12" x14ac:dyDescent="0.3">
      <c r="A829" t="s">
        <v>131</v>
      </c>
      <c r="B829" t="s">
        <v>80</v>
      </c>
      <c r="C829" s="5">
        <v>0.6</v>
      </c>
      <c r="D829" s="5">
        <v>0.66674999999999995</v>
      </c>
      <c r="E829" s="1">
        <v>6.5</v>
      </c>
      <c r="F829" s="2">
        <v>3.5031847133757958</v>
      </c>
      <c r="G829" s="3">
        <f t="shared" si="63"/>
        <v>9.6386443436945939</v>
      </c>
      <c r="H829" s="3">
        <f t="shared" si="64"/>
        <v>3.2538554847649013</v>
      </c>
      <c r="I829" s="3">
        <f t="shared" si="60"/>
        <v>542.30924746081689</v>
      </c>
      <c r="J829" s="5">
        <f t="shared" si="62"/>
        <v>9.2648948963446784</v>
      </c>
      <c r="K829" s="5">
        <f t="shared" si="61"/>
        <v>1544.1491493907797</v>
      </c>
      <c r="L829">
        <v>6</v>
      </c>
    </row>
    <row r="830" spans="1:12" x14ac:dyDescent="0.3">
      <c r="A830" t="s">
        <v>131</v>
      </c>
      <c r="B830" t="s">
        <v>82</v>
      </c>
      <c r="C830" s="5">
        <v>0.59</v>
      </c>
      <c r="D830" s="5">
        <v>0.59</v>
      </c>
      <c r="E830">
        <v>2</v>
      </c>
      <c r="F830" s="2">
        <v>12.579617834394904</v>
      </c>
      <c r="G830" s="3">
        <f t="shared" si="63"/>
        <v>124.28673419214456</v>
      </c>
      <c r="H830" s="3">
        <f t="shared" si="64"/>
        <v>11.084669812396147</v>
      </c>
      <c r="I830" s="3">
        <f t="shared" si="60"/>
        <v>1847.4449687326912</v>
      </c>
      <c r="J830" s="5">
        <f t="shared" si="62"/>
        <v>10.093427494015984</v>
      </c>
      <c r="K830" s="5">
        <f t="shared" si="61"/>
        <v>1682.2379156693305</v>
      </c>
      <c r="L830">
        <v>6</v>
      </c>
    </row>
    <row r="831" spans="1:12" x14ac:dyDescent="0.3">
      <c r="A831" t="s">
        <v>131</v>
      </c>
      <c r="B831" t="s">
        <v>32</v>
      </c>
      <c r="C831" s="5">
        <v>0.39790071399999999</v>
      </c>
      <c r="D831" s="5">
        <v>0.50565277799999997</v>
      </c>
      <c r="E831" s="1">
        <v>8.5</v>
      </c>
      <c r="F831" s="2">
        <v>15.031847133757962</v>
      </c>
      <c r="G831" s="3">
        <f t="shared" si="63"/>
        <v>177.46576375749231</v>
      </c>
      <c r="H831" s="3">
        <f t="shared" si="64"/>
        <v>55.413551331797386</v>
      </c>
      <c r="I831" s="3">
        <f t="shared" si="60"/>
        <v>9235.5918886328982</v>
      </c>
      <c r="J831" s="5">
        <f t="shared" si="62"/>
        <v>15.707903740516857</v>
      </c>
      <c r="K831" s="5">
        <f t="shared" si="61"/>
        <v>2617.9839567528093</v>
      </c>
      <c r="L831">
        <v>6</v>
      </c>
    </row>
    <row r="832" spans="1:12" x14ac:dyDescent="0.3">
      <c r="A832" t="s">
        <v>131</v>
      </c>
      <c r="B832" t="s">
        <v>65</v>
      </c>
      <c r="C832" s="5">
        <v>0.55560299999999996</v>
      </c>
      <c r="D832" s="5">
        <v>0.55961111100000005</v>
      </c>
      <c r="E832">
        <v>10</v>
      </c>
      <c r="F832" s="2">
        <v>21.496815286624201</v>
      </c>
      <c r="G832" s="3">
        <f t="shared" si="63"/>
        <v>362.94275447073136</v>
      </c>
      <c r="H832" s="3">
        <f t="shared" si="64"/>
        <v>144.12735367691752</v>
      </c>
      <c r="I832" s="3">
        <f t="shared" si="60"/>
        <v>24021.225612819588</v>
      </c>
      <c r="J832" s="5">
        <f t="shared" si="62"/>
        <v>25.159657361353396</v>
      </c>
      <c r="K832" s="5">
        <f t="shared" si="61"/>
        <v>4193.2762268922324</v>
      </c>
      <c r="L832">
        <v>6</v>
      </c>
    </row>
    <row r="833" spans="1:12" x14ac:dyDescent="0.3">
      <c r="A833" t="s">
        <v>131</v>
      </c>
      <c r="B833" t="s">
        <v>117</v>
      </c>
      <c r="C833" s="5">
        <v>0.85750000000000004</v>
      </c>
      <c r="D833" s="5">
        <v>0.61247410899999999</v>
      </c>
      <c r="E833" s="1">
        <v>8.5</v>
      </c>
      <c r="F833" s="2">
        <v>45.70063694267516</v>
      </c>
      <c r="G833" s="3">
        <f t="shared" si="63"/>
        <v>1640.341933772273</v>
      </c>
      <c r="H833" s="3">
        <f t="shared" si="64"/>
        <v>585.4553816790899</v>
      </c>
      <c r="I833" s="3">
        <f t="shared" si="60"/>
        <v>97575.896946514971</v>
      </c>
      <c r="J833" s="5">
        <f t="shared" si="62"/>
        <v>71.120009454744604</v>
      </c>
      <c r="K833" s="5">
        <f t="shared" si="61"/>
        <v>11853.334909124102</v>
      </c>
      <c r="L833">
        <v>6</v>
      </c>
    </row>
    <row r="834" spans="1:12" x14ac:dyDescent="0.3">
      <c r="A834" t="s">
        <v>131</v>
      </c>
      <c r="B834" t="s">
        <v>15</v>
      </c>
      <c r="C834" s="5">
        <v>0.74387999999999999</v>
      </c>
      <c r="D834" s="5">
        <v>0.59130000000000005</v>
      </c>
      <c r="E834">
        <v>5</v>
      </c>
      <c r="F834" s="2">
        <v>17.292993630573246</v>
      </c>
      <c r="G834" s="3">
        <f t="shared" si="63"/>
        <v>234.87145835487661</v>
      </c>
      <c r="H834" s="3">
        <f t="shared" si="64"/>
        <v>50.561141778050505</v>
      </c>
      <c r="I834" s="3">
        <f t="shared" ref="I834:I897" si="65">(H834*1000)/L834</f>
        <v>8426.8569630084185</v>
      </c>
      <c r="J834" s="5">
        <f t="shared" si="62"/>
        <v>14.219033502373319</v>
      </c>
      <c r="K834" s="5">
        <f t="shared" ref="K834:K897" si="66">(J834*1000)/L834</f>
        <v>2369.8389170622199</v>
      </c>
      <c r="L834">
        <v>6</v>
      </c>
    </row>
    <row r="835" spans="1:12" x14ac:dyDescent="0.3">
      <c r="A835" t="s">
        <v>131</v>
      </c>
      <c r="B835" t="s">
        <v>126</v>
      </c>
      <c r="C835" s="5">
        <v>0.52520999999999995</v>
      </c>
      <c r="D835" s="5">
        <v>0.58666666700000003</v>
      </c>
      <c r="E835">
        <v>6</v>
      </c>
      <c r="F835" s="2">
        <v>23.407643312101911</v>
      </c>
      <c r="G835" s="3">
        <f t="shared" si="63"/>
        <v>430.33360665887716</v>
      </c>
      <c r="H835" s="3">
        <f t="shared" si="64"/>
        <v>108.24975369849021</v>
      </c>
      <c r="I835" s="3">
        <f t="shared" si="65"/>
        <v>18041.625616415036</v>
      </c>
      <c r="J835" s="5">
        <f t="shared" ref="J835:J898" si="67">8.9857 + 0.0035 * F835^2 * E835</f>
        <v>20.491973073958377</v>
      </c>
      <c r="K835" s="5">
        <f t="shared" si="66"/>
        <v>3415.3288456597293</v>
      </c>
      <c r="L835">
        <v>6</v>
      </c>
    </row>
    <row r="836" spans="1:12" x14ac:dyDescent="0.3">
      <c r="A836" t="s">
        <v>131</v>
      </c>
      <c r="B836" t="s">
        <v>126</v>
      </c>
      <c r="C836" s="5">
        <v>0.52520999999999995</v>
      </c>
      <c r="D836" s="5">
        <v>0.58666666700000003</v>
      </c>
      <c r="E836">
        <v>5</v>
      </c>
      <c r="F836" s="2">
        <v>15.509554140127388</v>
      </c>
      <c r="G836" s="3">
        <f t="shared" ref="G836:G899" si="68">PI()*(F836/2)^2</f>
        <v>188.92459837600856</v>
      </c>
      <c r="H836" s="3">
        <f t="shared" ref="H836:H899" si="69">0.0673 * ((D836 * F836^2 * E836)^0.976)</f>
        <v>40.570435266581676</v>
      </c>
      <c r="I836" s="3">
        <f t="shared" si="65"/>
        <v>6761.7392110969458</v>
      </c>
      <c r="J836" s="5">
        <f t="shared" si="67"/>
        <v>13.195259718446994</v>
      </c>
      <c r="K836" s="5">
        <f t="shared" si="66"/>
        <v>2199.209953074499</v>
      </c>
      <c r="L836">
        <v>6</v>
      </c>
    </row>
    <row r="837" spans="1:12" x14ac:dyDescent="0.3">
      <c r="A837" t="s">
        <v>132</v>
      </c>
      <c r="B837" t="s">
        <v>32</v>
      </c>
      <c r="C837" s="5">
        <v>0.39790071399999999</v>
      </c>
      <c r="D837" s="5">
        <v>0.50565277799999997</v>
      </c>
      <c r="E837" s="1">
        <v>4.5</v>
      </c>
      <c r="F837" s="2">
        <v>10.828025477707007</v>
      </c>
      <c r="G837" s="3">
        <f t="shared" si="68"/>
        <v>92.084899680255816</v>
      </c>
      <c r="H837" s="3">
        <f t="shared" si="69"/>
        <v>15.701841557191905</v>
      </c>
      <c r="I837" s="3">
        <f t="shared" si="65"/>
        <v>2616.9735928653176</v>
      </c>
      <c r="J837" s="5">
        <f t="shared" si="67"/>
        <v>10.832326637997484</v>
      </c>
      <c r="K837" s="5">
        <f t="shared" si="66"/>
        <v>1805.3877729995809</v>
      </c>
      <c r="L837">
        <v>6</v>
      </c>
    </row>
    <row r="838" spans="1:12" x14ac:dyDescent="0.3">
      <c r="A838" t="s">
        <v>132</v>
      </c>
      <c r="B838" t="s">
        <v>40</v>
      </c>
      <c r="C838" s="5">
        <v>0.81991655299999999</v>
      </c>
      <c r="D838" s="5">
        <v>0.72276027399999998</v>
      </c>
      <c r="E838">
        <v>2</v>
      </c>
      <c r="F838" s="2">
        <v>2.8662420382165603</v>
      </c>
      <c r="G838" s="3">
        <f t="shared" si="68"/>
        <v>6.4523156350352249</v>
      </c>
      <c r="H838" s="3">
        <f t="shared" si="69"/>
        <v>0.75313608538187993</v>
      </c>
      <c r="I838" s="3">
        <f t="shared" si="65"/>
        <v>125.52268089697999</v>
      </c>
      <c r="J838" s="5">
        <f t="shared" si="67"/>
        <v>9.0432074039514792</v>
      </c>
      <c r="K838" s="5">
        <f t="shared" si="66"/>
        <v>1507.2012339919131</v>
      </c>
      <c r="L838">
        <v>6</v>
      </c>
    </row>
    <row r="839" spans="1:12" x14ac:dyDescent="0.3">
      <c r="A839" t="s">
        <v>132</v>
      </c>
      <c r="B839" t="s">
        <v>36</v>
      </c>
      <c r="C839" s="5">
        <v>0.56193137999999998</v>
      </c>
      <c r="D839" s="5">
        <v>0.57808694400000005</v>
      </c>
      <c r="E839">
        <v>6</v>
      </c>
      <c r="F839" s="2">
        <v>30.414012738853501</v>
      </c>
      <c r="G839" s="3">
        <f t="shared" si="68"/>
        <v>726.50286012876552</v>
      </c>
      <c r="H839" s="3">
        <f t="shared" si="69"/>
        <v>177.89179528535169</v>
      </c>
      <c r="I839" s="3">
        <f t="shared" si="65"/>
        <v>29648.632547558616</v>
      </c>
      <c r="J839" s="5">
        <f t="shared" si="67"/>
        <v>28.410955588462002</v>
      </c>
      <c r="K839" s="5">
        <f t="shared" si="66"/>
        <v>4735.1592647436673</v>
      </c>
      <c r="L839">
        <v>6</v>
      </c>
    </row>
    <row r="840" spans="1:12" x14ac:dyDescent="0.3">
      <c r="A840" t="s">
        <v>132</v>
      </c>
      <c r="B840" t="s">
        <v>130</v>
      </c>
      <c r="C840" s="5">
        <v>0.84088890000000005</v>
      </c>
      <c r="D840" s="5">
        <v>0.84088888900000003</v>
      </c>
      <c r="E840">
        <v>10</v>
      </c>
      <c r="F840" s="2">
        <v>20.38216560509554</v>
      </c>
      <c r="G840" s="3">
        <f t="shared" si="68"/>
        <v>326.28005976671949</v>
      </c>
      <c r="H840" s="3">
        <f t="shared" si="69"/>
        <v>193.29320522367121</v>
      </c>
      <c r="I840" s="3">
        <f t="shared" si="65"/>
        <v>32215.534203945204</v>
      </c>
      <c r="J840" s="5">
        <f t="shared" si="67"/>
        <v>23.525843616373891</v>
      </c>
      <c r="K840" s="5">
        <f t="shared" si="66"/>
        <v>3920.9739360623153</v>
      </c>
      <c r="L840">
        <v>6</v>
      </c>
    </row>
    <row r="841" spans="1:12" x14ac:dyDescent="0.3">
      <c r="A841" t="s">
        <v>132</v>
      </c>
      <c r="B841" t="s">
        <v>130</v>
      </c>
      <c r="C841" s="5">
        <v>0.84088890000000005</v>
      </c>
      <c r="D841" s="5">
        <v>0.84088888900000003</v>
      </c>
      <c r="E841">
        <v>9</v>
      </c>
      <c r="F841" s="2">
        <v>17.834394904458598</v>
      </c>
      <c r="G841" s="3">
        <f t="shared" si="68"/>
        <v>249.80817075889462</v>
      </c>
      <c r="H841" s="3">
        <f t="shared" si="69"/>
        <v>134.38691872755896</v>
      </c>
      <c r="I841" s="3">
        <f t="shared" si="65"/>
        <v>22397.819787926492</v>
      </c>
      <c r="J841" s="5">
        <f t="shared" si="67"/>
        <v>19.004767710657632</v>
      </c>
      <c r="K841" s="5">
        <f t="shared" si="66"/>
        <v>3167.4612851096049</v>
      </c>
      <c r="L841">
        <v>6</v>
      </c>
    </row>
    <row r="842" spans="1:12" x14ac:dyDescent="0.3">
      <c r="A842" t="s">
        <v>132</v>
      </c>
      <c r="B842" t="s">
        <v>130</v>
      </c>
      <c r="C842" s="5">
        <v>0.84088890000000005</v>
      </c>
      <c r="D842" s="5">
        <v>0.84088888900000003</v>
      </c>
      <c r="E842" s="1">
        <v>8.5</v>
      </c>
      <c r="F842" s="2">
        <v>32.324840764331206</v>
      </c>
      <c r="G842" s="3">
        <f t="shared" si="68"/>
        <v>820.65887346964985</v>
      </c>
      <c r="H842" s="3">
        <f t="shared" si="69"/>
        <v>405.77740871943149</v>
      </c>
      <c r="I842" s="3">
        <f t="shared" si="65"/>
        <v>67629.568119905249</v>
      </c>
      <c r="J842" s="5">
        <f t="shared" si="67"/>
        <v>40.071336080571214</v>
      </c>
      <c r="K842" s="5">
        <f t="shared" si="66"/>
        <v>6678.5560134285361</v>
      </c>
      <c r="L842">
        <v>6</v>
      </c>
    </row>
    <row r="843" spans="1:12" x14ac:dyDescent="0.3">
      <c r="A843" t="s">
        <v>132</v>
      </c>
      <c r="B843" t="s">
        <v>117</v>
      </c>
      <c r="C843" s="5">
        <v>0.85750000000000004</v>
      </c>
      <c r="D843" s="5">
        <v>0.61247410899999999</v>
      </c>
      <c r="E843">
        <v>5</v>
      </c>
      <c r="F843" s="2">
        <v>14.012738853503183</v>
      </c>
      <c r="G843" s="3">
        <f t="shared" si="68"/>
        <v>154.2183094991135</v>
      </c>
      <c r="H843" s="3">
        <f t="shared" si="69"/>
        <v>34.707263169601717</v>
      </c>
      <c r="I843" s="3">
        <f t="shared" si="65"/>
        <v>5784.5438616002866</v>
      </c>
      <c r="J843" s="5">
        <f t="shared" si="67"/>
        <v>12.421944878088359</v>
      </c>
      <c r="K843" s="5">
        <f t="shared" si="66"/>
        <v>2070.3241463480599</v>
      </c>
      <c r="L843">
        <v>6</v>
      </c>
    </row>
    <row r="844" spans="1:12" x14ac:dyDescent="0.3">
      <c r="A844" t="s">
        <v>132</v>
      </c>
      <c r="B844" t="s">
        <v>114</v>
      </c>
      <c r="C844" s="5">
        <v>0.432770245</v>
      </c>
      <c r="D844" s="5">
        <v>0.61247410899999999</v>
      </c>
      <c r="E844">
        <v>3</v>
      </c>
      <c r="F844" s="2">
        <v>2.8662420382165603</v>
      </c>
      <c r="G844" s="3">
        <f t="shared" si="68"/>
        <v>6.4523156350352249</v>
      </c>
      <c r="H844" s="3">
        <f t="shared" si="69"/>
        <v>0.95182639315767614</v>
      </c>
      <c r="I844" s="3">
        <f t="shared" si="65"/>
        <v>158.63773219294603</v>
      </c>
      <c r="J844" s="5">
        <f t="shared" si="67"/>
        <v>9.0719611059272172</v>
      </c>
      <c r="K844" s="5">
        <f t="shared" si="66"/>
        <v>1511.9935176545362</v>
      </c>
      <c r="L844">
        <v>6</v>
      </c>
    </row>
    <row r="845" spans="1:12" x14ac:dyDescent="0.3">
      <c r="A845" t="s">
        <v>133</v>
      </c>
      <c r="B845" t="s">
        <v>21</v>
      </c>
      <c r="C845" s="5">
        <v>0.80908761900000004</v>
      </c>
      <c r="D845" s="5">
        <v>0.87473809499999999</v>
      </c>
      <c r="E845" s="1">
        <v>9.5</v>
      </c>
      <c r="F845" s="2">
        <v>10.19108280254777</v>
      </c>
      <c r="G845" s="3">
        <f t="shared" si="68"/>
        <v>81.570014941679872</v>
      </c>
      <c r="H845" s="3">
        <f t="shared" si="69"/>
        <v>49.384692644416972</v>
      </c>
      <c r="I845" s="3">
        <f t="shared" si="65"/>
        <v>8230.7821074028288</v>
      </c>
      <c r="J845" s="5">
        <f t="shared" si="67"/>
        <v>12.438984108888798</v>
      </c>
      <c r="K845" s="5">
        <f t="shared" si="66"/>
        <v>2073.164018148133</v>
      </c>
      <c r="L845">
        <v>6</v>
      </c>
    </row>
    <row r="846" spans="1:12" x14ac:dyDescent="0.3">
      <c r="A846" t="s">
        <v>133</v>
      </c>
      <c r="B846" t="s">
        <v>21</v>
      </c>
      <c r="C846" s="5">
        <v>0.80908761900000004</v>
      </c>
      <c r="D846" s="5">
        <v>0.87473809499999999</v>
      </c>
      <c r="E846" s="1">
        <v>9.5</v>
      </c>
      <c r="F846" s="2">
        <v>7.9617834394904454</v>
      </c>
      <c r="G846" s="3">
        <f t="shared" si="68"/>
        <v>49.786386072802657</v>
      </c>
      <c r="H846" s="3">
        <f t="shared" si="69"/>
        <v>30.501310153878983</v>
      </c>
      <c r="I846" s="3">
        <f t="shared" si="65"/>
        <v>5083.5516923131636</v>
      </c>
      <c r="J846" s="5">
        <f t="shared" si="67"/>
        <v>11.093417351616697</v>
      </c>
      <c r="K846" s="5">
        <f t="shared" si="66"/>
        <v>1848.9028919361162</v>
      </c>
      <c r="L846">
        <v>6</v>
      </c>
    </row>
    <row r="847" spans="1:12" x14ac:dyDescent="0.3">
      <c r="A847" t="s">
        <v>133</v>
      </c>
      <c r="B847" t="s">
        <v>80</v>
      </c>
      <c r="C847" s="5">
        <v>0.6</v>
      </c>
      <c r="D847" s="5">
        <v>0.66674999999999995</v>
      </c>
      <c r="E847">
        <v>7</v>
      </c>
      <c r="F847" s="2">
        <v>6.3694267515923562</v>
      </c>
      <c r="G847" s="3">
        <f t="shared" si="68"/>
        <v>31.863287086593701</v>
      </c>
      <c r="H847" s="3">
        <f t="shared" si="69"/>
        <v>11.23627970459831</v>
      </c>
      <c r="I847" s="3">
        <f t="shared" si="65"/>
        <v>1872.7132840997183</v>
      </c>
      <c r="J847" s="5">
        <f t="shared" si="67"/>
        <v>9.9796551300255576</v>
      </c>
      <c r="K847" s="5">
        <f t="shared" si="66"/>
        <v>1663.2758550042597</v>
      </c>
      <c r="L847">
        <v>6</v>
      </c>
    </row>
    <row r="848" spans="1:12" x14ac:dyDescent="0.3">
      <c r="A848" t="s">
        <v>133</v>
      </c>
      <c r="B848" t="s">
        <v>80</v>
      </c>
      <c r="C848" s="5">
        <v>0.6</v>
      </c>
      <c r="D848" s="5">
        <v>0.66674999999999995</v>
      </c>
      <c r="E848" s="1">
        <v>7.3</v>
      </c>
      <c r="F848" s="2">
        <v>9.5541401273885338</v>
      </c>
      <c r="G848" s="3">
        <f t="shared" si="68"/>
        <v>71.692395944835823</v>
      </c>
      <c r="H848" s="3">
        <f t="shared" si="69"/>
        <v>25.830933636588764</v>
      </c>
      <c r="I848" s="3">
        <f t="shared" si="65"/>
        <v>4305.1556060981275</v>
      </c>
      <c r="J848" s="5">
        <f t="shared" si="67"/>
        <v>11.317944715809972</v>
      </c>
      <c r="K848" s="5">
        <f t="shared" si="66"/>
        <v>1886.324119301662</v>
      </c>
      <c r="L848">
        <v>6</v>
      </c>
    </row>
    <row r="849" spans="1:12" x14ac:dyDescent="0.3">
      <c r="A849" t="s">
        <v>133</v>
      </c>
      <c r="B849" t="s">
        <v>80</v>
      </c>
      <c r="C849" s="5">
        <v>0.6</v>
      </c>
      <c r="D849" s="5">
        <v>0.66674999999999995</v>
      </c>
      <c r="E849" s="1">
        <v>7.5</v>
      </c>
      <c r="F849" s="2">
        <v>5.7324840764331206</v>
      </c>
      <c r="G849" s="3">
        <f t="shared" si="68"/>
        <v>25.809262540140899</v>
      </c>
      <c r="H849" s="3">
        <f t="shared" si="69"/>
        <v>9.7847115199566392</v>
      </c>
      <c r="I849" s="3">
        <f t="shared" si="65"/>
        <v>1630.7852533261066</v>
      </c>
      <c r="J849" s="5">
        <f t="shared" si="67"/>
        <v>9.8483110592721808</v>
      </c>
      <c r="K849" s="5">
        <f t="shared" si="66"/>
        <v>1641.3851765453635</v>
      </c>
      <c r="L849">
        <v>6</v>
      </c>
    </row>
    <row r="850" spans="1:12" x14ac:dyDescent="0.3">
      <c r="A850" t="s">
        <v>133</v>
      </c>
      <c r="B850" t="s">
        <v>32</v>
      </c>
      <c r="C850" s="5">
        <v>0.39790071399999999</v>
      </c>
      <c r="D850" s="5">
        <v>0.50565277799999997</v>
      </c>
      <c r="E850" s="1">
        <v>6.5</v>
      </c>
      <c r="F850" s="2">
        <v>7.3248407643312099</v>
      </c>
      <c r="G850" s="3">
        <f t="shared" si="68"/>
        <v>42.139197172020175</v>
      </c>
      <c r="H850" s="3">
        <f t="shared" si="69"/>
        <v>10.482491120219917</v>
      </c>
      <c r="I850" s="3">
        <f t="shared" si="65"/>
        <v>1747.081853369986</v>
      </c>
      <c r="J850" s="5">
        <f t="shared" si="67"/>
        <v>10.206312398068887</v>
      </c>
      <c r="K850" s="5">
        <f t="shared" si="66"/>
        <v>1701.0520663448144</v>
      </c>
      <c r="L850">
        <v>6</v>
      </c>
    </row>
    <row r="851" spans="1:12" x14ac:dyDescent="0.3">
      <c r="A851" t="s">
        <v>133</v>
      </c>
      <c r="B851" t="s">
        <v>13</v>
      </c>
      <c r="C851" s="5">
        <v>0.45255480399999998</v>
      </c>
      <c r="D851" s="5">
        <v>0.57808694400000005</v>
      </c>
      <c r="E851" s="1">
        <v>3.5</v>
      </c>
      <c r="F851" s="2">
        <v>6.0509554140127388</v>
      </c>
      <c r="G851" s="3">
        <f t="shared" si="68"/>
        <v>28.756616595650822</v>
      </c>
      <c r="H851" s="3">
        <f t="shared" si="69"/>
        <v>4.4962573077241785</v>
      </c>
      <c r="I851" s="3">
        <f t="shared" si="65"/>
        <v>749.37621795402981</v>
      </c>
      <c r="J851" s="5">
        <f t="shared" si="67"/>
        <v>9.4342222524240338</v>
      </c>
      <c r="K851" s="5">
        <f t="shared" si="66"/>
        <v>1572.3703754040055</v>
      </c>
      <c r="L851">
        <v>6</v>
      </c>
    </row>
    <row r="852" spans="1:12" x14ac:dyDescent="0.3">
      <c r="A852" t="s">
        <v>133</v>
      </c>
      <c r="B852" t="s">
        <v>13</v>
      </c>
      <c r="C852" s="5">
        <v>0.45255480399999998</v>
      </c>
      <c r="D852" s="5">
        <v>0.57808694400000005</v>
      </c>
      <c r="E852">
        <v>6</v>
      </c>
      <c r="F852" s="2">
        <v>24.840764331210192</v>
      </c>
      <c r="G852" s="3">
        <f t="shared" si="68"/>
        <v>484.64059658709033</v>
      </c>
      <c r="H852" s="3">
        <f t="shared" si="69"/>
        <v>119.82791458135016</v>
      </c>
      <c r="I852" s="3">
        <f t="shared" si="65"/>
        <v>19971.319096891693</v>
      </c>
      <c r="J852" s="5">
        <f t="shared" si="67"/>
        <v>21.944035023733214</v>
      </c>
      <c r="K852" s="5">
        <f t="shared" si="66"/>
        <v>3657.3391706222023</v>
      </c>
      <c r="L852">
        <v>6</v>
      </c>
    </row>
    <row r="853" spans="1:12" x14ac:dyDescent="0.3">
      <c r="A853" t="s">
        <v>133</v>
      </c>
      <c r="B853" t="s">
        <v>61</v>
      </c>
      <c r="C853" s="5">
        <v>0.62643652800000005</v>
      </c>
      <c r="D853" s="5">
        <v>0.57808694400000005</v>
      </c>
      <c r="E853" s="1">
        <v>4.5</v>
      </c>
      <c r="F853" s="2">
        <v>15.286624203821656</v>
      </c>
      <c r="G853" s="3">
        <f t="shared" si="68"/>
        <v>183.53253361877975</v>
      </c>
      <c r="H853" s="3">
        <f t="shared" si="69"/>
        <v>35.077773956167825</v>
      </c>
      <c r="I853" s="3">
        <f t="shared" si="65"/>
        <v>5846.2956593613044</v>
      </c>
      <c r="J853" s="5">
        <f t="shared" si="67"/>
        <v>12.666173852894641</v>
      </c>
      <c r="K853" s="5">
        <f t="shared" si="66"/>
        <v>2111.0289754824403</v>
      </c>
      <c r="L853">
        <v>6</v>
      </c>
    </row>
    <row r="854" spans="1:12" x14ac:dyDescent="0.3">
      <c r="A854" t="s">
        <v>133</v>
      </c>
      <c r="B854" t="s">
        <v>61</v>
      </c>
      <c r="C854" s="5">
        <v>0.62643652800000005</v>
      </c>
      <c r="D854" s="5">
        <v>0.57808694400000005</v>
      </c>
      <c r="E854">
        <v>4</v>
      </c>
      <c r="F854" s="2">
        <v>9.2356687898089174</v>
      </c>
      <c r="G854" s="3">
        <f t="shared" si="68"/>
        <v>66.992561099563275</v>
      </c>
      <c r="H854" s="3">
        <f t="shared" si="69"/>
        <v>11.692978732364748</v>
      </c>
      <c r="I854" s="3">
        <f t="shared" si="65"/>
        <v>1948.8297887274582</v>
      </c>
      <c r="J854" s="5">
        <f t="shared" si="67"/>
        <v>10.179866091930707</v>
      </c>
      <c r="K854" s="5">
        <f t="shared" si="66"/>
        <v>1696.6443486551179</v>
      </c>
      <c r="L854">
        <v>6</v>
      </c>
    </row>
    <row r="855" spans="1:12" x14ac:dyDescent="0.3">
      <c r="A855" t="s">
        <v>133</v>
      </c>
      <c r="B855" t="s">
        <v>61</v>
      </c>
      <c r="C855" s="5">
        <v>0.62643652800000005</v>
      </c>
      <c r="D855" s="5">
        <v>0.57808694400000005</v>
      </c>
      <c r="E855" s="1">
        <v>3.5</v>
      </c>
      <c r="F855" s="2">
        <v>5.0955414012738851</v>
      </c>
      <c r="G855" s="3">
        <f t="shared" si="68"/>
        <v>20.392503735419968</v>
      </c>
      <c r="H855" s="3">
        <f t="shared" si="69"/>
        <v>3.2148915988082054</v>
      </c>
      <c r="I855" s="3">
        <f t="shared" si="65"/>
        <v>535.81526646803422</v>
      </c>
      <c r="J855" s="5">
        <f t="shared" si="67"/>
        <v>9.3037656416081784</v>
      </c>
      <c r="K855" s="5">
        <f t="shared" si="66"/>
        <v>1550.6276069346966</v>
      </c>
      <c r="L855">
        <v>6</v>
      </c>
    </row>
    <row r="856" spans="1:12" x14ac:dyDescent="0.3">
      <c r="A856" t="s">
        <v>133</v>
      </c>
      <c r="B856" t="s">
        <v>61</v>
      </c>
      <c r="C856" s="5">
        <v>0.62643652800000005</v>
      </c>
      <c r="D856" s="5">
        <v>0.57808694400000005</v>
      </c>
      <c r="E856">
        <v>5</v>
      </c>
      <c r="F856" s="2">
        <v>6.0509554140127388</v>
      </c>
      <c r="G856" s="3">
        <f t="shared" si="68"/>
        <v>28.756616595650822</v>
      </c>
      <c r="H856" s="3">
        <f t="shared" si="69"/>
        <v>6.3684753129143576</v>
      </c>
      <c r="I856" s="3">
        <f t="shared" si="65"/>
        <v>1061.4125521523929</v>
      </c>
      <c r="J856" s="5">
        <f t="shared" si="67"/>
        <v>9.6264460748914757</v>
      </c>
      <c r="K856" s="5">
        <f t="shared" si="66"/>
        <v>1604.4076791485793</v>
      </c>
      <c r="L856">
        <v>6</v>
      </c>
    </row>
    <row r="857" spans="1:12" x14ac:dyDescent="0.3">
      <c r="A857" t="s">
        <v>133</v>
      </c>
      <c r="B857" t="s">
        <v>36</v>
      </c>
      <c r="C857" s="5">
        <v>0.56193137999999998</v>
      </c>
      <c r="D857" s="5">
        <v>0.57808694400000005</v>
      </c>
      <c r="E857">
        <v>6</v>
      </c>
      <c r="F857" s="2">
        <v>31.210191082802545</v>
      </c>
      <c r="G857" s="3">
        <f t="shared" si="68"/>
        <v>765.03752294911476</v>
      </c>
      <c r="H857" s="3">
        <f t="shared" si="69"/>
        <v>187.09519604214972</v>
      </c>
      <c r="I857" s="3">
        <f t="shared" si="65"/>
        <v>31182.532673691621</v>
      </c>
      <c r="J857" s="5">
        <f t="shared" si="67"/>
        <v>29.441296575925996</v>
      </c>
      <c r="K857" s="5">
        <f t="shared" si="66"/>
        <v>4906.8827626543325</v>
      </c>
      <c r="L857">
        <v>6</v>
      </c>
    </row>
    <row r="858" spans="1:12" x14ac:dyDescent="0.3">
      <c r="A858" t="s">
        <v>133</v>
      </c>
      <c r="B858" t="s">
        <v>117</v>
      </c>
      <c r="C858" s="5">
        <v>0.85750000000000004</v>
      </c>
      <c r="D858" s="5">
        <v>0.61247410899999999</v>
      </c>
      <c r="E858" s="1">
        <v>3.5</v>
      </c>
      <c r="F858" s="2">
        <v>9.5541401273885338</v>
      </c>
      <c r="G858" s="3">
        <f t="shared" si="68"/>
        <v>71.692395944835823</v>
      </c>
      <c r="H858" s="3">
        <f t="shared" si="69"/>
        <v>11.6026481007495</v>
      </c>
      <c r="I858" s="3">
        <f t="shared" si="65"/>
        <v>1933.7746834582501</v>
      </c>
      <c r="J858" s="5">
        <f t="shared" si="67"/>
        <v>10.103899521278754</v>
      </c>
      <c r="K858" s="5">
        <f t="shared" si="66"/>
        <v>1683.9832535464591</v>
      </c>
      <c r="L858">
        <v>6</v>
      </c>
    </row>
    <row r="859" spans="1:12" x14ac:dyDescent="0.3">
      <c r="A859" t="s">
        <v>133</v>
      </c>
      <c r="B859" t="s">
        <v>117</v>
      </c>
      <c r="C859" s="5">
        <v>0.85750000000000004</v>
      </c>
      <c r="D859" s="5">
        <v>0.61247410899999999</v>
      </c>
      <c r="E859">
        <v>6</v>
      </c>
      <c r="F859" s="2">
        <v>6.6878980891719744</v>
      </c>
      <c r="G859" s="3">
        <f t="shared" si="68"/>
        <v>35.12927401296956</v>
      </c>
      <c r="H859" s="3">
        <f t="shared" si="69"/>
        <v>9.7870927450829885</v>
      </c>
      <c r="I859" s="3">
        <f t="shared" si="65"/>
        <v>1631.182124180498</v>
      </c>
      <c r="J859" s="5">
        <f t="shared" si="67"/>
        <v>9.9249875978741535</v>
      </c>
      <c r="K859" s="5">
        <f t="shared" si="66"/>
        <v>1654.1645996456921</v>
      </c>
      <c r="L859">
        <v>6</v>
      </c>
    </row>
    <row r="860" spans="1:12" x14ac:dyDescent="0.3">
      <c r="A860" t="s">
        <v>133</v>
      </c>
      <c r="B860" t="s">
        <v>117</v>
      </c>
      <c r="C860" s="5">
        <v>0.85750000000000004</v>
      </c>
      <c r="D860" s="5">
        <v>0.61247410899999999</v>
      </c>
      <c r="E860">
        <v>7</v>
      </c>
      <c r="F860" s="2">
        <v>39.171974522292992</v>
      </c>
      <c r="G860" s="3">
        <f t="shared" si="68"/>
        <v>1205.1491758326904</v>
      </c>
      <c r="H860" s="3">
        <f t="shared" si="69"/>
        <v>358.52255662474226</v>
      </c>
      <c r="I860" s="3">
        <f t="shared" si="65"/>
        <v>59753.759437457047</v>
      </c>
      <c r="J860" s="5">
        <f t="shared" si="67"/>
        <v>46.579567905391698</v>
      </c>
      <c r="K860" s="5">
        <f t="shared" si="66"/>
        <v>7763.2613175652832</v>
      </c>
      <c r="L860">
        <v>6</v>
      </c>
    </row>
    <row r="861" spans="1:12" x14ac:dyDescent="0.3">
      <c r="A861" t="s">
        <v>133</v>
      </c>
      <c r="B861" t="s">
        <v>117</v>
      </c>
      <c r="C861" s="5">
        <v>0.85750000000000004</v>
      </c>
      <c r="D861" s="5">
        <v>0.61247410899999999</v>
      </c>
      <c r="E861" s="1">
        <v>2.5</v>
      </c>
      <c r="F861" s="2">
        <v>13.375796178343949</v>
      </c>
      <c r="G861" s="3">
        <f t="shared" si="68"/>
        <v>140.51709605187824</v>
      </c>
      <c r="H861" s="3">
        <f t="shared" si="69"/>
        <v>16.113062195617001</v>
      </c>
      <c r="I861" s="3">
        <f t="shared" si="65"/>
        <v>2685.5103659361671</v>
      </c>
      <c r="J861" s="5">
        <f t="shared" si="67"/>
        <v>10.551179329790255</v>
      </c>
      <c r="K861" s="5">
        <f t="shared" si="66"/>
        <v>1758.5298882983759</v>
      </c>
      <c r="L861">
        <v>6</v>
      </c>
    </row>
    <row r="862" spans="1:12" x14ac:dyDescent="0.3">
      <c r="A862" t="s">
        <v>133</v>
      </c>
      <c r="B862" t="s">
        <v>15</v>
      </c>
      <c r="C862" s="5">
        <v>0.74387999999999999</v>
      </c>
      <c r="D862" s="5">
        <v>0.59130000000000005</v>
      </c>
      <c r="E862">
        <v>7</v>
      </c>
      <c r="F862" s="2">
        <v>11.464968152866241</v>
      </c>
      <c r="G862" s="3">
        <f t="shared" si="68"/>
        <v>103.2370501605636</v>
      </c>
      <c r="H862" s="3">
        <f t="shared" si="69"/>
        <v>31.478284024494837</v>
      </c>
      <c r="I862" s="3">
        <f t="shared" si="65"/>
        <v>5246.3806707491394</v>
      </c>
      <c r="J862" s="5">
        <f t="shared" si="67"/>
        <v>12.20611462128281</v>
      </c>
      <c r="K862" s="5">
        <f t="shared" si="66"/>
        <v>2034.3524368804683</v>
      </c>
      <c r="L862">
        <v>6</v>
      </c>
    </row>
    <row r="863" spans="1:12" x14ac:dyDescent="0.3">
      <c r="A863" t="s">
        <v>133</v>
      </c>
      <c r="B863" t="s">
        <v>18</v>
      </c>
      <c r="C863" s="5">
        <v>0.76500000000000001</v>
      </c>
      <c r="D863" s="5">
        <v>0.61247410899999999</v>
      </c>
      <c r="E863">
        <v>10</v>
      </c>
      <c r="F863" s="2">
        <v>42.993630573248403</v>
      </c>
      <c r="G863" s="3">
        <f t="shared" si="68"/>
        <v>1451.7710178829254</v>
      </c>
      <c r="H863" s="3">
        <f t="shared" si="69"/>
        <v>609.00034159723111</v>
      </c>
      <c r="I863" s="3">
        <f t="shared" si="65"/>
        <v>101500.05693287186</v>
      </c>
      <c r="J863" s="5">
        <f t="shared" si="67"/>
        <v>73.681529445413588</v>
      </c>
      <c r="K863" s="5">
        <f t="shared" si="66"/>
        <v>12280.254907568931</v>
      </c>
      <c r="L863">
        <v>6</v>
      </c>
    </row>
    <row r="864" spans="1:12" x14ac:dyDescent="0.3">
      <c r="A864" t="s">
        <v>133</v>
      </c>
      <c r="B864" t="s">
        <v>18</v>
      </c>
      <c r="C864" s="5">
        <v>0.76500000000000001</v>
      </c>
      <c r="D864" s="5">
        <v>0.61247410899999999</v>
      </c>
      <c r="E864" s="1">
        <v>4.5</v>
      </c>
      <c r="F864" s="2">
        <v>5.0955414012738851</v>
      </c>
      <c r="G864" s="3">
        <f t="shared" si="68"/>
        <v>20.392503735419968</v>
      </c>
      <c r="H864" s="3">
        <f t="shared" si="69"/>
        <v>4.3469399396971973</v>
      </c>
      <c r="I864" s="3">
        <f t="shared" si="65"/>
        <v>724.48998994953297</v>
      </c>
      <c r="J864" s="5">
        <f t="shared" si="67"/>
        <v>9.3946415392105145</v>
      </c>
      <c r="K864" s="5">
        <f t="shared" si="66"/>
        <v>1565.7735898684189</v>
      </c>
      <c r="L864">
        <v>6</v>
      </c>
    </row>
    <row r="865" spans="1:12" x14ac:dyDescent="0.3">
      <c r="A865" t="s">
        <v>133</v>
      </c>
      <c r="B865" t="s">
        <v>18</v>
      </c>
      <c r="C865" s="5">
        <v>0.76500000000000001</v>
      </c>
      <c r="D865" s="5">
        <v>0.61247410899999999</v>
      </c>
      <c r="E865" s="1">
        <v>8.5</v>
      </c>
      <c r="F865" s="2">
        <v>29.936305732484076</v>
      </c>
      <c r="G865" s="3">
        <f t="shared" si="68"/>
        <v>703.86001174285491</v>
      </c>
      <c r="H865" s="3">
        <f t="shared" si="69"/>
        <v>256.36838164215243</v>
      </c>
      <c r="I865" s="3">
        <f t="shared" si="65"/>
        <v>42728.063607025404</v>
      </c>
      <c r="J865" s="5">
        <f t="shared" si="67"/>
        <v>35.64712642703558</v>
      </c>
      <c r="K865" s="5">
        <f t="shared" si="66"/>
        <v>5941.1877378392637</v>
      </c>
      <c r="L865">
        <v>6</v>
      </c>
    </row>
    <row r="866" spans="1:12" x14ac:dyDescent="0.3">
      <c r="A866" t="s">
        <v>133</v>
      </c>
      <c r="B866" t="s">
        <v>18</v>
      </c>
      <c r="C866" s="5">
        <v>0.76500000000000001</v>
      </c>
      <c r="D866" s="5">
        <v>0.61247410899999999</v>
      </c>
      <c r="E866" s="1">
        <v>8.5</v>
      </c>
      <c r="F866" s="2">
        <v>25.159235668789808</v>
      </c>
      <c r="G866" s="3">
        <f t="shared" si="68"/>
        <v>497.14693676857826</v>
      </c>
      <c r="H866" s="3">
        <f t="shared" si="69"/>
        <v>182.594198119211</v>
      </c>
      <c r="I866" s="3">
        <f t="shared" si="65"/>
        <v>30432.366353201836</v>
      </c>
      <c r="J866" s="5">
        <f t="shared" si="67"/>
        <v>27.817067398271732</v>
      </c>
      <c r="K866" s="5">
        <f t="shared" si="66"/>
        <v>4636.1778997119554</v>
      </c>
      <c r="L866">
        <v>6</v>
      </c>
    </row>
    <row r="867" spans="1:12" x14ac:dyDescent="0.3">
      <c r="A867" t="s">
        <v>133</v>
      </c>
      <c r="B867" t="s">
        <v>18</v>
      </c>
      <c r="C867" s="5">
        <v>0.76500000000000001</v>
      </c>
      <c r="D867" s="5">
        <v>0.61247410899999999</v>
      </c>
      <c r="E867">
        <v>10</v>
      </c>
      <c r="F867" s="2">
        <v>23.885350318471335</v>
      </c>
      <c r="G867" s="3">
        <f t="shared" si="68"/>
        <v>448.07747465522391</v>
      </c>
      <c r="H867" s="3">
        <f t="shared" si="69"/>
        <v>193.34173266271384</v>
      </c>
      <c r="I867" s="3">
        <f t="shared" si="65"/>
        <v>32223.622110452303</v>
      </c>
      <c r="J867" s="5">
        <f t="shared" si="67"/>
        <v>28.953548594263452</v>
      </c>
      <c r="K867" s="5">
        <f t="shared" si="66"/>
        <v>4825.5914323772422</v>
      </c>
      <c r="L867">
        <v>6</v>
      </c>
    </row>
    <row r="868" spans="1:12" x14ac:dyDescent="0.3">
      <c r="A868" t="s">
        <v>133</v>
      </c>
      <c r="B868" t="s">
        <v>128</v>
      </c>
      <c r="C868" s="5">
        <v>0.50016547600000005</v>
      </c>
      <c r="D868" s="5">
        <v>0.61774072899999999</v>
      </c>
      <c r="E868">
        <v>5</v>
      </c>
      <c r="F868" s="2">
        <v>5.0955414012738851</v>
      </c>
      <c r="G868" s="3">
        <f t="shared" si="68"/>
        <v>20.392503735419968</v>
      </c>
      <c r="H868" s="3">
        <f t="shared" si="69"/>
        <v>4.8581644105354611</v>
      </c>
      <c r="I868" s="3">
        <f t="shared" si="65"/>
        <v>809.69406842257683</v>
      </c>
      <c r="J868" s="5">
        <f t="shared" si="67"/>
        <v>9.4400794880116834</v>
      </c>
      <c r="K868" s="5">
        <f t="shared" si="66"/>
        <v>1573.3465813352805</v>
      </c>
      <c r="L868">
        <v>6</v>
      </c>
    </row>
    <row r="869" spans="1:12" x14ac:dyDescent="0.3">
      <c r="A869" t="s">
        <v>133</v>
      </c>
      <c r="B869" t="s">
        <v>128</v>
      </c>
      <c r="C869" s="5">
        <v>0.50016547600000005</v>
      </c>
      <c r="D869" s="5">
        <v>0.61774072899999999</v>
      </c>
      <c r="E869">
        <v>8</v>
      </c>
      <c r="F869" s="2">
        <v>9.872611464968152</v>
      </c>
      <c r="G869" s="3">
        <f t="shared" si="68"/>
        <v>76.55154722554137</v>
      </c>
      <c r="H869" s="3">
        <f t="shared" si="69"/>
        <v>27.950471049471098</v>
      </c>
      <c r="I869" s="3">
        <f t="shared" si="65"/>
        <v>4658.411841578516</v>
      </c>
      <c r="J869" s="5">
        <f t="shared" si="67"/>
        <v>11.714816799870176</v>
      </c>
      <c r="K869" s="5">
        <f t="shared" si="66"/>
        <v>1952.4694666450293</v>
      </c>
      <c r="L869">
        <v>6</v>
      </c>
    </row>
    <row r="870" spans="1:12" x14ac:dyDescent="0.3">
      <c r="A870" t="s">
        <v>134</v>
      </c>
      <c r="B870" t="s">
        <v>21</v>
      </c>
      <c r="C870" s="5">
        <v>0.80908761900000004</v>
      </c>
      <c r="D870" s="5">
        <v>0.87473809499999999</v>
      </c>
      <c r="E870">
        <v>10</v>
      </c>
      <c r="F870" s="2">
        <v>14.012738853503183</v>
      </c>
      <c r="G870" s="3">
        <f t="shared" si="68"/>
        <v>154.2183094991135</v>
      </c>
      <c r="H870" s="3">
        <f t="shared" si="69"/>
        <v>96.672062250927738</v>
      </c>
      <c r="I870" s="3">
        <f t="shared" si="65"/>
        <v>16112.010375154621</v>
      </c>
      <c r="J870" s="5">
        <f t="shared" si="67"/>
        <v>15.858189756176719</v>
      </c>
      <c r="K870" s="5">
        <f t="shared" si="66"/>
        <v>2643.031626029453</v>
      </c>
      <c r="L870">
        <v>6</v>
      </c>
    </row>
    <row r="871" spans="1:12" x14ac:dyDescent="0.3">
      <c r="A871" t="s">
        <v>134</v>
      </c>
      <c r="B871" t="s">
        <v>21</v>
      </c>
      <c r="C871" s="5">
        <v>0.80908761900000004</v>
      </c>
      <c r="D871" s="5">
        <v>0.87473809499999999</v>
      </c>
      <c r="E871">
        <v>10</v>
      </c>
      <c r="F871" s="2">
        <v>14.968152866242038</v>
      </c>
      <c r="G871" s="3">
        <f t="shared" si="68"/>
        <v>175.96500293571373</v>
      </c>
      <c r="H871" s="3">
        <f t="shared" si="69"/>
        <v>109.95535307601384</v>
      </c>
      <c r="I871" s="3">
        <f t="shared" si="65"/>
        <v>18325.892179335639</v>
      </c>
      <c r="J871" s="5">
        <f t="shared" si="67"/>
        <v>16.827296007951642</v>
      </c>
      <c r="K871" s="5">
        <f t="shared" si="66"/>
        <v>2804.5493346586068</v>
      </c>
      <c r="L871">
        <v>6</v>
      </c>
    </row>
    <row r="872" spans="1:12" x14ac:dyDescent="0.3">
      <c r="A872" t="s">
        <v>134</v>
      </c>
      <c r="B872" t="s">
        <v>80</v>
      </c>
      <c r="C872" s="5">
        <v>0.6</v>
      </c>
      <c r="D872" s="5">
        <v>0.66674999999999995</v>
      </c>
      <c r="E872">
        <v>6</v>
      </c>
      <c r="F872" s="2">
        <v>6.0509554140127388</v>
      </c>
      <c r="G872" s="3">
        <f t="shared" si="68"/>
        <v>28.756616595650822</v>
      </c>
      <c r="H872" s="3">
        <f t="shared" si="69"/>
        <v>8.7457881341726136</v>
      </c>
      <c r="I872" s="3">
        <f t="shared" si="65"/>
        <v>1457.6313556954356</v>
      </c>
      <c r="J872" s="5">
        <f t="shared" si="67"/>
        <v>9.754595289869771</v>
      </c>
      <c r="K872" s="5">
        <f t="shared" si="66"/>
        <v>1625.7658816449618</v>
      </c>
      <c r="L872">
        <v>6</v>
      </c>
    </row>
    <row r="873" spans="1:12" x14ac:dyDescent="0.3">
      <c r="A873" t="s">
        <v>134</v>
      </c>
      <c r="B873" t="s">
        <v>80</v>
      </c>
      <c r="C873" s="5">
        <v>0.6</v>
      </c>
      <c r="D873" s="5">
        <v>0.66674999999999995</v>
      </c>
      <c r="E873">
        <v>7</v>
      </c>
      <c r="F873" s="2">
        <v>8.2802547770700627</v>
      </c>
      <c r="G873" s="3">
        <f t="shared" si="68"/>
        <v>53.848955176343352</v>
      </c>
      <c r="H873" s="3">
        <f t="shared" si="69"/>
        <v>18.751670593780787</v>
      </c>
      <c r="I873" s="3">
        <f t="shared" si="65"/>
        <v>3125.2784322967977</v>
      </c>
      <c r="J873" s="5">
        <f t="shared" si="67"/>
        <v>10.665484169743193</v>
      </c>
      <c r="K873" s="5">
        <f t="shared" si="66"/>
        <v>1777.5806949571988</v>
      </c>
      <c r="L873">
        <v>6</v>
      </c>
    </row>
    <row r="874" spans="1:12" x14ac:dyDescent="0.3">
      <c r="A874" t="s">
        <v>134</v>
      </c>
      <c r="B874" t="s">
        <v>13</v>
      </c>
      <c r="C874" s="5">
        <v>0.45255480399999998</v>
      </c>
      <c r="D874" s="5">
        <v>0.57808694400000005</v>
      </c>
      <c r="E874">
        <v>5</v>
      </c>
      <c r="F874" s="2">
        <v>11.464968152866241</v>
      </c>
      <c r="G874" s="3">
        <f t="shared" si="68"/>
        <v>103.2370501605636</v>
      </c>
      <c r="H874" s="3">
        <f t="shared" si="69"/>
        <v>22.172308981823207</v>
      </c>
      <c r="I874" s="3">
        <f t="shared" si="65"/>
        <v>3695.3848303038681</v>
      </c>
      <c r="J874" s="5">
        <f t="shared" si="67"/>
        <v>11.285996158059149</v>
      </c>
      <c r="K874" s="5">
        <f t="shared" si="66"/>
        <v>1880.9993596765246</v>
      </c>
      <c r="L874">
        <v>6</v>
      </c>
    </row>
    <row r="875" spans="1:12" x14ac:dyDescent="0.3">
      <c r="A875" t="s">
        <v>134</v>
      </c>
      <c r="B875" t="s">
        <v>13</v>
      </c>
      <c r="C875" s="5">
        <v>0.45255480399999998</v>
      </c>
      <c r="D875" s="5">
        <v>0.57808694400000005</v>
      </c>
      <c r="E875">
        <v>5</v>
      </c>
      <c r="F875" s="2">
        <v>3.1847133757961781</v>
      </c>
      <c r="G875" s="3">
        <f t="shared" si="68"/>
        <v>7.9658217716484252</v>
      </c>
      <c r="H875" s="3">
        <f t="shared" si="69"/>
        <v>1.8193172635552548</v>
      </c>
      <c r="I875" s="3">
        <f t="shared" si="65"/>
        <v>303.21954392587583</v>
      </c>
      <c r="J875" s="5">
        <f t="shared" si="67"/>
        <v>9.1631919875045629</v>
      </c>
      <c r="K875" s="5">
        <f t="shared" si="66"/>
        <v>1527.1986645840936</v>
      </c>
      <c r="L875">
        <v>6</v>
      </c>
    </row>
    <row r="876" spans="1:12" x14ac:dyDescent="0.3">
      <c r="A876" t="s">
        <v>134</v>
      </c>
      <c r="B876" t="s">
        <v>13</v>
      </c>
      <c r="C876" s="5">
        <v>0.45255480399999998</v>
      </c>
      <c r="D876" s="5">
        <v>0.57808694400000005</v>
      </c>
      <c r="E876">
        <v>4</v>
      </c>
      <c r="F876" s="2">
        <v>6.3694267515923562</v>
      </c>
      <c r="G876" s="3">
        <f t="shared" si="68"/>
        <v>31.863287086593701</v>
      </c>
      <c r="H876" s="3">
        <f t="shared" si="69"/>
        <v>5.661543120376396</v>
      </c>
      <c r="I876" s="3">
        <f t="shared" si="65"/>
        <v>943.59052006273259</v>
      </c>
      <c r="J876" s="5">
        <f t="shared" si="67"/>
        <v>9.5536743600146039</v>
      </c>
      <c r="K876" s="5">
        <f t="shared" si="66"/>
        <v>1592.2790600024339</v>
      </c>
      <c r="L876">
        <v>6</v>
      </c>
    </row>
    <row r="877" spans="1:12" x14ac:dyDescent="0.3">
      <c r="A877" t="s">
        <v>134</v>
      </c>
      <c r="B877" t="s">
        <v>117</v>
      </c>
      <c r="C877" s="5">
        <v>0.85750000000000004</v>
      </c>
      <c r="D877" s="5">
        <v>0.61247410899999999</v>
      </c>
      <c r="E877">
        <v>9</v>
      </c>
      <c r="F877" s="2">
        <v>17.834394904458598</v>
      </c>
      <c r="G877" s="3">
        <f t="shared" si="68"/>
        <v>249.80817075889462</v>
      </c>
      <c r="H877" s="3">
        <f t="shared" si="69"/>
        <v>98.6301600943724</v>
      </c>
      <c r="I877" s="3">
        <f t="shared" si="65"/>
        <v>16438.360015728733</v>
      </c>
      <c r="J877" s="5">
        <f t="shared" si="67"/>
        <v>19.004767710657632</v>
      </c>
      <c r="K877" s="5">
        <f t="shared" si="66"/>
        <v>3167.4612851096049</v>
      </c>
      <c r="L877">
        <v>6</v>
      </c>
    </row>
    <row r="878" spans="1:12" x14ac:dyDescent="0.3">
      <c r="A878" t="s">
        <v>134</v>
      </c>
      <c r="B878" t="s">
        <v>117</v>
      </c>
      <c r="C878" s="5">
        <v>0.85750000000000004</v>
      </c>
      <c r="D878" s="5">
        <v>0.61247410899999999</v>
      </c>
      <c r="E878" s="1">
        <v>8.5</v>
      </c>
      <c r="F878" s="2">
        <v>15.923566878980891</v>
      </c>
      <c r="G878" s="3">
        <f t="shared" si="68"/>
        <v>199.14554429121063</v>
      </c>
      <c r="H878" s="3">
        <f t="shared" si="69"/>
        <v>74.766721968658075</v>
      </c>
      <c r="I878" s="3">
        <f t="shared" si="65"/>
        <v>12461.12032810968</v>
      </c>
      <c r="J878" s="5">
        <f t="shared" si="67"/>
        <v>16.529109468943972</v>
      </c>
      <c r="K878" s="5">
        <f t="shared" si="66"/>
        <v>2754.8515781573283</v>
      </c>
      <c r="L878">
        <v>6</v>
      </c>
    </row>
    <row r="879" spans="1:12" x14ac:dyDescent="0.3">
      <c r="A879" t="s">
        <v>134</v>
      </c>
      <c r="B879" t="s">
        <v>117</v>
      </c>
      <c r="C879" s="5">
        <v>0.85750000000000004</v>
      </c>
      <c r="D879" s="5">
        <v>0.61247410899999999</v>
      </c>
      <c r="E879" s="1">
        <v>8.5</v>
      </c>
      <c r="F879" s="2">
        <v>36.942675159235669</v>
      </c>
      <c r="G879" s="3">
        <f t="shared" si="68"/>
        <v>1071.8809775930124</v>
      </c>
      <c r="H879" s="3">
        <f t="shared" si="69"/>
        <v>386.49233614245384</v>
      </c>
      <c r="I879" s="3">
        <f t="shared" si="65"/>
        <v>64415.389357075641</v>
      </c>
      <c r="J879" s="5">
        <f t="shared" si="67"/>
        <v>49.587347125644051</v>
      </c>
      <c r="K879" s="5">
        <f t="shared" si="66"/>
        <v>8264.5578542740095</v>
      </c>
      <c r="L879">
        <v>6</v>
      </c>
    </row>
    <row r="880" spans="1:12" x14ac:dyDescent="0.3">
      <c r="A880" t="s">
        <v>134</v>
      </c>
      <c r="B880" t="s">
        <v>117</v>
      </c>
      <c r="C880" s="5">
        <v>0.85750000000000004</v>
      </c>
      <c r="D880" s="5">
        <v>0.61247410899999999</v>
      </c>
      <c r="E880" s="1">
        <v>9.5</v>
      </c>
      <c r="F880" s="2">
        <v>28.025477707006367</v>
      </c>
      <c r="G880" s="3">
        <f t="shared" si="68"/>
        <v>616.87323799645401</v>
      </c>
      <c r="H880" s="3">
        <f t="shared" si="69"/>
        <v>251.24326867023203</v>
      </c>
      <c r="I880" s="3">
        <f t="shared" si="65"/>
        <v>41873.878111705337</v>
      </c>
      <c r="J880" s="5">
        <f t="shared" si="67"/>
        <v>35.10116107347153</v>
      </c>
      <c r="K880" s="5">
        <f t="shared" si="66"/>
        <v>5850.1935122452551</v>
      </c>
      <c r="L880">
        <v>6</v>
      </c>
    </row>
    <row r="881" spans="1:12" x14ac:dyDescent="0.3">
      <c r="A881" t="s">
        <v>134</v>
      </c>
      <c r="B881" t="s">
        <v>117</v>
      </c>
      <c r="C881" s="5">
        <v>0.85750000000000004</v>
      </c>
      <c r="D881" s="5">
        <v>0.61247410899999999</v>
      </c>
      <c r="E881">
        <v>9</v>
      </c>
      <c r="F881" s="2">
        <v>29.936305732484076</v>
      </c>
      <c r="G881" s="3">
        <f t="shared" si="68"/>
        <v>703.86001174285491</v>
      </c>
      <c r="H881" s="3">
        <f t="shared" si="69"/>
        <v>271.07675588415503</v>
      </c>
      <c r="I881" s="3">
        <f t="shared" si="65"/>
        <v>45179.459314025844</v>
      </c>
      <c r="J881" s="5">
        <f t="shared" si="67"/>
        <v>37.215445628625908</v>
      </c>
      <c r="K881" s="5">
        <f t="shared" si="66"/>
        <v>6202.5742714376511</v>
      </c>
      <c r="L881">
        <v>6</v>
      </c>
    </row>
    <row r="882" spans="1:12" x14ac:dyDescent="0.3">
      <c r="A882" t="s">
        <v>134</v>
      </c>
      <c r="B882" t="s">
        <v>117</v>
      </c>
      <c r="C882" s="5">
        <v>0.85750000000000004</v>
      </c>
      <c r="D882" s="5">
        <v>0.61247410899999999</v>
      </c>
      <c r="E882">
        <v>9</v>
      </c>
      <c r="F882" s="2">
        <v>14.012738853503183</v>
      </c>
      <c r="G882" s="3">
        <f t="shared" si="68"/>
        <v>154.2183094991135</v>
      </c>
      <c r="H882" s="3">
        <f t="shared" si="69"/>
        <v>61.597960624070225</v>
      </c>
      <c r="I882" s="3">
        <f t="shared" si="65"/>
        <v>10266.326770678372</v>
      </c>
      <c r="J882" s="5">
        <f t="shared" si="67"/>
        <v>15.170940780559047</v>
      </c>
      <c r="K882" s="5">
        <f t="shared" si="66"/>
        <v>2528.4901300931747</v>
      </c>
      <c r="L882">
        <v>6</v>
      </c>
    </row>
    <row r="883" spans="1:12" x14ac:dyDescent="0.3">
      <c r="A883" t="s">
        <v>134</v>
      </c>
      <c r="B883" t="s">
        <v>117</v>
      </c>
      <c r="C883" s="5">
        <v>0.85750000000000004</v>
      </c>
      <c r="D883" s="5">
        <v>0.61247410899999999</v>
      </c>
      <c r="E883">
        <v>8</v>
      </c>
      <c r="F883" s="2">
        <v>24.840764331210192</v>
      </c>
      <c r="G883" s="3">
        <f t="shared" si="68"/>
        <v>484.64059658709033</v>
      </c>
      <c r="H883" s="3">
        <f t="shared" si="69"/>
        <v>167.87673413838968</v>
      </c>
      <c r="I883" s="3">
        <f t="shared" si="65"/>
        <v>27979.455689731611</v>
      </c>
      <c r="J883" s="5">
        <f t="shared" si="67"/>
        <v>26.263480031644285</v>
      </c>
      <c r="K883" s="5">
        <f t="shared" si="66"/>
        <v>4377.2466719407139</v>
      </c>
      <c r="L883">
        <v>6</v>
      </c>
    </row>
    <row r="884" spans="1:12" x14ac:dyDescent="0.3">
      <c r="A884" t="s">
        <v>134</v>
      </c>
      <c r="B884" t="s">
        <v>117</v>
      </c>
      <c r="C884" s="5">
        <v>0.85750000000000004</v>
      </c>
      <c r="D884" s="5">
        <v>0.61247410899999999</v>
      </c>
      <c r="E884">
        <v>8</v>
      </c>
      <c r="F884" s="2">
        <v>11.464968152866241</v>
      </c>
      <c r="G884" s="3">
        <f t="shared" si="68"/>
        <v>103.2370501605636</v>
      </c>
      <c r="H884" s="3">
        <f t="shared" si="69"/>
        <v>37.112851932332291</v>
      </c>
      <c r="I884" s="3">
        <f t="shared" si="65"/>
        <v>6185.4753220553821</v>
      </c>
      <c r="J884" s="5">
        <f t="shared" si="67"/>
        <v>12.666173852894641</v>
      </c>
      <c r="K884" s="5">
        <f t="shared" si="66"/>
        <v>2111.0289754824403</v>
      </c>
      <c r="L884">
        <v>6</v>
      </c>
    </row>
    <row r="885" spans="1:12" x14ac:dyDescent="0.3">
      <c r="A885" t="s">
        <v>134</v>
      </c>
      <c r="B885" t="s">
        <v>15</v>
      </c>
      <c r="C885" s="5">
        <v>0.74387999999999999</v>
      </c>
      <c r="D885" s="5">
        <v>0.59130000000000005</v>
      </c>
      <c r="E885" s="1">
        <v>2.5</v>
      </c>
      <c r="F885" s="2">
        <v>4.1401273885350314</v>
      </c>
      <c r="G885" s="3">
        <f t="shared" si="68"/>
        <v>13.462238794085838</v>
      </c>
      <c r="H885" s="3">
        <f t="shared" si="69"/>
        <v>1.5779736734154577</v>
      </c>
      <c r="I885" s="3">
        <f t="shared" si="65"/>
        <v>262.99561223590962</v>
      </c>
      <c r="J885" s="5">
        <f t="shared" si="67"/>
        <v>9.135680729441356</v>
      </c>
      <c r="K885" s="5">
        <f t="shared" si="66"/>
        <v>1522.6134549068927</v>
      </c>
      <c r="L885">
        <v>6</v>
      </c>
    </row>
    <row r="886" spans="1:12" x14ac:dyDescent="0.3">
      <c r="A886" t="s">
        <v>135</v>
      </c>
      <c r="B886" t="s">
        <v>47</v>
      </c>
      <c r="C886" s="5">
        <v>0.78445916699999996</v>
      </c>
      <c r="D886" s="5">
        <v>0.87841666699999998</v>
      </c>
      <c r="E886">
        <v>3</v>
      </c>
      <c r="F886" s="2">
        <v>4.1401273885350314</v>
      </c>
      <c r="G886" s="3">
        <f t="shared" si="68"/>
        <v>13.462238794085838</v>
      </c>
      <c r="H886" s="3">
        <f t="shared" si="69"/>
        <v>2.7742648112459998</v>
      </c>
      <c r="I886" s="3">
        <f t="shared" si="65"/>
        <v>554.85296224919989</v>
      </c>
      <c r="J886" s="5">
        <f t="shared" si="67"/>
        <v>9.1656768753296269</v>
      </c>
      <c r="K886" s="5">
        <f t="shared" si="66"/>
        <v>1833.1353750659255</v>
      </c>
      <c r="L886">
        <v>5</v>
      </c>
    </row>
    <row r="887" spans="1:12" x14ac:dyDescent="0.3">
      <c r="A887" t="s">
        <v>135</v>
      </c>
      <c r="B887" t="s">
        <v>119</v>
      </c>
      <c r="C887" s="5">
        <v>0.64800000000000002</v>
      </c>
      <c r="D887" s="5">
        <v>0.66733333299999997</v>
      </c>
      <c r="E887" s="1">
        <v>4.5</v>
      </c>
      <c r="F887" s="2">
        <v>4.7770700636942669</v>
      </c>
      <c r="G887" s="3">
        <f t="shared" si="68"/>
        <v>17.923098986208956</v>
      </c>
      <c r="H887" s="3">
        <f t="shared" si="69"/>
        <v>4.1670866658056926</v>
      </c>
      <c r="I887" s="3">
        <f t="shared" si="65"/>
        <v>833.41733316113857</v>
      </c>
      <c r="J887" s="5">
        <f t="shared" si="67"/>
        <v>9.3451212746967425</v>
      </c>
      <c r="K887" s="5">
        <f t="shared" si="66"/>
        <v>1869.0242549393486</v>
      </c>
      <c r="L887">
        <v>5</v>
      </c>
    </row>
    <row r="888" spans="1:12" x14ac:dyDescent="0.3">
      <c r="A888" t="s">
        <v>135</v>
      </c>
      <c r="B888" t="s">
        <v>80</v>
      </c>
      <c r="C888" s="5">
        <v>0.6</v>
      </c>
      <c r="D888" s="5">
        <v>0.66674999999999995</v>
      </c>
      <c r="E888">
        <v>3</v>
      </c>
      <c r="F888" s="2">
        <v>9.872611464968152</v>
      </c>
      <c r="G888" s="3">
        <f t="shared" si="68"/>
        <v>76.55154722554137</v>
      </c>
      <c r="H888" s="3">
        <f t="shared" si="69"/>
        <v>11.561246844879847</v>
      </c>
      <c r="I888" s="3">
        <f t="shared" si="65"/>
        <v>2312.2493689759694</v>
      </c>
      <c r="J888" s="5">
        <f t="shared" si="67"/>
        <v>10.009118799951317</v>
      </c>
      <c r="K888" s="5">
        <f t="shared" si="66"/>
        <v>2001.8237599902634</v>
      </c>
      <c r="L888">
        <v>5</v>
      </c>
    </row>
    <row r="889" spans="1:12" x14ac:dyDescent="0.3">
      <c r="A889" t="s">
        <v>135</v>
      </c>
      <c r="B889" t="s">
        <v>80</v>
      </c>
      <c r="C889" s="5">
        <v>0.6</v>
      </c>
      <c r="D889" s="5">
        <v>0.66674999999999995</v>
      </c>
      <c r="E889">
        <v>7</v>
      </c>
      <c r="F889" s="2">
        <v>13.694267515923567</v>
      </c>
      <c r="G889" s="3">
        <f t="shared" si="68"/>
        <v>147.28804455777941</v>
      </c>
      <c r="H889" s="3">
        <f t="shared" si="69"/>
        <v>50.065944697338814</v>
      </c>
      <c r="I889" s="3">
        <f t="shared" si="65"/>
        <v>10013.188939467762</v>
      </c>
      <c r="J889" s="5">
        <f t="shared" si="67"/>
        <v>13.580257588543144</v>
      </c>
      <c r="K889" s="5">
        <f t="shared" si="66"/>
        <v>2716.051517708629</v>
      </c>
      <c r="L889">
        <v>5</v>
      </c>
    </row>
    <row r="890" spans="1:12" x14ac:dyDescent="0.3">
      <c r="A890" t="s">
        <v>135</v>
      </c>
      <c r="B890" t="s">
        <v>136</v>
      </c>
      <c r="C890" s="5">
        <v>0.83069230800000005</v>
      </c>
      <c r="D890" s="5">
        <v>0.78683697699999999</v>
      </c>
      <c r="E890" s="1">
        <v>5.5</v>
      </c>
      <c r="F890" s="2">
        <v>13.375796178343949</v>
      </c>
      <c r="G890" s="3">
        <f t="shared" si="68"/>
        <v>140.51709605187824</v>
      </c>
      <c r="H890" s="3">
        <f t="shared" si="69"/>
        <v>44.418973488799629</v>
      </c>
      <c r="I890" s="3">
        <f t="shared" si="65"/>
        <v>8883.7946977599258</v>
      </c>
      <c r="J890" s="5">
        <f t="shared" si="67"/>
        <v>12.429754525538561</v>
      </c>
      <c r="K890" s="5">
        <f t="shared" si="66"/>
        <v>2485.9509051077121</v>
      </c>
      <c r="L890">
        <v>5</v>
      </c>
    </row>
    <row r="891" spans="1:12" x14ac:dyDescent="0.3">
      <c r="A891" t="s">
        <v>135</v>
      </c>
      <c r="B891" t="s">
        <v>136</v>
      </c>
      <c r="C891" s="5">
        <v>0.83069230800000005</v>
      </c>
      <c r="D891" s="5">
        <v>0.78683697699999999</v>
      </c>
      <c r="E891" s="1">
        <v>5.5</v>
      </c>
      <c r="F891" s="2">
        <v>11.146496815286623</v>
      </c>
      <c r="G891" s="3">
        <f t="shared" si="68"/>
        <v>97.581316702693215</v>
      </c>
      <c r="H891" s="3">
        <f t="shared" si="69"/>
        <v>31.117645264060414</v>
      </c>
      <c r="I891" s="3">
        <f t="shared" si="65"/>
        <v>6223.5290528120831</v>
      </c>
      <c r="J891" s="5">
        <f t="shared" si="67"/>
        <v>11.377404531624</v>
      </c>
      <c r="K891" s="5">
        <f t="shared" si="66"/>
        <v>2275.4809063248003</v>
      </c>
      <c r="L891">
        <v>5</v>
      </c>
    </row>
    <row r="892" spans="1:12" x14ac:dyDescent="0.3">
      <c r="A892" t="s">
        <v>135</v>
      </c>
      <c r="B892" t="s">
        <v>32</v>
      </c>
      <c r="C892" s="5">
        <v>0.39790071399999999</v>
      </c>
      <c r="D892" s="5">
        <v>0.50565277799999997</v>
      </c>
      <c r="E892">
        <v>8</v>
      </c>
      <c r="F892" s="2">
        <v>21.97452229299363</v>
      </c>
      <c r="G892" s="3">
        <f t="shared" si="68"/>
        <v>379.25277454818155</v>
      </c>
      <c r="H892" s="3">
        <f t="shared" si="69"/>
        <v>109.60177399415258</v>
      </c>
      <c r="I892" s="3">
        <f t="shared" si="65"/>
        <v>21920.354798830514</v>
      </c>
      <c r="J892" s="5">
        <f t="shared" si="67"/>
        <v>22.506329640147673</v>
      </c>
      <c r="K892" s="5">
        <f t="shared" si="66"/>
        <v>4501.2659280295347</v>
      </c>
      <c r="L892">
        <v>5</v>
      </c>
    </row>
    <row r="893" spans="1:12" x14ac:dyDescent="0.3">
      <c r="A893" t="s">
        <v>135</v>
      </c>
      <c r="B893" t="s">
        <v>56</v>
      </c>
      <c r="C893" s="5">
        <v>0.9</v>
      </c>
      <c r="D893" s="5">
        <v>0.61247410899999999</v>
      </c>
      <c r="E893">
        <v>3</v>
      </c>
      <c r="F893" s="2">
        <v>3.1847133757961781</v>
      </c>
      <c r="G893" s="3">
        <f t="shared" si="68"/>
        <v>7.9658217716484252</v>
      </c>
      <c r="H893" s="3">
        <f t="shared" si="69"/>
        <v>1.1691665044901833</v>
      </c>
      <c r="I893" s="3">
        <f t="shared" si="65"/>
        <v>233.83330089803667</v>
      </c>
      <c r="J893" s="5">
        <f t="shared" si="67"/>
        <v>9.0921951925027376</v>
      </c>
      <c r="K893" s="5">
        <f t="shared" si="66"/>
        <v>1818.4390385005474</v>
      </c>
      <c r="L893">
        <v>5</v>
      </c>
    </row>
    <row r="894" spans="1:12" x14ac:dyDescent="0.3">
      <c r="A894" t="s">
        <v>135</v>
      </c>
      <c r="B894" t="s">
        <v>11</v>
      </c>
      <c r="C894" s="5">
        <v>0.89361000000000002</v>
      </c>
      <c r="D894" s="5">
        <v>0.61247410899999999</v>
      </c>
      <c r="E894" s="1">
        <v>5.5</v>
      </c>
      <c r="F894" s="2">
        <v>8.9171974522292992</v>
      </c>
      <c r="G894" s="3">
        <f t="shared" si="68"/>
        <v>62.452042689723655</v>
      </c>
      <c r="H894" s="3">
        <f t="shared" si="69"/>
        <v>15.763493871874481</v>
      </c>
      <c r="I894" s="3">
        <f t="shared" si="65"/>
        <v>3152.6987743748959</v>
      </c>
      <c r="J894" s="5">
        <f t="shared" si="67"/>
        <v>10.51639090023936</v>
      </c>
      <c r="K894" s="5">
        <f t="shared" si="66"/>
        <v>2103.278180047872</v>
      </c>
      <c r="L894">
        <v>5</v>
      </c>
    </row>
    <row r="895" spans="1:12" x14ac:dyDescent="0.3">
      <c r="A895" t="s">
        <v>135</v>
      </c>
      <c r="B895" t="s">
        <v>11</v>
      </c>
      <c r="C895" s="5">
        <v>0.89361000000000002</v>
      </c>
      <c r="D895" s="5">
        <v>0.61247410899999999</v>
      </c>
      <c r="E895" s="1">
        <v>4.5</v>
      </c>
      <c r="F895" s="2">
        <v>9.872611464968152</v>
      </c>
      <c r="G895" s="3">
        <f t="shared" si="68"/>
        <v>76.55154722554137</v>
      </c>
      <c r="H895" s="3">
        <f t="shared" si="69"/>
        <v>15.80809218863396</v>
      </c>
      <c r="I895" s="3">
        <f t="shared" si="65"/>
        <v>3161.6184377267919</v>
      </c>
      <c r="J895" s="5">
        <f t="shared" si="67"/>
        <v>10.520828199926974</v>
      </c>
      <c r="K895" s="5">
        <f t="shared" si="66"/>
        <v>2104.165639985395</v>
      </c>
      <c r="L895">
        <v>5</v>
      </c>
    </row>
    <row r="896" spans="1:12" x14ac:dyDescent="0.3">
      <c r="A896" t="s">
        <v>135</v>
      </c>
      <c r="B896" t="s">
        <v>11</v>
      </c>
      <c r="C896" s="5">
        <v>0.89361000000000002</v>
      </c>
      <c r="D896" s="5">
        <v>0.61247410899999999</v>
      </c>
      <c r="E896">
        <v>5</v>
      </c>
      <c r="F896" s="2">
        <v>6.6878980891719744</v>
      </c>
      <c r="G896" s="3">
        <f t="shared" si="68"/>
        <v>35.12927401296956</v>
      </c>
      <c r="H896" s="3">
        <f t="shared" si="69"/>
        <v>8.1916767748407242</v>
      </c>
      <c r="I896" s="3">
        <f t="shared" si="65"/>
        <v>1638.3353549681449</v>
      </c>
      <c r="J896" s="5">
        <f t="shared" si="67"/>
        <v>9.7684396648951264</v>
      </c>
      <c r="K896" s="5">
        <f t="shared" si="66"/>
        <v>1953.6879329790252</v>
      </c>
      <c r="L896">
        <v>5</v>
      </c>
    </row>
    <row r="897" spans="1:12" x14ac:dyDescent="0.3">
      <c r="A897" t="s">
        <v>135</v>
      </c>
      <c r="B897" t="s">
        <v>11</v>
      </c>
      <c r="C897" s="5">
        <v>0.89361000000000002</v>
      </c>
      <c r="D897" s="5">
        <v>0.61247410899999999</v>
      </c>
      <c r="E897" s="1">
        <v>4.5</v>
      </c>
      <c r="F897" s="2">
        <v>7.3248407643312099</v>
      </c>
      <c r="G897" s="3">
        <f t="shared" si="68"/>
        <v>42.139197172020175</v>
      </c>
      <c r="H897" s="3">
        <f t="shared" si="69"/>
        <v>8.8274277055221724</v>
      </c>
      <c r="I897" s="3">
        <f t="shared" si="65"/>
        <v>1765.4855411044343</v>
      </c>
      <c r="J897" s="5">
        <f t="shared" si="67"/>
        <v>9.8307393525092284</v>
      </c>
      <c r="K897" s="5">
        <f t="shared" si="66"/>
        <v>1966.1478705018458</v>
      </c>
      <c r="L897">
        <v>5</v>
      </c>
    </row>
    <row r="898" spans="1:12" x14ac:dyDescent="0.3">
      <c r="A898" t="s">
        <v>135</v>
      </c>
      <c r="B898" t="s">
        <v>13</v>
      </c>
      <c r="C898" s="5">
        <v>0.45255480399999998</v>
      </c>
      <c r="D898" s="5">
        <v>0.57808694400000005</v>
      </c>
      <c r="E898" s="1">
        <v>5.5</v>
      </c>
      <c r="F898" s="2">
        <v>14.331210191082802</v>
      </c>
      <c r="G898" s="3">
        <f t="shared" si="68"/>
        <v>161.30789087588062</v>
      </c>
      <c r="H898" s="3">
        <f t="shared" si="69"/>
        <v>37.616512446024387</v>
      </c>
      <c r="I898" s="3">
        <f t="shared" ref="I898:I961" si="70">(H898*1000)/L898</f>
        <v>7523.3024892048779</v>
      </c>
      <c r="J898" s="5">
        <f t="shared" si="67"/>
        <v>12.939334021664163</v>
      </c>
      <c r="K898" s="5">
        <f t="shared" ref="K898:K961" si="71">(J898*1000)/L898</f>
        <v>2587.8668043328325</v>
      </c>
      <c r="L898">
        <v>5</v>
      </c>
    </row>
    <row r="899" spans="1:12" x14ac:dyDescent="0.3">
      <c r="A899" t="s">
        <v>135</v>
      </c>
      <c r="B899" t="s">
        <v>61</v>
      </c>
      <c r="C899" s="5">
        <v>0.62643652800000005</v>
      </c>
      <c r="D899" s="5">
        <v>0.57808694400000005</v>
      </c>
      <c r="E899" s="1">
        <v>6.5</v>
      </c>
      <c r="F899" s="2">
        <v>12.420382165605096</v>
      </c>
      <c r="G899" s="3">
        <f t="shared" si="68"/>
        <v>121.16014914677258</v>
      </c>
      <c r="H899" s="3">
        <f t="shared" si="69"/>
        <v>33.48692468183652</v>
      </c>
      <c r="I899" s="3">
        <f t="shared" si="70"/>
        <v>6697.3849363673044</v>
      </c>
      <c r="J899" s="5">
        <f t="shared" ref="J899:J962" si="72">8.9857 + 0.0035 * F899^2 * E899</f>
        <v>12.495249068927745</v>
      </c>
      <c r="K899" s="5">
        <f t="shared" si="71"/>
        <v>2499.0498137855488</v>
      </c>
      <c r="L899">
        <v>5</v>
      </c>
    </row>
    <row r="900" spans="1:12" x14ac:dyDescent="0.3">
      <c r="A900" t="s">
        <v>135</v>
      </c>
      <c r="B900" t="s">
        <v>34</v>
      </c>
      <c r="C900" s="5">
        <v>0.590536375</v>
      </c>
      <c r="D900" s="5">
        <v>0.61247410899999999</v>
      </c>
      <c r="E900">
        <v>9</v>
      </c>
      <c r="F900" s="2">
        <v>15.286624203821656</v>
      </c>
      <c r="G900" s="3">
        <f t="shared" ref="G900:G963" si="73">PI()*(F900/2)^2</f>
        <v>183.53253361877975</v>
      </c>
      <c r="H900" s="3">
        <f t="shared" ref="H900:H963" si="74">0.0673 * ((D900 * F900^2 * E900)^0.976)</f>
        <v>73.001133696955748</v>
      </c>
      <c r="I900" s="3">
        <f t="shared" si="70"/>
        <v>14600.22673939115</v>
      </c>
      <c r="J900" s="5">
        <f t="shared" si="72"/>
        <v>16.34664770578928</v>
      </c>
      <c r="K900" s="5">
        <f t="shared" si="71"/>
        <v>3269.3295411578561</v>
      </c>
      <c r="L900">
        <v>5</v>
      </c>
    </row>
    <row r="901" spans="1:12" x14ac:dyDescent="0.3">
      <c r="A901" t="s">
        <v>135</v>
      </c>
      <c r="B901" t="s">
        <v>114</v>
      </c>
      <c r="C901" s="5">
        <v>0.432770245</v>
      </c>
      <c r="D901" s="5">
        <v>0.61247410899999999</v>
      </c>
      <c r="E901" s="1">
        <v>6.5</v>
      </c>
      <c r="F901" s="2">
        <v>21.019108280254777</v>
      </c>
      <c r="G901" s="3">
        <f t="shared" si="73"/>
        <v>346.99119637300544</v>
      </c>
      <c r="H901" s="3">
        <f t="shared" si="74"/>
        <v>98.937109573710401</v>
      </c>
      <c r="I901" s="3">
        <f t="shared" si="70"/>
        <v>19787.421914742081</v>
      </c>
      <c r="J901" s="5">
        <f t="shared" si="72"/>
        <v>19.036716268408455</v>
      </c>
      <c r="K901" s="5">
        <f t="shared" si="71"/>
        <v>3807.3432536816908</v>
      </c>
      <c r="L901">
        <v>5</v>
      </c>
    </row>
    <row r="902" spans="1:12" x14ac:dyDescent="0.3">
      <c r="A902" t="s">
        <v>135</v>
      </c>
      <c r="B902" t="s">
        <v>17</v>
      </c>
      <c r="C902" s="5">
        <v>0.43836446099999998</v>
      </c>
      <c r="D902" s="5">
        <v>0.58666666700000003</v>
      </c>
      <c r="E902" s="1">
        <v>5.5</v>
      </c>
      <c r="F902" s="2">
        <v>18.471337579617835</v>
      </c>
      <c r="G902" s="3">
        <f t="shared" si="73"/>
        <v>267.9702443982531</v>
      </c>
      <c r="H902" s="3">
        <f t="shared" si="74"/>
        <v>62.62732166939395</v>
      </c>
      <c r="I902" s="3">
        <f t="shared" si="70"/>
        <v>12525.46433387879</v>
      </c>
      <c r="J902" s="5">
        <f t="shared" si="72"/>
        <v>15.553613505618891</v>
      </c>
      <c r="K902" s="5">
        <f t="shared" si="71"/>
        <v>3110.7227011237783</v>
      </c>
      <c r="L902">
        <v>5</v>
      </c>
    </row>
    <row r="903" spans="1:12" x14ac:dyDescent="0.3">
      <c r="A903" t="s">
        <v>135</v>
      </c>
      <c r="B903" t="s">
        <v>17</v>
      </c>
      <c r="C903" s="5">
        <v>0.43836446099999998</v>
      </c>
      <c r="D903" s="5">
        <v>0.58666666700000003</v>
      </c>
      <c r="E903">
        <v>5</v>
      </c>
      <c r="F903" s="2">
        <v>21.97452229299363</v>
      </c>
      <c r="G903" s="3">
        <f t="shared" si="73"/>
        <v>379.25277454818155</v>
      </c>
      <c r="H903" s="3">
        <f t="shared" si="74"/>
        <v>80.091524435206765</v>
      </c>
      <c r="I903" s="3">
        <f t="shared" si="70"/>
        <v>16018.304887041353</v>
      </c>
      <c r="J903" s="5">
        <f t="shared" si="72"/>
        <v>17.436093525092296</v>
      </c>
      <c r="K903" s="5">
        <f t="shared" si="71"/>
        <v>3487.2187050184593</v>
      </c>
      <c r="L903">
        <v>5</v>
      </c>
    </row>
    <row r="904" spans="1:12" x14ac:dyDescent="0.3">
      <c r="A904" t="s">
        <v>137</v>
      </c>
      <c r="B904" t="s">
        <v>21</v>
      </c>
      <c r="C904" s="5">
        <v>0.80908761900000004</v>
      </c>
      <c r="D904" s="5">
        <v>0.87473809499999999</v>
      </c>
      <c r="E904">
        <v>15</v>
      </c>
      <c r="F904" s="2">
        <v>34.394904458598724</v>
      </c>
      <c r="G904" s="3">
        <f t="shared" si="73"/>
        <v>929.1334514450723</v>
      </c>
      <c r="H904" s="3">
        <f t="shared" si="74"/>
        <v>828.68522999626509</v>
      </c>
      <c r="I904" s="3">
        <f t="shared" si="70"/>
        <v>165737.04599925302</v>
      </c>
      <c r="J904" s="5">
        <f t="shared" si="72"/>
        <v>71.093696267597039</v>
      </c>
      <c r="K904" s="5">
        <f t="shared" si="71"/>
        <v>14218.739253519409</v>
      </c>
      <c r="L904">
        <v>5</v>
      </c>
    </row>
    <row r="905" spans="1:12" x14ac:dyDescent="0.3">
      <c r="A905" t="s">
        <v>137</v>
      </c>
      <c r="B905" t="s">
        <v>55</v>
      </c>
      <c r="C905" s="5">
        <v>0.41</v>
      </c>
      <c r="D905" s="5">
        <v>0.33983503399999998</v>
      </c>
      <c r="E905">
        <v>6</v>
      </c>
      <c r="F905" s="2">
        <v>24.68152866242038</v>
      </c>
      <c r="G905" s="3">
        <f t="shared" si="73"/>
        <v>478.44717015963357</v>
      </c>
      <c r="H905" s="3">
        <f t="shared" si="74"/>
        <v>70.456107838941392</v>
      </c>
      <c r="I905" s="3">
        <f t="shared" si="70"/>
        <v>14091.221567788278</v>
      </c>
      <c r="J905" s="5">
        <f t="shared" si="72"/>
        <v>21.778434999391454</v>
      </c>
      <c r="K905" s="5">
        <f t="shared" si="71"/>
        <v>4355.6869998782913</v>
      </c>
      <c r="L905">
        <v>5</v>
      </c>
    </row>
    <row r="906" spans="1:12" x14ac:dyDescent="0.3">
      <c r="A906" t="s">
        <v>137</v>
      </c>
      <c r="B906" t="s">
        <v>64</v>
      </c>
      <c r="C906" s="5">
        <v>0.31264018999999998</v>
      </c>
      <c r="D906" s="5">
        <v>0.356821212</v>
      </c>
      <c r="E906">
        <v>15</v>
      </c>
      <c r="F906" s="2">
        <v>6.6878980891719744</v>
      </c>
      <c r="G906" s="3">
        <f t="shared" si="73"/>
        <v>35.12927401296956</v>
      </c>
      <c r="H906" s="3">
        <f t="shared" si="74"/>
        <v>14.126591000181531</v>
      </c>
      <c r="I906" s="3">
        <f t="shared" si="70"/>
        <v>2825.3182000363058</v>
      </c>
      <c r="J906" s="5">
        <f t="shared" si="72"/>
        <v>11.333918994685382</v>
      </c>
      <c r="K906" s="5">
        <f t="shared" si="71"/>
        <v>2266.7837989370764</v>
      </c>
      <c r="L906">
        <v>5</v>
      </c>
    </row>
    <row r="907" spans="1:12" x14ac:dyDescent="0.3">
      <c r="A907" t="s">
        <v>137</v>
      </c>
      <c r="B907" t="s">
        <v>9</v>
      </c>
      <c r="C907" s="5">
        <v>0.766138345</v>
      </c>
      <c r="D907" s="5">
        <v>0.90500000000000003</v>
      </c>
      <c r="E907">
        <v>11</v>
      </c>
      <c r="F907" s="2">
        <v>25.477707006369425</v>
      </c>
      <c r="G907" s="3">
        <f t="shared" si="73"/>
        <v>509.81259338549921</v>
      </c>
      <c r="H907" s="3">
        <f t="shared" si="74"/>
        <v>352.31271712384233</v>
      </c>
      <c r="I907" s="3">
        <f t="shared" si="70"/>
        <v>70462.543424768461</v>
      </c>
      <c r="J907" s="5">
        <f t="shared" si="72"/>
        <v>33.97657184064262</v>
      </c>
      <c r="K907" s="5">
        <f t="shared" si="71"/>
        <v>6795.3143681285237</v>
      </c>
      <c r="L907">
        <v>5</v>
      </c>
    </row>
    <row r="908" spans="1:12" x14ac:dyDescent="0.3">
      <c r="A908" t="s">
        <v>137</v>
      </c>
      <c r="B908" t="s">
        <v>80</v>
      </c>
      <c r="C908" s="5">
        <v>0.6</v>
      </c>
      <c r="D908" s="5">
        <v>0.66674999999999995</v>
      </c>
      <c r="E908" s="1">
        <v>5.5</v>
      </c>
      <c r="F908" s="2">
        <v>8.4394904458598727</v>
      </c>
      <c r="G908" s="3">
        <f t="shared" si="73"/>
        <v>55.939983391401071</v>
      </c>
      <c r="H908" s="3">
        <f t="shared" si="74"/>
        <v>15.380350542407648</v>
      </c>
      <c r="I908" s="3">
        <f t="shared" si="70"/>
        <v>3076.0701084815296</v>
      </c>
      <c r="J908" s="5">
        <f t="shared" si="72"/>
        <v>10.356781230475882</v>
      </c>
      <c r="K908" s="5">
        <f t="shared" si="71"/>
        <v>2071.3562460951762</v>
      </c>
      <c r="L908">
        <v>5</v>
      </c>
    </row>
    <row r="909" spans="1:12" x14ac:dyDescent="0.3">
      <c r="A909" t="s">
        <v>137</v>
      </c>
      <c r="B909" t="s">
        <v>80</v>
      </c>
      <c r="C909" s="5">
        <v>0.6</v>
      </c>
      <c r="D909" s="5">
        <v>0.66674999999999995</v>
      </c>
      <c r="E909" s="1">
        <v>3.5</v>
      </c>
      <c r="F909" s="2">
        <v>8.598726114649681</v>
      </c>
      <c r="G909" s="3">
        <f t="shared" si="73"/>
        <v>58.070840715317019</v>
      </c>
      <c r="H909" s="3">
        <f t="shared" si="74"/>
        <v>10.261923715229413</v>
      </c>
      <c r="I909" s="3">
        <f t="shared" si="70"/>
        <v>2052.3847430458827</v>
      </c>
      <c r="J909" s="5">
        <f t="shared" si="72"/>
        <v>9.8914416122357895</v>
      </c>
      <c r="K909" s="5">
        <f t="shared" si="71"/>
        <v>1978.2883224471577</v>
      </c>
      <c r="L909">
        <v>5</v>
      </c>
    </row>
    <row r="910" spans="1:12" x14ac:dyDescent="0.3">
      <c r="A910" t="s">
        <v>137</v>
      </c>
      <c r="B910" t="s">
        <v>80</v>
      </c>
      <c r="C910" s="5">
        <v>0.6</v>
      </c>
      <c r="D910" s="5">
        <v>0.66674999999999995</v>
      </c>
      <c r="E910" s="1">
        <v>2.5</v>
      </c>
      <c r="F910" s="2">
        <v>4.936305732484076</v>
      </c>
      <c r="G910" s="3">
        <f t="shared" si="73"/>
        <v>19.137886806385342</v>
      </c>
      <c r="H910" s="3">
        <f t="shared" si="74"/>
        <v>2.5009973194349913</v>
      </c>
      <c r="I910" s="3">
        <f t="shared" si="70"/>
        <v>500.19946388699827</v>
      </c>
      <c r="J910" s="5">
        <f t="shared" si="72"/>
        <v>9.1989122499898563</v>
      </c>
      <c r="K910" s="5">
        <f t="shared" si="71"/>
        <v>1839.7824499979713</v>
      </c>
      <c r="L910">
        <v>5</v>
      </c>
    </row>
    <row r="911" spans="1:12" x14ac:dyDescent="0.3">
      <c r="A911" t="s">
        <v>137</v>
      </c>
      <c r="B911" t="s">
        <v>48</v>
      </c>
      <c r="C911" s="5">
        <v>0.63206279899999995</v>
      </c>
      <c r="D911" s="5">
        <v>0.75690909100000003</v>
      </c>
      <c r="E911" s="1">
        <v>2.5</v>
      </c>
      <c r="F911" s="2">
        <v>2.8662420382165603</v>
      </c>
      <c r="G911" s="3">
        <f t="shared" si="73"/>
        <v>6.4523156350352249</v>
      </c>
      <c r="H911" s="3">
        <f t="shared" si="74"/>
        <v>0.97954837885609358</v>
      </c>
      <c r="I911" s="3">
        <f t="shared" si="70"/>
        <v>195.9096757712187</v>
      </c>
      <c r="J911" s="5">
        <f t="shared" si="72"/>
        <v>9.0575842549393482</v>
      </c>
      <c r="K911" s="5">
        <f t="shared" si="71"/>
        <v>1811.5168509878695</v>
      </c>
      <c r="L911">
        <v>5</v>
      </c>
    </row>
    <row r="912" spans="1:12" x14ac:dyDescent="0.3">
      <c r="A912" t="s">
        <v>137</v>
      </c>
      <c r="B912" t="s">
        <v>48</v>
      </c>
      <c r="C912" s="5">
        <v>0.63206279899999995</v>
      </c>
      <c r="D912" s="5">
        <v>0.75690909100000003</v>
      </c>
      <c r="E912" s="1">
        <v>4.5</v>
      </c>
      <c r="F912" s="2">
        <v>6.8471337579617835</v>
      </c>
      <c r="G912" s="3">
        <f t="shared" si="73"/>
        <v>36.822011139444854</v>
      </c>
      <c r="H912" s="3">
        <f t="shared" si="74"/>
        <v>9.515034132069319</v>
      </c>
      <c r="I912" s="3">
        <f t="shared" si="70"/>
        <v>1903.0068264138638</v>
      </c>
      <c r="J912" s="5">
        <f t="shared" si="72"/>
        <v>9.7241110410158615</v>
      </c>
      <c r="K912" s="5">
        <f t="shared" si="71"/>
        <v>1944.8222082031723</v>
      </c>
      <c r="L912">
        <v>5</v>
      </c>
    </row>
    <row r="913" spans="1:12" x14ac:dyDescent="0.3">
      <c r="A913" t="s">
        <v>137</v>
      </c>
      <c r="B913" t="s">
        <v>48</v>
      </c>
      <c r="C913" s="5">
        <v>0.63206279899999995</v>
      </c>
      <c r="D913" s="5">
        <v>0.75690909100000003</v>
      </c>
      <c r="E913" s="1">
        <v>2.5</v>
      </c>
      <c r="F913" s="2">
        <v>4.1401273885350314</v>
      </c>
      <c r="G913" s="3">
        <f t="shared" si="73"/>
        <v>13.462238794085838</v>
      </c>
      <c r="H913" s="3">
        <f t="shared" si="74"/>
        <v>2.0079918024315337</v>
      </c>
      <c r="I913" s="3">
        <f t="shared" si="70"/>
        <v>401.59836048630672</v>
      </c>
      <c r="J913" s="5">
        <f t="shared" si="72"/>
        <v>9.135680729441356</v>
      </c>
      <c r="K913" s="5">
        <f t="shared" si="71"/>
        <v>1827.1361458882711</v>
      </c>
      <c r="L913">
        <v>5</v>
      </c>
    </row>
    <row r="914" spans="1:12" x14ac:dyDescent="0.3">
      <c r="A914" t="s">
        <v>137</v>
      </c>
      <c r="B914" t="s">
        <v>11</v>
      </c>
      <c r="C914" s="5">
        <v>0.89361000000000002</v>
      </c>
      <c r="D914" s="5">
        <v>0.61247410899999999</v>
      </c>
      <c r="E914">
        <v>7</v>
      </c>
      <c r="F914" s="2">
        <v>15.605095541401273</v>
      </c>
      <c r="G914" s="3">
        <f t="shared" si="73"/>
        <v>191.25938073727869</v>
      </c>
      <c r="H914" s="3">
        <f t="shared" si="74"/>
        <v>59.468153724357549</v>
      </c>
      <c r="I914" s="3">
        <f t="shared" si="70"/>
        <v>11893.630744871511</v>
      </c>
      <c r="J914" s="5">
        <f t="shared" si="72"/>
        <v>14.951915667978415</v>
      </c>
      <c r="K914" s="5">
        <f t="shared" si="71"/>
        <v>2990.3831335956829</v>
      </c>
      <c r="L914">
        <v>5</v>
      </c>
    </row>
    <row r="915" spans="1:12" x14ac:dyDescent="0.3">
      <c r="A915" t="s">
        <v>137</v>
      </c>
      <c r="B915" t="s">
        <v>11</v>
      </c>
      <c r="C915" s="5">
        <v>0.89361000000000002</v>
      </c>
      <c r="D915" s="5">
        <v>0.61247410899999999</v>
      </c>
      <c r="E915" s="1">
        <v>4.5</v>
      </c>
      <c r="F915" s="2">
        <v>6.5286624203821653</v>
      </c>
      <c r="G915" s="3">
        <f t="shared" si="73"/>
        <v>33.476365995352509</v>
      </c>
      <c r="H915" s="3">
        <f t="shared" si="74"/>
        <v>7.0515561809911071</v>
      </c>
      <c r="I915" s="3">
        <f t="shared" si="70"/>
        <v>1410.3112361982214</v>
      </c>
      <c r="J915" s="5">
        <f t="shared" si="72"/>
        <v>9.6570190697391372</v>
      </c>
      <c r="K915" s="5">
        <f t="shared" si="71"/>
        <v>1931.4038139478275</v>
      </c>
      <c r="L915">
        <v>5</v>
      </c>
    </row>
    <row r="916" spans="1:12" x14ac:dyDescent="0.3">
      <c r="A916" t="s">
        <v>137</v>
      </c>
      <c r="B916" t="s">
        <v>12</v>
      </c>
      <c r="C916" s="5">
        <v>0.708787469</v>
      </c>
      <c r="D916" s="5">
        <v>0.80167708299999996</v>
      </c>
      <c r="E916">
        <v>4</v>
      </c>
      <c r="F916" s="2">
        <v>8.2802547770700627</v>
      </c>
      <c r="G916" s="3">
        <f t="shared" si="73"/>
        <v>53.848955176343352</v>
      </c>
      <c r="H916" s="3">
        <f t="shared" si="74"/>
        <v>13.000210952588521</v>
      </c>
      <c r="I916" s="3">
        <f t="shared" si="70"/>
        <v>2600.0421905177041</v>
      </c>
      <c r="J916" s="5">
        <f t="shared" si="72"/>
        <v>9.9455766684246818</v>
      </c>
      <c r="K916" s="5">
        <f t="shared" si="71"/>
        <v>1989.1153336849361</v>
      </c>
      <c r="L916">
        <v>5</v>
      </c>
    </row>
    <row r="917" spans="1:12" x14ac:dyDescent="0.3">
      <c r="A917" t="s">
        <v>137</v>
      </c>
      <c r="B917" t="s">
        <v>12</v>
      </c>
      <c r="C917" s="5">
        <v>0.708787469</v>
      </c>
      <c r="D917" s="5">
        <v>0.80167708299999996</v>
      </c>
      <c r="E917">
        <v>4</v>
      </c>
      <c r="F917" s="2">
        <v>4.7770700636942669</v>
      </c>
      <c r="G917" s="3">
        <f t="shared" si="73"/>
        <v>17.923098986208956</v>
      </c>
      <c r="H917" s="3">
        <f t="shared" si="74"/>
        <v>4.4427570226702269</v>
      </c>
      <c r="I917" s="3">
        <f t="shared" si="70"/>
        <v>888.55140453404533</v>
      </c>
      <c r="J917" s="5">
        <f t="shared" si="72"/>
        <v>9.3051855775082153</v>
      </c>
      <c r="K917" s="5">
        <f t="shared" si="71"/>
        <v>1861.037115501643</v>
      </c>
      <c r="L917">
        <v>5</v>
      </c>
    </row>
    <row r="918" spans="1:12" x14ac:dyDescent="0.3">
      <c r="A918" t="s">
        <v>137</v>
      </c>
      <c r="B918" t="s">
        <v>61</v>
      </c>
      <c r="C918" s="5">
        <v>0.62643652800000005</v>
      </c>
      <c r="D918" s="5">
        <v>0.57808694400000005</v>
      </c>
      <c r="E918">
        <v>10</v>
      </c>
      <c r="F918" s="2">
        <v>15.127388535031846</v>
      </c>
      <c r="G918" s="3">
        <f t="shared" si="73"/>
        <v>179.7288537228176</v>
      </c>
      <c r="H918" s="3">
        <f t="shared" si="74"/>
        <v>74.923773506207297</v>
      </c>
      <c r="I918" s="3">
        <f t="shared" si="70"/>
        <v>14984.754701241462</v>
      </c>
      <c r="J918" s="5">
        <f t="shared" si="72"/>
        <v>16.995025936143453</v>
      </c>
      <c r="K918" s="5">
        <f t="shared" si="71"/>
        <v>3399.0051872286904</v>
      </c>
      <c r="L918">
        <v>5</v>
      </c>
    </row>
    <row r="919" spans="1:12" x14ac:dyDescent="0.3">
      <c r="A919" t="s">
        <v>137</v>
      </c>
      <c r="B919" t="s">
        <v>61</v>
      </c>
      <c r="C919" s="5">
        <v>0.62643652800000005</v>
      </c>
      <c r="D919" s="5">
        <v>0.57808694400000005</v>
      </c>
      <c r="E919">
        <v>3</v>
      </c>
      <c r="F919" s="2">
        <v>9.872611464968152</v>
      </c>
      <c r="G919" s="3">
        <f t="shared" si="73"/>
        <v>76.55154722554137</v>
      </c>
      <c r="H919" s="3">
        <f t="shared" si="74"/>
        <v>10.058242158120432</v>
      </c>
      <c r="I919" s="3">
        <f t="shared" si="70"/>
        <v>2011.6484316240865</v>
      </c>
      <c r="J919" s="5">
        <f t="shared" si="72"/>
        <v>10.009118799951317</v>
      </c>
      <c r="K919" s="5">
        <f t="shared" si="71"/>
        <v>2001.8237599902634</v>
      </c>
      <c r="L919">
        <v>5</v>
      </c>
    </row>
    <row r="920" spans="1:12" x14ac:dyDescent="0.3">
      <c r="A920" t="s">
        <v>137</v>
      </c>
      <c r="B920" t="s">
        <v>26</v>
      </c>
      <c r="C920" s="5">
        <v>0.63400000000000001</v>
      </c>
      <c r="D920" s="5">
        <v>0.73247777800000002</v>
      </c>
      <c r="E920">
        <v>9</v>
      </c>
      <c r="F920" s="2">
        <v>11.146496815286623</v>
      </c>
      <c r="G920" s="3">
        <f t="shared" si="73"/>
        <v>97.581316702693215</v>
      </c>
      <c r="H920" s="3">
        <f t="shared" si="74"/>
        <v>46.925541148081159</v>
      </c>
      <c r="I920" s="3">
        <f t="shared" si="70"/>
        <v>9385.1082296162313</v>
      </c>
      <c r="J920" s="5">
        <f t="shared" si="72"/>
        <v>12.899398324475637</v>
      </c>
      <c r="K920" s="5">
        <f t="shared" si="71"/>
        <v>2579.8796648951275</v>
      </c>
      <c r="L920">
        <v>5</v>
      </c>
    </row>
    <row r="921" spans="1:12" x14ac:dyDescent="0.3">
      <c r="A921" t="s">
        <v>137</v>
      </c>
      <c r="B921" t="s">
        <v>68</v>
      </c>
      <c r="C921" s="5">
        <v>0.39</v>
      </c>
      <c r="D921" s="5">
        <v>0.28861111099999998</v>
      </c>
      <c r="E921">
        <v>12</v>
      </c>
      <c r="F921" s="2">
        <v>15.923566878980891</v>
      </c>
      <c r="G921" s="3">
        <f t="shared" si="73"/>
        <v>199.14554429121063</v>
      </c>
      <c r="H921" s="3">
        <f t="shared" si="74"/>
        <v>50.227813070118309</v>
      </c>
      <c r="I921" s="3">
        <f t="shared" si="70"/>
        <v>10045.562614023662</v>
      </c>
      <c r="J921" s="5">
        <f t="shared" si="72"/>
        <v>19.635219250273842</v>
      </c>
      <c r="K921" s="5">
        <f t="shared" si="71"/>
        <v>3927.0438500547689</v>
      </c>
      <c r="L921">
        <v>5</v>
      </c>
    </row>
    <row r="922" spans="1:12" x14ac:dyDescent="0.3">
      <c r="A922" t="s">
        <v>137</v>
      </c>
      <c r="B922" t="s">
        <v>138</v>
      </c>
      <c r="C922" s="5">
        <v>0.56000000000000005</v>
      </c>
      <c r="D922" s="5">
        <v>0.53945833300000001</v>
      </c>
      <c r="E922">
        <v>6</v>
      </c>
      <c r="F922" s="2">
        <v>10.031847133757962</v>
      </c>
      <c r="G922" s="3">
        <f t="shared" si="73"/>
        <v>79.040866529181514</v>
      </c>
      <c r="H922" s="3">
        <f t="shared" si="74"/>
        <v>19.0799454553587</v>
      </c>
      <c r="I922" s="3">
        <f t="shared" si="70"/>
        <v>3815.9890910717404</v>
      </c>
      <c r="J922" s="5">
        <f t="shared" si="72"/>
        <v>11.099097095216845</v>
      </c>
      <c r="K922" s="5">
        <f t="shared" si="71"/>
        <v>2219.8194190433687</v>
      </c>
      <c r="L922">
        <v>5</v>
      </c>
    </row>
    <row r="923" spans="1:12" x14ac:dyDescent="0.3">
      <c r="A923" t="s">
        <v>137</v>
      </c>
      <c r="B923" t="s">
        <v>42</v>
      </c>
      <c r="C923" s="5">
        <v>0.40238543599999999</v>
      </c>
      <c r="D923" s="5">
        <v>0.40883333300000002</v>
      </c>
      <c r="E923">
        <v>10</v>
      </c>
      <c r="F923" s="2">
        <v>15.445859872611464</v>
      </c>
      <c r="G923" s="3">
        <f t="shared" si="73"/>
        <v>187.37604262360011</v>
      </c>
      <c r="H923" s="3">
        <f t="shared" si="74"/>
        <v>55.647473491591704</v>
      </c>
      <c r="I923" s="3">
        <f t="shared" si="70"/>
        <v>11129.494698318342</v>
      </c>
      <c r="J923" s="5">
        <f t="shared" si="72"/>
        <v>17.335810552152218</v>
      </c>
      <c r="K923" s="5">
        <f t="shared" si="71"/>
        <v>3467.162110430444</v>
      </c>
      <c r="L923">
        <v>5</v>
      </c>
    </row>
    <row r="924" spans="1:12" x14ac:dyDescent="0.3">
      <c r="A924" t="s">
        <v>137</v>
      </c>
      <c r="B924" t="s">
        <v>42</v>
      </c>
      <c r="C924" s="5">
        <v>0.40238543599999999</v>
      </c>
      <c r="D924" s="5">
        <v>0.40883333300000002</v>
      </c>
      <c r="E924">
        <v>11</v>
      </c>
      <c r="F924" s="2">
        <v>12.579617834394904</v>
      </c>
      <c r="G924" s="3">
        <f t="shared" si="73"/>
        <v>124.28673419214456</v>
      </c>
      <c r="H924" s="3">
        <f t="shared" si="74"/>
        <v>40.910460577366202</v>
      </c>
      <c r="I924" s="3">
        <f t="shared" si="70"/>
        <v>8182.0921154732405</v>
      </c>
      <c r="J924" s="5">
        <f t="shared" si="72"/>
        <v>15.078201217087912</v>
      </c>
      <c r="K924" s="5">
        <f t="shared" si="71"/>
        <v>3015.6402434175825</v>
      </c>
      <c r="L924">
        <v>5</v>
      </c>
    </row>
    <row r="925" spans="1:12" x14ac:dyDescent="0.3">
      <c r="A925" t="s">
        <v>139</v>
      </c>
      <c r="B925" t="s">
        <v>64</v>
      </c>
      <c r="C925" s="5">
        <v>0.31264018999999998</v>
      </c>
      <c r="D925" s="5">
        <v>0.356821212</v>
      </c>
      <c r="E925">
        <v>11</v>
      </c>
      <c r="F925" s="2">
        <v>25.477707006369425</v>
      </c>
      <c r="G925" s="3">
        <f t="shared" si="73"/>
        <v>509.81259338549921</v>
      </c>
      <c r="H925" s="3">
        <f t="shared" si="74"/>
        <v>142.04670192038719</v>
      </c>
      <c r="I925" s="3">
        <f t="shared" si="70"/>
        <v>28409.340384077437</v>
      </c>
      <c r="J925" s="5">
        <f t="shared" si="72"/>
        <v>33.97657184064262</v>
      </c>
      <c r="K925" s="5">
        <f t="shared" si="71"/>
        <v>6795.3143681285237</v>
      </c>
      <c r="L925">
        <v>5</v>
      </c>
    </row>
    <row r="926" spans="1:12" x14ac:dyDescent="0.3">
      <c r="A926" t="s">
        <v>139</v>
      </c>
      <c r="B926" t="s">
        <v>9</v>
      </c>
      <c r="C926" s="5">
        <v>0.766138345</v>
      </c>
      <c r="D926" s="5">
        <v>0.90500000000000003</v>
      </c>
      <c r="E926">
        <v>6</v>
      </c>
      <c r="F926" s="2">
        <v>11.146496815286623</v>
      </c>
      <c r="G926" s="3">
        <f t="shared" si="73"/>
        <v>97.581316702693215</v>
      </c>
      <c r="H926" s="3">
        <f t="shared" si="74"/>
        <v>38.832365566115207</v>
      </c>
      <c r="I926" s="3">
        <f t="shared" si="70"/>
        <v>7766.4731132230418</v>
      </c>
      <c r="J926" s="5">
        <f t="shared" si="72"/>
        <v>11.594832216317091</v>
      </c>
      <c r="K926" s="5">
        <f t="shared" si="71"/>
        <v>2318.9664432634181</v>
      </c>
      <c r="L926">
        <v>5</v>
      </c>
    </row>
    <row r="927" spans="1:12" x14ac:dyDescent="0.3">
      <c r="A927" t="s">
        <v>139</v>
      </c>
      <c r="B927" t="s">
        <v>9</v>
      </c>
      <c r="C927" s="5">
        <v>0.766138345</v>
      </c>
      <c r="D927" s="5">
        <v>0.90500000000000003</v>
      </c>
      <c r="E927">
        <v>7</v>
      </c>
      <c r="F927" s="2">
        <v>7.6433121019108281</v>
      </c>
      <c r="G927" s="3">
        <f t="shared" si="73"/>
        <v>45.883133404694938</v>
      </c>
      <c r="H927" s="3">
        <f t="shared" si="74"/>
        <v>21.611526082657125</v>
      </c>
      <c r="I927" s="3">
        <f t="shared" si="70"/>
        <v>4322.3052165314248</v>
      </c>
      <c r="J927" s="5">
        <f t="shared" si="72"/>
        <v>10.416995387236804</v>
      </c>
      <c r="K927" s="5">
        <f t="shared" si="71"/>
        <v>2083.3990774473609</v>
      </c>
      <c r="L927">
        <v>5</v>
      </c>
    </row>
    <row r="928" spans="1:12" x14ac:dyDescent="0.3">
      <c r="A928" t="s">
        <v>139</v>
      </c>
      <c r="B928" t="s">
        <v>80</v>
      </c>
      <c r="C928" s="5">
        <v>0.6</v>
      </c>
      <c r="D928" s="5">
        <v>0.66674999999999995</v>
      </c>
      <c r="E928" s="1">
        <v>3.5</v>
      </c>
      <c r="F928" s="2">
        <v>5.0955414012738851</v>
      </c>
      <c r="G928" s="3">
        <f t="shared" si="73"/>
        <v>20.392503735419968</v>
      </c>
      <c r="H928" s="3">
        <f t="shared" si="74"/>
        <v>3.695293349379615</v>
      </c>
      <c r="I928" s="3">
        <f t="shared" si="70"/>
        <v>739.05866987592299</v>
      </c>
      <c r="J928" s="5">
        <f t="shared" si="72"/>
        <v>9.3037656416081784</v>
      </c>
      <c r="K928" s="5">
        <f t="shared" si="71"/>
        <v>1860.7531283216358</v>
      </c>
      <c r="L928">
        <v>5</v>
      </c>
    </row>
    <row r="929" spans="1:12" x14ac:dyDescent="0.3">
      <c r="A929" t="s">
        <v>139</v>
      </c>
      <c r="B929" t="s">
        <v>80</v>
      </c>
      <c r="C929" s="5">
        <v>0.6</v>
      </c>
      <c r="D929" s="5">
        <v>0.66674999999999995</v>
      </c>
      <c r="E929">
        <v>8</v>
      </c>
      <c r="F929" s="2">
        <v>13.057324840764331</v>
      </c>
      <c r="G929" s="3">
        <f t="shared" si="73"/>
        <v>133.90546398141004</v>
      </c>
      <c r="H929" s="3">
        <f t="shared" si="74"/>
        <v>51.971615717973336</v>
      </c>
      <c r="I929" s="3">
        <f t="shared" si="70"/>
        <v>10394.323143594667</v>
      </c>
      <c r="J929" s="5">
        <f t="shared" si="72"/>
        <v>13.759524495922754</v>
      </c>
      <c r="K929" s="5">
        <f t="shared" si="71"/>
        <v>2751.9048991845511</v>
      </c>
      <c r="L929">
        <v>5</v>
      </c>
    </row>
    <row r="930" spans="1:12" x14ac:dyDescent="0.3">
      <c r="A930" t="s">
        <v>139</v>
      </c>
      <c r="B930" t="s">
        <v>80</v>
      </c>
      <c r="C930" s="5">
        <v>0.6</v>
      </c>
      <c r="D930" s="5">
        <v>0.66674999999999995</v>
      </c>
      <c r="E930">
        <v>3</v>
      </c>
      <c r="F930" s="2">
        <v>5.4140127388535033</v>
      </c>
      <c r="G930" s="3">
        <f t="shared" si="73"/>
        <v>23.021224920063954</v>
      </c>
      <c r="H930" s="3">
        <f t="shared" si="74"/>
        <v>3.5785158249769915</v>
      </c>
      <c r="I930" s="3">
        <f t="shared" si="70"/>
        <v>715.70316499539831</v>
      </c>
      <c r="J930" s="5">
        <f t="shared" si="72"/>
        <v>9.2934711063329143</v>
      </c>
      <c r="K930" s="5">
        <f t="shared" si="71"/>
        <v>1858.6942212665829</v>
      </c>
      <c r="L930">
        <v>5</v>
      </c>
    </row>
    <row r="931" spans="1:12" x14ac:dyDescent="0.3">
      <c r="A931" t="s">
        <v>139</v>
      </c>
      <c r="B931" t="s">
        <v>11</v>
      </c>
      <c r="C931" s="5">
        <v>0.89361000000000002</v>
      </c>
      <c r="D931" s="5">
        <v>0.61247410899999999</v>
      </c>
      <c r="E931" s="1">
        <v>6.5</v>
      </c>
      <c r="F931" s="2">
        <v>7.0063694267515917</v>
      </c>
      <c r="G931" s="3">
        <f t="shared" si="73"/>
        <v>38.554577374778376</v>
      </c>
      <c r="H931" s="3">
        <f t="shared" si="74"/>
        <v>11.588267964647688</v>
      </c>
      <c r="I931" s="3">
        <f t="shared" si="70"/>
        <v>2317.6535929295378</v>
      </c>
      <c r="J931" s="5">
        <f t="shared" si="72"/>
        <v>10.102479585378717</v>
      </c>
      <c r="K931" s="5">
        <f t="shared" si="71"/>
        <v>2020.4959170757434</v>
      </c>
      <c r="L931">
        <v>5</v>
      </c>
    </row>
    <row r="932" spans="1:12" x14ac:dyDescent="0.3">
      <c r="A932" t="s">
        <v>139</v>
      </c>
      <c r="B932" t="s">
        <v>12</v>
      </c>
      <c r="C932" s="5">
        <v>0.708787469</v>
      </c>
      <c r="D932" s="5">
        <v>0.80167708299999996</v>
      </c>
      <c r="E932" s="1">
        <v>6.5</v>
      </c>
      <c r="F932" s="2">
        <v>6.0509554140127388</v>
      </c>
      <c r="G932" s="3">
        <f t="shared" si="73"/>
        <v>28.756616595650822</v>
      </c>
      <c r="H932" s="3">
        <f t="shared" si="74"/>
        <v>11.319893422644382</v>
      </c>
      <c r="I932" s="3">
        <f t="shared" si="70"/>
        <v>2263.9786845288763</v>
      </c>
      <c r="J932" s="5">
        <f t="shared" si="72"/>
        <v>9.8186698973589195</v>
      </c>
      <c r="K932" s="5">
        <f t="shared" si="71"/>
        <v>1963.7339794717839</v>
      </c>
      <c r="L932">
        <v>5</v>
      </c>
    </row>
    <row r="933" spans="1:12" x14ac:dyDescent="0.3">
      <c r="A933" t="s">
        <v>139</v>
      </c>
      <c r="B933" t="s">
        <v>61</v>
      </c>
      <c r="C933" s="5">
        <v>0.62643652800000005</v>
      </c>
      <c r="D933" s="5">
        <v>0.57808694400000005</v>
      </c>
      <c r="E933">
        <v>8</v>
      </c>
      <c r="F933" s="2">
        <v>20.700636942675157</v>
      </c>
      <c r="G933" s="3">
        <f t="shared" si="73"/>
        <v>336.55596985214595</v>
      </c>
      <c r="H933" s="3">
        <f t="shared" si="74"/>
        <v>111.1568972760882</v>
      </c>
      <c r="I933" s="3">
        <f t="shared" si="70"/>
        <v>22231.37945521764</v>
      </c>
      <c r="J933" s="5">
        <f t="shared" si="72"/>
        <v>20.98415835530853</v>
      </c>
      <c r="K933" s="5">
        <f t="shared" si="71"/>
        <v>4196.8316710617055</v>
      </c>
      <c r="L933">
        <v>5</v>
      </c>
    </row>
    <row r="934" spans="1:12" x14ac:dyDescent="0.3">
      <c r="A934" t="s">
        <v>139</v>
      </c>
      <c r="B934" t="s">
        <v>15</v>
      </c>
      <c r="C934" s="5">
        <v>0.74387999999999999</v>
      </c>
      <c r="D934" s="5">
        <v>0.59130000000000005</v>
      </c>
      <c r="E934">
        <v>12</v>
      </c>
      <c r="F934" s="2">
        <v>14.012738853503183</v>
      </c>
      <c r="G934" s="3">
        <f t="shared" si="73"/>
        <v>154.2183094991135</v>
      </c>
      <c r="H934" s="3">
        <f t="shared" si="74"/>
        <v>78.812191100777525</v>
      </c>
      <c r="I934" s="3">
        <f t="shared" si="70"/>
        <v>15762.438220155504</v>
      </c>
      <c r="J934" s="5">
        <f t="shared" si="72"/>
        <v>17.232687707412062</v>
      </c>
      <c r="K934" s="5">
        <f t="shared" si="71"/>
        <v>3446.5375414824121</v>
      </c>
      <c r="L934">
        <v>5</v>
      </c>
    </row>
    <row r="935" spans="1:12" x14ac:dyDescent="0.3">
      <c r="A935" t="s">
        <v>139</v>
      </c>
      <c r="B935" t="s">
        <v>114</v>
      </c>
      <c r="C935" s="5">
        <v>0.432770245</v>
      </c>
      <c r="D935" s="5">
        <v>0.61247410899999999</v>
      </c>
      <c r="E935">
        <v>5</v>
      </c>
      <c r="F935" s="2">
        <v>18.949044585987259</v>
      </c>
      <c r="G935" s="3">
        <f t="shared" si="73"/>
        <v>282.01000527078338</v>
      </c>
      <c r="H935" s="3">
        <f t="shared" si="74"/>
        <v>62.554399801275267</v>
      </c>
      <c r="I935" s="3">
        <f t="shared" si="70"/>
        <v>12510.879960255053</v>
      </c>
      <c r="J935" s="5">
        <f t="shared" si="72"/>
        <v>15.269360087630329</v>
      </c>
      <c r="K935" s="5">
        <f t="shared" si="71"/>
        <v>3053.8720175260655</v>
      </c>
      <c r="L935">
        <v>5</v>
      </c>
    </row>
    <row r="936" spans="1:12" x14ac:dyDescent="0.3">
      <c r="A936" t="s">
        <v>139</v>
      </c>
      <c r="B936" t="s">
        <v>138</v>
      </c>
      <c r="C936" s="5">
        <v>0.56000000000000005</v>
      </c>
      <c r="D936" s="5">
        <v>0.53945833300000001</v>
      </c>
      <c r="E936" s="1">
        <v>5.5</v>
      </c>
      <c r="F936" s="2">
        <v>5.7324840764331206</v>
      </c>
      <c r="G936" s="3">
        <f t="shared" si="73"/>
        <v>25.809262540140899</v>
      </c>
      <c r="H936" s="3">
        <f t="shared" si="74"/>
        <v>5.8787531216952047</v>
      </c>
      <c r="I936" s="3">
        <f t="shared" si="70"/>
        <v>1175.750624339041</v>
      </c>
      <c r="J936" s="5">
        <f t="shared" si="72"/>
        <v>9.618281443466266</v>
      </c>
      <c r="K936" s="5">
        <f t="shared" si="71"/>
        <v>1923.6562886932534</v>
      </c>
      <c r="L936">
        <v>5</v>
      </c>
    </row>
    <row r="937" spans="1:12" x14ac:dyDescent="0.3">
      <c r="A937" t="s">
        <v>139</v>
      </c>
      <c r="B937" t="s">
        <v>17</v>
      </c>
      <c r="C937" s="5">
        <v>0.43836446099999998</v>
      </c>
      <c r="D937" s="5">
        <v>0.58666666700000003</v>
      </c>
      <c r="E937" s="1">
        <v>3.5</v>
      </c>
      <c r="F937" s="2">
        <v>5.0955414012738851</v>
      </c>
      <c r="G937" s="3">
        <f t="shared" si="73"/>
        <v>20.392503735419968</v>
      </c>
      <c r="H937" s="3">
        <f t="shared" si="74"/>
        <v>3.2614522763892113</v>
      </c>
      <c r="I937" s="3">
        <f t="shared" si="70"/>
        <v>652.29045527784228</v>
      </c>
      <c r="J937" s="5">
        <f t="shared" si="72"/>
        <v>9.3037656416081784</v>
      </c>
      <c r="K937" s="5">
        <f t="shared" si="71"/>
        <v>1860.7531283216358</v>
      </c>
      <c r="L937">
        <v>5</v>
      </c>
    </row>
    <row r="938" spans="1:12" x14ac:dyDescent="0.3">
      <c r="A938" t="s">
        <v>140</v>
      </c>
      <c r="B938" t="s">
        <v>70</v>
      </c>
      <c r="C938" s="5">
        <v>0.86</v>
      </c>
      <c r="D938" s="5">
        <v>0.65666666699999998</v>
      </c>
      <c r="E938">
        <v>9</v>
      </c>
      <c r="F938" s="2">
        <v>6.6878980891719744</v>
      </c>
      <c r="G938" s="3">
        <f t="shared" si="73"/>
        <v>35.12927401296956</v>
      </c>
      <c r="H938" s="3">
        <f t="shared" si="74"/>
        <v>15.561441916617834</v>
      </c>
      <c r="I938" s="3">
        <f t="shared" si="70"/>
        <v>3112.2883833235669</v>
      </c>
      <c r="J938" s="5">
        <f t="shared" si="72"/>
        <v>10.39463139681123</v>
      </c>
      <c r="K938" s="5">
        <f t="shared" si="71"/>
        <v>2078.9262793622461</v>
      </c>
      <c r="L938">
        <v>5</v>
      </c>
    </row>
    <row r="939" spans="1:12" x14ac:dyDescent="0.3">
      <c r="A939" t="s">
        <v>140</v>
      </c>
      <c r="B939" t="s">
        <v>70</v>
      </c>
      <c r="C939" s="5">
        <v>0.86</v>
      </c>
      <c r="D939" s="5">
        <v>0.65666666699999998</v>
      </c>
      <c r="E939">
        <v>11</v>
      </c>
      <c r="F939" s="2">
        <v>34.235668789808919</v>
      </c>
      <c r="G939" s="3">
        <f t="shared" si="73"/>
        <v>920.55027848612133</v>
      </c>
      <c r="H939" s="3">
        <f t="shared" si="74"/>
        <v>458.61226633055486</v>
      </c>
      <c r="I939" s="3">
        <f t="shared" si="70"/>
        <v>91722.45326611097</v>
      </c>
      <c r="J939" s="5">
        <f t="shared" si="72"/>
        <v>54.110819173191608</v>
      </c>
      <c r="K939" s="5">
        <f t="shared" si="71"/>
        <v>10822.163834638322</v>
      </c>
      <c r="L939">
        <v>5</v>
      </c>
    </row>
    <row r="940" spans="1:12" x14ac:dyDescent="0.3">
      <c r="A940" t="s">
        <v>140</v>
      </c>
      <c r="B940" t="s">
        <v>70</v>
      </c>
      <c r="C940" s="5">
        <v>0.86</v>
      </c>
      <c r="D940" s="5">
        <v>0.65666666699999998</v>
      </c>
      <c r="E940">
        <v>7</v>
      </c>
      <c r="F940" s="2">
        <v>5.7324840764331206</v>
      </c>
      <c r="G940" s="3">
        <f t="shared" si="73"/>
        <v>25.809262540140899</v>
      </c>
      <c r="H940" s="3">
        <f t="shared" si="74"/>
        <v>9.0124880222501407</v>
      </c>
      <c r="I940" s="3">
        <f t="shared" si="70"/>
        <v>1802.4976044500283</v>
      </c>
      <c r="J940" s="5">
        <f t="shared" si="72"/>
        <v>9.790803655320703</v>
      </c>
      <c r="K940" s="5">
        <f t="shared" si="71"/>
        <v>1958.1607310641405</v>
      </c>
      <c r="L940">
        <v>5</v>
      </c>
    </row>
    <row r="941" spans="1:12" x14ac:dyDescent="0.3">
      <c r="A941" t="s">
        <v>140</v>
      </c>
      <c r="B941" t="s">
        <v>70</v>
      </c>
      <c r="C941" s="5">
        <v>0.86</v>
      </c>
      <c r="D941" s="5">
        <v>0.65666666699999998</v>
      </c>
      <c r="E941">
        <v>11</v>
      </c>
      <c r="F941" s="2">
        <v>7.3248407643312099</v>
      </c>
      <c r="G941" s="3">
        <f t="shared" si="73"/>
        <v>42.139197172020175</v>
      </c>
      <c r="H941" s="3">
        <f t="shared" si="74"/>
        <v>22.606278839496117</v>
      </c>
      <c r="I941" s="3">
        <f t="shared" si="70"/>
        <v>4521.2557678992234</v>
      </c>
      <c r="J941" s="5">
        <f t="shared" si="72"/>
        <v>11.051351750578117</v>
      </c>
      <c r="K941" s="5">
        <f t="shared" si="71"/>
        <v>2210.2703501156234</v>
      </c>
      <c r="L941">
        <v>5</v>
      </c>
    </row>
    <row r="942" spans="1:12" x14ac:dyDescent="0.3">
      <c r="A942" t="s">
        <v>140</v>
      </c>
      <c r="B942" t="s">
        <v>70</v>
      </c>
      <c r="C942" s="5">
        <v>0.86</v>
      </c>
      <c r="D942" s="5">
        <v>0.65666666699999998</v>
      </c>
      <c r="E942">
        <v>10</v>
      </c>
      <c r="F942" s="2">
        <v>5.7324840764331206</v>
      </c>
      <c r="G942" s="3">
        <f t="shared" si="73"/>
        <v>25.809262540140899</v>
      </c>
      <c r="H942" s="3">
        <f t="shared" si="74"/>
        <v>12.765240854662688</v>
      </c>
      <c r="I942" s="3">
        <f t="shared" si="70"/>
        <v>2553.0481709325377</v>
      </c>
      <c r="J942" s="5">
        <f t="shared" si="72"/>
        <v>10.135848079029575</v>
      </c>
      <c r="K942" s="5">
        <f t="shared" si="71"/>
        <v>2027.1696158059149</v>
      </c>
      <c r="L942">
        <v>5</v>
      </c>
    </row>
    <row r="943" spans="1:12" x14ac:dyDescent="0.3">
      <c r="A943" t="s">
        <v>140</v>
      </c>
      <c r="B943" t="s">
        <v>64</v>
      </c>
      <c r="C943" s="5">
        <v>0.31264018999999998</v>
      </c>
      <c r="D943" s="5">
        <v>0.356821212</v>
      </c>
      <c r="E943">
        <v>13</v>
      </c>
      <c r="F943" s="2">
        <v>16.878980891719745</v>
      </c>
      <c r="G943" s="3">
        <f t="shared" si="73"/>
        <v>223.75993356560429</v>
      </c>
      <c r="H943" s="3">
        <f t="shared" si="74"/>
        <v>74.850628026252309</v>
      </c>
      <c r="I943" s="3">
        <f t="shared" si="70"/>
        <v>14970.125605250461</v>
      </c>
      <c r="J943" s="5">
        <f t="shared" si="72"/>
        <v>21.948649815408331</v>
      </c>
      <c r="K943" s="5">
        <f t="shared" si="71"/>
        <v>4389.729963081666</v>
      </c>
      <c r="L943">
        <v>5</v>
      </c>
    </row>
    <row r="944" spans="1:12" x14ac:dyDescent="0.3">
      <c r="A944" t="s">
        <v>140</v>
      </c>
      <c r="B944" t="s">
        <v>64</v>
      </c>
      <c r="C944" s="5">
        <v>0.31264018999999998</v>
      </c>
      <c r="D944" s="5">
        <v>0.356821212</v>
      </c>
      <c r="E944">
        <v>15</v>
      </c>
      <c r="F944" s="2">
        <v>24.840764331210192</v>
      </c>
      <c r="G944" s="3">
        <f t="shared" si="73"/>
        <v>484.64059658709033</v>
      </c>
      <c r="H944" s="3">
        <f t="shared" si="74"/>
        <v>182.99278743338132</v>
      </c>
      <c r="I944" s="3">
        <f t="shared" si="70"/>
        <v>36598.557486676269</v>
      </c>
      <c r="J944" s="5">
        <f t="shared" si="72"/>
        <v>41.38153755933304</v>
      </c>
      <c r="K944" s="5">
        <f t="shared" si="71"/>
        <v>8276.3075118666075</v>
      </c>
      <c r="L944">
        <v>5</v>
      </c>
    </row>
    <row r="945" spans="1:12" x14ac:dyDescent="0.3">
      <c r="A945" t="s">
        <v>140</v>
      </c>
      <c r="B945" t="s">
        <v>64</v>
      </c>
      <c r="C945" s="5">
        <v>0.31264018999999998</v>
      </c>
      <c r="D945" s="5">
        <v>0.356821212</v>
      </c>
      <c r="E945" s="1">
        <v>15.5</v>
      </c>
      <c r="F945" s="2">
        <v>27.070063694267514</v>
      </c>
      <c r="G945" s="3">
        <f t="shared" si="73"/>
        <v>575.53062300159877</v>
      </c>
      <c r="H945" s="3">
        <f t="shared" si="74"/>
        <v>223.45481624832695</v>
      </c>
      <c r="I945" s="3">
        <f t="shared" si="70"/>
        <v>44690.963249665387</v>
      </c>
      <c r="J945" s="5">
        <f t="shared" si="72"/>
        <v>48.739467901334741</v>
      </c>
      <c r="K945" s="5">
        <f t="shared" si="71"/>
        <v>9747.8935802669475</v>
      </c>
      <c r="L945">
        <v>5</v>
      </c>
    </row>
    <row r="946" spans="1:12" x14ac:dyDescent="0.3">
      <c r="A946" t="s">
        <v>140</v>
      </c>
      <c r="B946" t="s">
        <v>64</v>
      </c>
      <c r="C946" s="5">
        <v>0.31264018999999998</v>
      </c>
      <c r="D946" s="5">
        <v>0.356821212</v>
      </c>
      <c r="E946" s="1">
        <v>15.5</v>
      </c>
      <c r="F946" s="2">
        <v>31.847133757961782</v>
      </c>
      <c r="G946" s="3">
        <f t="shared" si="73"/>
        <v>796.58217716484251</v>
      </c>
      <c r="H946" s="3">
        <f t="shared" si="74"/>
        <v>306.87674336474038</v>
      </c>
      <c r="I946" s="3">
        <f t="shared" si="70"/>
        <v>61375.348672948079</v>
      </c>
      <c r="J946" s="5">
        <f t="shared" si="72"/>
        <v>64.008216126414851</v>
      </c>
      <c r="K946" s="5">
        <f t="shared" si="71"/>
        <v>12801.643225282971</v>
      </c>
      <c r="L946">
        <v>5</v>
      </c>
    </row>
    <row r="947" spans="1:12" x14ac:dyDescent="0.3">
      <c r="A947" t="s">
        <v>140</v>
      </c>
      <c r="B947" t="s">
        <v>9</v>
      </c>
      <c r="C947" s="5">
        <v>0.766138345</v>
      </c>
      <c r="D947" s="5">
        <v>0.90500000000000003</v>
      </c>
      <c r="E947">
        <v>12</v>
      </c>
      <c r="F947" s="2">
        <v>32.165605095541402</v>
      </c>
      <c r="G947" s="3">
        <f t="shared" si="73"/>
        <v>812.59347892585606</v>
      </c>
      <c r="H947" s="3">
        <f t="shared" si="74"/>
        <v>604.52410431436897</v>
      </c>
      <c r="I947" s="3">
        <f t="shared" si="70"/>
        <v>120904.82086287378</v>
      </c>
      <c r="J947" s="5">
        <f t="shared" si="72"/>
        <v>52.439998348817404</v>
      </c>
      <c r="K947" s="5">
        <f t="shared" si="71"/>
        <v>10487.999669763482</v>
      </c>
      <c r="L947">
        <v>5</v>
      </c>
    </row>
    <row r="948" spans="1:12" x14ac:dyDescent="0.3">
      <c r="A948" t="s">
        <v>140</v>
      </c>
      <c r="B948" t="s">
        <v>80</v>
      </c>
      <c r="C948" s="5">
        <v>0.6</v>
      </c>
      <c r="D948" s="5">
        <v>0.66674999999999995</v>
      </c>
      <c r="E948">
        <v>10</v>
      </c>
      <c r="F948" s="2">
        <v>8.9171974522292992</v>
      </c>
      <c r="G948" s="3">
        <f t="shared" si="73"/>
        <v>62.452042689723655</v>
      </c>
      <c r="H948" s="3">
        <f t="shared" si="74"/>
        <v>30.693667216158875</v>
      </c>
      <c r="I948" s="3">
        <f t="shared" si="70"/>
        <v>6138.7334432317748</v>
      </c>
      <c r="J948" s="5">
        <f t="shared" si="72"/>
        <v>11.768774364071565</v>
      </c>
      <c r="K948" s="5">
        <f t="shared" si="71"/>
        <v>2353.7548728143129</v>
      </c>
      <c r="L948">
        <v>5</v>
      </c>
    </row>
    <row r="949" spans="1:12" x14ac:dyDescent="0.3">
      <c r="A949" t="s">
        <v>140</v>
      </c>
      <c r="B949" t="s">
        <v>136</v>
      </c>
      <c r="C949" s="5">
        <v>0.83069230800000005</v>
      </c>
      <c r="D949" s="5">
        <v>0.78683697699999999</v>
      </c>
      <c r="E949">
        <v>8</v>
      </c>
      <c r="F949" s="2">
        <v>7.6433121019108281</v>
      </c>
      <c r="G949" s="3">
        <f t="shared" si="73"/>
        <v>45.883133404694938</v>
      </c>
      <c r="H949" s="3">
        <f t="shared" si="74"/>
        <v>21.477320063589957</v>
      </c>
      <c r="I949" s="3">
        <f t="shared" si="70"/>
        <v>4295.464012717991</v>
      </c>
      <c r="J949" s="5">
        <f t="shared" si="72"/>
        <v>10.621466156842063</v>
      </c>
      <c r="K949" s="5">
        <f t="shared" si="71"/>
        <v>2124.2932313684128</v>
      </c>
      <c r="L949">
        <v>5</v>
      </c>
    </row>
    <row r="950" spans="1:12" x14ac:dyDescent="0.3">
      <c r="A950" t="s">
        <v>140</v>
      </c>
      <c r="B950" t="s">
        <v>11</v>
      </c>
      <c r="C950" s="5">
        <v>0.89361000000000002</v>
      </c>
      <c r="D950" s="5">
        <v>0.61247410899999999</v>
      </c>
      <c r="E950">
        <v>3</v>
      </c>
      <c r="F950" s="2">
        <v>3.1847133757961781</v>
      </c>
      <c r="G950" s="3">
        <f t="shared" si="73"/>
        <v>7.9658217716484252</v>
      </c>
      <c r="H950" s="3">
        <f t="shared" si="74"/>
        <v>1.1691665044901833</v>
      </c>
      <c r="I950" s="3">
        <f t="shared" si="70"/>
        <v>233.83330089803667</v>
      </c>
      <c r="J950" s="5">
        <f t="shared" si="72"/>
        <v>9.0921951925027376</v>
      </c>
      <c r="K950" s="5">
        <f t="shared" si="71"/>
        <v>1818.4390385005474</v>
      </c>
      <c r="L950">
        <v>5</v>
      </c>
    </row>
    <row r="951" spans="1:12" x14ac:dyDescent="0.3">
      <c r="A951" t="s">
        <v>140</v>
      </c>
      <c r="B951" t="s">
        <v>61</v>
      </c>
      <c r="C951" s="5">
        <v>0.62643652800000005</v>
      </c>
      <c r="D951" s="5">
        <v>0.57808694400000005</v>
      </c>
      <c r="E951">
        <v>11</v>
      </c>
      <c r="F951" s="2">
        <v>15.923566878980891</v>
      </c>
      <c r="G951" s="3">
        <f t="shared" si="73"/>
        <v>199.14554429121063</v>
      </c>
      <c r="H951" s="3">
        <f t="shared" si="74"/>
        <v>90.887137505553852</v>
      </c>
      <c r="I951" s="3">
        <f t="shared" si="70"/>
        <v>18177.427501110771</v>
      </c>
      <c r="J951" s="5">
        <f t="shared" si="72"/>
        <v>18.747759312751022</v>
      </c>
      <c r="K951" s="5">
        <f t="shared" si="71"/>
        <v>3749.5518625502045</v>
      </c>
      <c r="L951">
        <v>5</v>
      </c>
    </row>
    <row r="952" spans="1:12" x14ac:dyDescent="0.3">
      <c r="A952" t="s">
        <v>140</v>
      </c>
      <c r="B952" t="s">
        <v>61</v>
      </c>
      <c r="C952" s="5">
        <v>0.62643652800000005</v>
      </c>
      <c r="D952" s="5">
        <v>0.57808694400000005</v>
      </c>
      <c r="E952">
        <v>4</v>
      </c>
      <c r="F952" s="2">
        <v>5.7324840764331206</v>
      </c>
      <c r="G952" s="3">
        <f t="shared" si="73"/>
        <v>25.809262540140899</v>
      </c>
      <c r="H952" s="3">
        <f t="shared" si="74"/>
        <v>4.6091007117282423</v>
      </c>
      <c r="I952" s="3">
        <f t="shared" si="70"/>
        <v>921.82014234564849</v>
      </c>
      <c r="J952" s="5">
        <f t="shared" si="72"/>
        <v>9.4457592316118291</v>
      </c>
      <c r="K952" s="5">
        <f t="shared" si="71"/>
        <v>1889.1518463223661</v>
      </c>
      <c r="L952">
        <v>5</v>
      </c>
    </row>
    <row r="953" spans="1:12" x14ac:dyDescent="0.3">
      <c r="A953" t="s">
        <v>140</v>
      </c>
      <c r="B953" t="s">
        <v>113</v>
      </c>
      <c r="C953" s="5">
        <v>0.56023871300000005</v>
      </c>
      <c r="D953" s="5">
        <v>0.74103703700000001</v>
      </c>
      <c r="E953">
        <v>11</v>
      </c>
      <c r="F953" s="2">
        <v>9.0764331210191074</v>
      </c>
      <c r="G953" s="3">
        <f t="shared" si="73"/>
        <v>64.702387340214344</v>
      </c>
      <c r="H953" s="3">
        <f t="shared" si="74"/>
        <v>38.65703808926672</v>
      </c>
      <c r="I953" s="3">
        <f t="shared" si="70"/>
        <v>7731.4076178533451</v>
      </c>
      <c r="J953" s="5">
        <f t="shared" si="72"/>
        <v>12.157393070712807</v>
      </c>
      <c r="K953" s="5">
        <f t="shared" si="71"/>
        <v>2431.4786141425616</v>
      </c>
      <c r="L953">
        <v>5</v>
      </c>
    </row>
    <row r="954" spans="1:12" x14ac:dyDescent="0.3">
      <c r="A954" t="s">
        <v>140</v>
      </c>
      <c r="B954" t="s">
        <v>114</v>
      </c>
      <c r="C954" s="5">
        <v>0.432770245</v>
      </c>
      <c r="D954" s="5">
        <v>0.61247410899999999</v>
      </c>
      <c r="E954">
        <v>10</v>
      </c>
      <c r="F954" s="2">
        <v>21.337579617834393</v>
      </c>
      <c r="G954" s="3">
        <f t="shared" si="73"/>
        <v>357.58573932929778</v>
      </c>
      <c r="H954" s="3">
        <f t="shared" si="74"/>
        <v>155.13294425383708</v>
      </c>
      <c r="I954" s="3">
        <f t="shared" si="70"/>
        <v>31026.588850767417</v>
      </c>
      <c r="J954" s="5">
        <f t="shared" si="72"/>
        <v>24.92093063815976</v>
      </c>
      <c r="K954" s="5">
        <f t="shared" si="71"/>
        <v>4984.1861276319523</v>
      </c>
      <c r="L954">
        <v>5</v>
      </c>
    </row>
    <row r="955" spans="1:12" x14ac:dyDescent="0.3">
      <c r="A955" t="s">
        <v>140</v>
      </c>
      <c r="B955" t="s">
        <v>17</v>
      </c>
      <c r="C955" s="5">
        <v>0.43836446099999998</v>
      </c>
      <c r="D955" s="5">
        <v>0.58666666700000003</v>
      </c>
      <c r="E955">
        <v>4</v>
      </c>
      <c r="F955" s="2">
        <v>9.2356687898089174</v>
      </c>
      <c r="G955" s="3">
        <f t="shared" si="73"/>
        <v>66.992561099563275</v>
      </c>
      <c r="H955" s="3">
        <f t="shared" si="74"/>
        <v>11.862325970362146</v>
      </c>
      <c r="I955" s="3">
        <f t="shared" si="70"/>
        <v>2372.4651940724293</v>
      </c>
      <c r="J955" s="5">
        <f t="shared" si="72"/>
        <v>10.179866091930707</v>
      </c>
      <c r="K955" s="5">
        <f t="shared" si="71"/>
        <v>2035.9732183861415</v>
      </c>
      <c r="L955">
        <v>5</v>
      </c>
    </row>
    <row r="956" spans="1:12" x14ac:dyDescent="0.3">
      <c r="A956" t="s">
        <v>141</v>
      </c>
      <c r="B956" t="s">
        <v>64</v>
      </c>
      <c r="C956" s="5">
        <v>0.31264018999999998</v>
      </c>
      <c r="D956" s="5">
        <v>0.356821212</v>
      </c>
      <c r="E956">
        <v>14</v>
      </c>
      <c r="F956" s="2">
        <v>25.477707006369425</v>
      </c>
      <c r="G956" s="3">
        <f t="shared" si="73"/>
        <v>509.81259338549921</v>
      </c>
      <c r="H956" s="3">
        <f t="shared" si="74"/>
        <v>179.74336036349547</v>
      </c>
      <c r="I956" s="3">
        <f t="shared" si="70"/>
        <v>35948.672072699097</v>
      </c>
      <c r="J956" s="5">
        <f t="shared" si="72"/>
        <v>40.792264160817879</v>
      </c>
      <c r="K956" s="5">
        <f t="shared" si="71"/>
        <v>8158.4528321635762</v>
      </c>
      <c r="L956">
        <v>5</v>
      </c>
    </row>
    <row r="957" spans="1:12" x14ac:dyDescent="0.3">
      <c r="A957" t="s">
        <v>141</v>
      </c>
      <c r="B957" t="s">
        <v>64</v>
      </c>
      <c r="C957" s="5">
        <v>0.31264018999999998</v>
      </c>
      <c r="D957" s="5">
        <v>0.356821212</v>
      </c>
      <c r="E957">
        <v>13</v>
      </c>
      <c r="F957" s="2">
        <v>21.97452229299363</v>
      </c>
      <c r="G957" s="3">
        <f t="shared" si="73"/>
        <v>379.25277454818155</v>
      </c>
      <c r="H957" s="3">
        <f t="shared" si="74"/>
        <v>125.26864397947459</v>
      </c>
      <c r="I957" s="3">
        <f t="shared" si="70"/>
        <v>25053.72879589492</v>
      </c>
      <c r="J957" s="5">
        <f t="shared" si="72"/>
        <v>30.956723165239971</v>
      </c>
      <c r="K957" s="5">
        <f t="shared" si="71"/>
        <v>6191.3446330479946</v>
      </c>
      <c r="L957">
        <v>5</v>
      </c>
    </row>
    <row r="958" spans="1:12" x14ac:dyDescent="0.3">
      <c r="A958" t="s">
        <v>141</v>
      </c>
      <c r="B958" t="s">
        <v>64</v>
      </c>
      <c r="C958" s="5">
        <v>0.31264018999999998</v>
      </c>
      <c r="D958" s="5">
        <v>0.356821212</v>
      </c>
      <c r="E958">
        <v>13</v>
      </c>
      <c r="F958" s="2">
        <v>28.662420382165603</v>
      </c>
      <c r="G958" s="3">
        <f t="shared" si="73"/>
        <v>645.23156350352247</v>
      </c>
      <c r="H958" s="3">
        <f t="shared" si="74"/>
        <v>210.42160533092499</v>
      </c>
      <c r="I958" s="3">
        <f t="shared" si="70"/>
        <v>42084.321066185003</v>
      </c>
      <c r="J958" s="5">
        <f t="shared" si="72"/>
        <v>46.365512568461185</v>
      </c>
      <c r="K958" s="5">
        <f t="shared" si="71"/>
        <v>9273.1025136922362</v>
      </c>
      <c r="L958">
        <v>5</v>
      </c>
    </row>
    <row r="959" spans="1:12" x14ac:dyDescent="0.3">
      <c r="A959" t="s">
        <v>141</v>
      </c>
      <c r="B959" t="s">
        <v>9</v>
      </c>
      <c r="C959" s="5">
        <v>0.766138345</v>
      </c>
      <c r="D959" s="5">
        <v>0.90500000000000003</v>
      </c>
      <c r="E959">
        <v>9</v>
      </c>
      <c r="F959" s="2">
        <v>21.656050955414013</v>
      </c>
      <c r="G959" s="3">
        <f t="shared" si="73"/>
        <v>368.33959872102326</v>
      </c>
      <c r="H959" s="3">
        <f t="shared" si="74"/>
        <v>210.90918394340522</v>
      </c>
      <c r="I959" s="3">
        <f t="shared" si="70"/>
        <v>42181.836788681045</v>
      </c>
      <c r="J959" s="5">
        <f t="shared" si="72"/>
        <v>23.758713103979879</v>
      </c>
      <c r="K959" s="5">
        <f t="shared" si="71"/>
        <v>4751.7426207959761</v>
      </c>
      <c r="L959">
        <v>5</v>
      </c>
    </row>
    <row r="960" spans="1:12" x14ac:dyDescent="0.3">
      <c r="A960" t="s">
        <v>141</v>
      </c>
      <c r="B960" t="s">
        <v>9</v>
      </c>
      <c r="C960" s="5">
        <v>0.766138345</v>
      </c>
      <c r="D960" s="5">
        <v>0.90500000000000003</v>
      </c>
      <c r="E960">
        <v>11</v>
      </c>
      <c r="F960" s="2">
        <v>15.605095541401273</v>
      </c>
      <c r="G960" s="3">
        <f t="shared" si="73"/>
        <v>191.25938073727869</v>
      </c>
      <c r="H960" s="3">
        <f t="shared" si="74"/>
        <v>135.31919745188199</v>
      </c>
      <c r="I960" s="3">
        <f t="shared" si="70"/>
        <v>27063.839490376395</v>
      </c>
      <c r="J960" s="5">
        <f t="shared" si="72"/>
        <v>18.36118176396608</v>
      </c>
      <c r="K960" s="5">
        <f t="shared" si="71"/>
        <v>3672.2363527932162</v>
      </c>
      <c r="L960">
        <v>5</v>
      </c>
    </row>
    <row r="961" spans="1:12" x14ac:dyDescent="0.3">
      <c r="A961" t="s">
        <v>141</v>
      </c>
      <c r="B961" t="s">
        <v>9</v>
      </c>
      <c r="C961" s="5">
        <v>0.766138345</v>
      </c>
      <c r="D961" s="5">
        <v>0.90500000000000003</v>
      </c>
      <c r="E961" s="1">
        <v>6.5</v>
      </c>
      <c r="F961" s="2">
        <v>9.872611464968152</v>
      </c>
      <c r="G961" s="3">
        <f t="shared" si="73"/>
        <v>76.55154722554137</v>
      </c>
      <c r="H961" s="3">
        <f t="shared" si="74"/>
        <v>33.131329748536459</v>
      </c>
      <c r="I961" s="3">
        <f t="shared" si="70"/>
        <v>6626.2659497072918</v>
      </c>
      <c r="J961" s="5">
        <f t="shared" si="72"/>
        <v>11.203107399894519</v>
      </c>
      <c r="K961" s="5">
        <f t="shared" si="71"/>
        <v>2240.6214799789041</v>
      </c>
      <c r="L961">
        <v>5</v>
      </c>
    </row>
    <row r="962" spans="1:12" x14ac:dyDescent="0.3">
      <c r="A962" t="s">
        <v>141</v>
      </c>
      <c r="B962" t="s">
        <v>32</v>
      </c>
      <c r="C962" s="5">
        <v>0.39790071399999999</v>
      </c>
      <c r="D962" s="5">
        <v>0.50565277799999997</v>
      </c>
      <c r="E962">
        <v>13</v>
      </c>
      <c r="F962" s="2">
        <v>9.0764331210191074</v>
      </c>
      <c r="G962" s="3">
        <f t="shared" si="73"/>
        <v>64.702387340214344</v>
      </c>
      <c r="H962" s="3">
        <f t="shared" si="74"/>
        <v>31.335325458701767</v>
      </c>
      <c r="I962" s="3">
        <f t="shared" ref="I962:I1025" si="75">(H962*1000)/L962</f>
        <v>6267.0650917403536</v>
      </c>
      <c r="J962" s="5">
        <f t="shared" si="72"/>
        <v>12.734064538115137</v>
      </c>
      <c r="K962" s="5">
        <f t="shared" ref="K962:K1025" si="76">(J962*1000)/L962</f>
        <v>2546.8129076230275</v>
      </c>
      <c r="L962">
        <v>5</v>
      </c>
    </row>
    <row r="963" spans="1:12" x14ac:dyDescent="0.3">
      <c r="A963" t="s">
        <v>141</v>
      </c>
      <c r="B963" t="s">
        <v>61</v>
      </c>
      <c r="C963" s="5">
        <v>0.62643652800000005</v>
      </c>
      <c r="D963" s="5">
        <v>0.57808694400000005</v>
      </c>
      <c r="E963">
        <v>13</v>
      </c>
      <c r="F963" s="2">
        <v>15.923566878980891</v>
      </c>
      <c r="G963" s="3">
        <f t="shared" si="73"/>
        <v>199.14554429121063</v>
      </c>
      <c r="H963" s="3">
        <f t="shared" si="74"/>
        <v>106.98228673373076</v>
      </c>
      <c r="I963" s="3">
        <f t="shared" si="75"/>
        <v>21396.457346746152</v>
      </c>
      <c r="J963" s="5">
        <f t="shared" ref="J963:J1026" si="77">8.9857 + 0.0035 * F963^2 * E963</f>
        <v>20.522679187796662</v>
      </c>
      <c r="K963" s="5">
        <f t="shared" si="76"/>
        <v>4104.5358375593323</v>
      </c>
      <c r="L963">
        <v>5</v>
      </c>
    </row>
    <row r="964" spans="1:12" x14ac:dyDescent="0.3">
      <c r="A964" t="s">
        <v>141</v>
      </c>
      <c r="B964" t="s">
        <v>61</v>
      </c>
      <c r="C964" s="5">
        <v>0.62643652800000005</v>
      </c>
      <c r="D964" s="5">
        <v>0.57808694400000005</v>
      </c>
      <c r="E964">
        <v>5</v>
      </c>
      <c r="F964" s="2">
        <v>5.7324840764331206</v>
      </c>
      <c r="G964" s="3">
        <f t="shared" ref="G964:G1027" si="78">PI()*(F964/2)^2</f>
        <v>25.809262540140899</v>
      </c>
      <c r="H964" s="3">
        <f t="shared" ref="H964:H1027" si="79">0.0673 * ((D964 * F964^2 * E964)^0.976)</f>
        <v>5.7306036297489085</v>
      </c>
      <c r="I964" s="3">
        <f t="shared" si="75"/>
        <v>1146.1207259497817</v>
      </c>
      <c r="J964" s="5">
        <f t="shared" si="77"/>
        <v>9.5607740395147864</v>
      </c>
      <c r="K964" s="5">
        <f t="shared" si="76"/>
        <v>1912.1548079029574</v>
      </c>
      <c r="L964">
        <v>5</v>
      </c>
    </row>
    <row r="965" spans="1:12" x14ac:dyDescent="0.3">
      <c r="A965" t="s">
        <v>141</v>
      </c>
      <c r="B965" t="s">
        <v>61</v>
      </c>
      <c r="C965" s="5">
        <v>0.62643652800000005</v>
      </c>
      <c r="D965" s="5">
        <v>0.57808694400000005</v>
      </c>
      <c r="E965">
        <v>12</v>
      </c>
      <c r="F965" s="2">
        <v>19.745222929936304</v>
      </c>
      <c r="G965" s="3">
        <f t="shared" si="78"/>
        <v>306.20618890216548</v>
      </c>
      <c r="H965" s="3">
        <f t="shared" si="79"/>
        <v>150.57164336025434</v>
      </c>
      <c r="I965" s="3">
        <f t="shared" si="75"/>
        <v>30114.328672050869</v>
      </c>
      <c r="J965" s="5">
        <f t="shared" si="77"/>
        <v>25.360400799221061</v>
      </c>
      <c r="K965" s="5">
        <f t="shared" si="76"/>
        <v>5072.0801598442122</v>
      </c>
      <c r="L965">
        <v>5</v>
      </c>
    </row>
    <row r="966" spans="1:12" x14ac:dyDescent="0.3">
      <c r="A966" t="s">
        <v>141</v>
      </c>
      <c r="B966" t="s">
        <v>61</v>
      </c>
      <c r="C966" s="5">
        <v>0.62643652800000005</v>
      </c>
      <c r="D966" s="5">
        <v>0.57808694400000005</v>
      </c>
      <c r="E966">
        <v>6</v>
      </c>
      <c r="F966" s="2">
        <v>13.694267515923567</v>
      </c>
      <c r="G966" s="3">
        <f t="shared" si="78"/>
        <v>147.28804455777941</v>
      </c>
      <c r="H966" s="3">
        <f t="shared" si="79"/>
        <v>37.473112077550844</v>
      </c>
      <c r="I966" s="3">
        <f t="shared" si="75"/>
        <v>7494.622415510169</v>
      </c>
      <c r="J966" s="5">
        <f t="shared" si="77"/>
        <v>12.923892218751266</v>
      </c>
      <c r="K966" s="5">
        <f t="shared" si="76"/>
        <v>2584.7784437502532</v>
      </c>
      <c r="L966">
        <v>5</v>
      </c>
    </row>
    <row r="967" spans="1:12" x14ac:dyDescent="0.3">
      <c r="A967" t="s">
        <v>141</v>
      </c>
      <c r="B967" t="s">
        <v>61</v>
      </c>
      <c r="C967" s="5">
        <v>0.62643652800000005</v>
      </c>
      <c r="D967" s="5">
        <v>0.57808694400000005</v>
      </c>
      <c r="E967" s="1">
        <v>4.5</v>
      </c>
      <c r="F967" s="2">
        <v>13.694267515923567</v>
      </c>
      <c r="G967" s="3">
        <f t="shared" si="78"/>
        <v>147.28804455777941</v>
      </c>
      <c r="H967" s="3">
        <f t="shared" si="79"/>
        <v>28.299551651559007</v>
      </c>
      <c r="I967" s="3">
        <f t="shared" si="75"/>
        <v>5659.9103303118009</v>
      </c>
      <c r="J967" s="5">
        <f t="shared" si="77"/>
        <v>11.939344164063451</v>
      </c>
      <c r="K967" s="5">
        <f t="shared" si="76"/>
        <v>2387.8688328126905</v>
      </c>
      <c r="L967">
        <v>5</v>
      </c>
    </row>
    <row r="968" spans="1:12" x14ac:dyDescent="0.3">
      <c r="A968" t="s">
        <v>141</v>
      </c>
      <c r="B968" t="s">
        <v>26</v>
      </c>
      <c r="C968" s="5">
        <v>0.63400000000000001</v>
      </c>
      <c r="D968" s="5">
        <v>0.73247777800000002</v>
      </c>
      <c r="E968">
        <v>10</v>
      </c>
      <c r="F968" s="2">
        <v>14.808917197452228</v>
      </c>
      <c r="G968" s="3">
        <f t="shared" si="78"/>
        <v>172.24098125746809</v>
      </c>
      <c r="H968" s="3">
        <f t="shared" si="79"/>
        <v>90.555731245246392</v>
      </c>
      <c r="I968" s="3">
        <f t="shared" si="75"/>
        <v>18111.146249049278</v>
      </c>
      <c r="J968" s="5">
        <f t="shared" si="77"/>
        <v>16.661340999634874</v>
      </c>
      <c r="K968" s="5">
        <f t="shared" si="76"/>
        <v>3332.2681999269748</v>
      </c>
      <c r="L968">
        <v>5</v>
      </c>
    </row>
    <row r="969" spans="1:12" x14ac:dyDescent="0.3">
      <c r="A969" t="s">
        <v>141</v>
      </c>
      <c r="B969" t="s">
        <v>114</v>
      </c>
      <c r="C969" s="5">
        <v>0.432770245</v>
      </c>
      <c r="D969" s="5">
        <v>0.61247410899999999</v>
      </c>
      <c r="E969">
        <v>13</v>
      </c>
      <c r="F969" s="2">
        <v>29.29936305732484</v>
      </c>
      <c r="G969" s="3">
        <f t="shared" si="78"/>
        <v>674.2271547523228</v>
      </c>
      <c r="H969" s="3">
        <f t="shared" si="79"/>
        <v>372.159038452424</v>
      </c>
      <c r="I969" s="3">
        <f t="shared" si="75"/>
        <v>74431.807690484799</v>
      </c>
      <c r="J969" s="5">
        <f t="shared" si="77"/>
        <v>48.045296738204392</v>
      </c>
      <c r="K969" s="5">
        <f t="shared" si="76"/>
        <v>9609.0593476408794</v>
      </c>
      <c r="L969">
        <v>5</v>
      </c>
    </row>
    <row r="970" spans="1:12" x14ac:dyDescent="0.3">
      <c r="A970" t="s">
        <v>141</v>
      </c>
      <c r="B970" t="s">
        <v>114</v>
      </c>
      <c r="C970" s="5">
        <v>0.432770245</v>
      </c>
      <c r="D970" s="5">
        <v>0.61247410899999999</v>
      </c>
      <c r="E970">
        <v>12</v>
      </c>
      <c r="F970" s="2">
        <v>27.388535031847134</v>
      </c>
      <c r="G970" s="3">
        <f t="shared" si="78"/>
        <v>589.15217823111766</v>
      </c>
      <c r="H970" s="3">
        <f t="shared" si="79"/>
        <v>301.73653104151066</v>
      </c>
      <c r="I970" s="3">
        <f t="shared" si="75"/>
        <v>60347.306208302129</v>
      </c>
      <c r="J970" s="5">
        <f t="shared" si="77"/>
        <v>40.491237750010143</v>
      </c>
      <c r="K970" s="5">
        <f t="shared" si="76"/>
        <v>8098.2475500020282</v>
      </c>
      <c r="L970">
        <v>5</v>
      </c>
    </row>
    <row r="971" spans="1:12" x14ac:dyDescent="0.3">
      <c r="A971" t="s">
        <v>141</v>
      </c>
      <c r="B971" t="s">
        <v>114</v>
      </c>
      <c r="C971" s="5">
        <v>0.432770245</v>
      </c>
      <c r="D971" s="5">
        <v>0.61247410899999999</v>
      </c>
      <c r="E971">
        <v>11</v>
      </c>
      <c r="F971" s="2">
        <v>21.019108280254777</v>
      </c>
      <c r="G971" s="3">
        <f t="shared" si="78"/>
        <v>346.99119637300544</v>
      </c>
      <c r="H971" s="3">
        <f t="shared" si="79"/>
        <v>165.33128568949004</v>
      </c>
      <c r="I971" s="3">
        <f t="shared" si="75"/>
        <v>33066.257137898006</v>
      </c>
      <c r="J971" s="5">
        <f t="shared" si="77"/>
        <v>25.995112146537387</v>
      </c>
      <c r="K971" s="5">
        <f t="shared" si="76"/>
        <v>5199.0224293074771</v>
      </c>
      <c r="L971">
        <v>5</v>
      </c>
    </row>
    <row r="972" spans="1:12" x14ac:dyDescent="0.3">
      <c r="A972" t="s">
        <v>141</v>
      </c>
      <c r="B972" t="s">
        <v>114</v>
      </c>
      <c r="C972" s="5">
        <v>0.432770245</v>
      </c>
      <c r="D972" s="5">
        <v>0.61247410899999999</v>
      </c>
      <c r="E972">
        <v>8</v>
      </c>
      <c r="F972" s="2">
        <v>16.560509554140125</v>
      </c>
      <c r="G972" s="3">
        <f t="shared" si="78"/>
        <v>215.39582070537341</v>
      </c>
      <c r="H972" s="3">
        <f t="shared" si="79"/>
        <v>76.078225490000762</v>
      </c>
      <c r="I972" s="3">
        <f t="shared" si="75"/>
        <v>15215.645098000154</v>
      </c>
      <c r="J972" s="5">
        <f t="shared" si="77"/>
        <v>16.664713347397459</v>
      </c>
      <c r="K972" s="5">
        <f t="shared" si="76"/>
        <v>3332.942669479492</v>
      </c>
      <c r="L972">
        <v>5</v>
      </c>
    </row>
    <row r="973" spans="1:12" x14ac:dyDescent="0.3">
      <c r="A973" t="s">
        <v>141</v>
      </c>
      <c r="B973" t="s">
        <v>17</v>
      </c>
      <c r="C973" s="5">
        <v>0.43836446099999998</v>
      </c>
      <c r="D973" s="5">
        <v>0.58666666700000003</v>
      </c>
      <c r="E973">
        <v>6</v>
      </c>
      <c r="F973" s="2">
        <v>12.420382165605096</v>
      </c>
      <c r="G973" s="3">
        <f t="shared" si="78"/>
        <v>121.16014914677258</v>
      </c>
      <c r="H973" s="3">
        <f t="shared" si="79"/>
        <v>31.418984492347377</v>
      </c>
      <c r="I973" s="3">
        <f t="shared" si="75"/>
        <v>6283.7968984694753</v>
      </c>
      <c r="J973" s="5">
        <f t="shared" si="77"/>
        <v>12.225283755933305</v>
      </c>
      <c r="K973" s="5">
        <f t="shared" si="76"/>
        <v>2445.0567511866607</v>
      </c>
      <c r="L973">
        <v>5</v>
      </c>
    </row>
    <row r="974" spans="1:12" x14ac:dyDescent="0.3">
      <c r="A974" t="s">
        <v>142</v>
      </c>
      <c r="B974" t="s">
        <v>21</v>
      </c>
      <c r="C974" s="5">
        <v>0.80908761900000004</v>
      </c>
      <c r="D974" s="5">
        <v>0.87473809499999999</v>
      </c>
      <c r="E974">
        <v>7</v>
      </c>
      <c r="F974" s="2">
        <v>15.286624203821656</v>
      </c>
      <c r="G974" s="3">
        <f t="shared" si="78"/>
        <v>183.53253361877975</v>
      </c>
      <c r="H974" s="3">
        <f t="shared" si="79"/>
        <v>80.887225901831158</v>
      </c>
      <c r="I974" s="3">
        <f t="shared" si="75"/>
        <v>20221.80647545779</v>
      </c>
      <c r="J974" s="5">
        <f t="shared" si="77"/>
        <v>14.710881548947217</v>
      </c>
      <c r="K974" s="5">
        <f t="shared" si="76"/>
        <v>3677.7203872368041</v>
      </c>
      <c r="L974">
        <v>4</v>
      </c>
    </row>
    <row r="975" spans="1:12" x14ac:dyDescent="0.3">
      <c r="A975" t="s">
        <v>142</v>
      </c>
      <c r="B975" t="s">
        <v>55</v>
      </c>
      <c r="C975" s="5">
        <v>0.41</v>
      </c>
      <c r="D975" s="5">
        <v>0.33983503399999998</v>
      </c>
      <c r="E975">
        <v>7</v>
      </c>
      <c r="F975" s="2">
        <v>9.872611464968152</v>
      </c>
      <c r="G975" s="3">
        <f t="shared" si="78"/>
        <v>76.55154722554137</v>
      </c>
      <c r="H975" s="3">
        <f t="shared" si="79"/>
        <v>13.692407566419806</v>
      </c>
      <c r="I975" s="3">
        <f t="shared" si="75"/>
        <v>3423.1018916049516</v>
      </c>
      <c r="J975" s="5">
        <f t="shared" si="77"/>
        <v>11.373677199886405</v>
      </c>
      <c r="K975" s="5">
        <f t="shared" si="76"/>
        <v>2843.419299971601</v>
      </c>
      <c r="L975">
        <v>4</v>
      </c>
    </row>
    <row r="976" spans="1:12" x14ac:dyDescent="0.3">
      <c r="A976" t="s">
        <v>142</v>
      </c>
      <c r="B976" t="s">
        <v>9</v>
      </c>
      <c r="C976" s="5">
        <v>0.766138345</v>
      </c>
      <c r="D976" s="5">
        <v>0.90500000000000003</v>
      </c>
      <c r="E976">
        <v>4</v>
      </c>
      <c r="F976" s="2">
        <v>5.8917197452229297</v>
      </c>
      <c r="G976" s="3">
        <f t="shared" si="78"/>
        <v>27.263025013466741</v>
      </c>
      <c r="H976" s="3">
        <f t="shared" si="79"/>
        <v>7.5305582094892261</v>
      </c>
      <c r="I976" s="3">
        <f t="shared" si="75"/>
        <v>1882.6395523723065</v>
      </c>
      <c r="J976" s="5">
        <f t="shared" si="77"/>
        <v>9.4716730617874951</v>
      </c>
      <c r="K976" s="5">
        <f t="shared" si="76"/>
        <v>2367.9182654468736</v>
      </c>
      <c r="L976">
        <v>4</v>
      </c>
    </row>
    <row r="977" spans="1:12" x14ac:dyDescent="0.3">
      <c r="A977" t="s">
        <v>142</v>
      </c>
      <c r="B977" t="s">
        <v>80</v>
      </c>
      <c r="C977" s="5">
        <v>0.6</v>
      </c>
      <c r="D977" s="5">
        <v>0.66674999999999995</v>
      </c>
      <c r="E977">
        <v>8</v>
      </c>
      <c r="F977" s="2">
        <v>21.019108280254777</v>
      </c>
      <c r="G977" s="3">
        <f t="shared" si="78"/>
        <v>346.99119637300544</v>
      </c>
      <c r="H977" s="3">
        <f t="shared" si="79"/>
        <v>131.63212502083996</v>
      </c>
      <c r="I977" s="3">
        <f t="shared" si="75"/>
        <v>32908.031255209993</v>
      </c>
      <c r="J977" s="5">
        <f t="shared" si="77"/>
        <v>21.356181561118099</v>
      </c>
      <c r="K977" s="5">
        <f t="shared" si="76"/>
        <v>5339.0453902795243</v>
      </c>
      <c r="L977">
        <v>4</v>
      </c>
    </row>
    <row r="978" spans="1:12" x14ac:dyDescent="0.3">
      <c r="A978" t="s">
        <v>142</v>
      </c>
      <c r="B978" t="s">
        <v>80</v>
      </c>
      <c r="C978" s="5">
        <v>0.6</v>
      </c>
      <c r="D978" s="5">
        <v>0.66674999999999995</v>
      </c>
      <c r="E978">
        <v>8</v>
      </c>
      <c r="F978" s="2">
        <v>10.987261146496815</v>
      </c>
      <c r="G978" s="3">
        <f t="shared" si="78"/>
        <v>94.813193637045387</v>
      </c>
      <c r="H978" s="3">
        <f t="shared" si="79"/>
        <v>37.105219397493919</v>
      </c>
      <c r="I978" s="3">
        <f t="shared" si="75"/>
        <v>9276.3048493734805</v>
      </c>
      <c r="J978" s="5">
        <f t="shared" si="77"/>
        <v>12.365857410036918</v>
      </c>
      <c r="K978" s="5">
        <f t="shared" si="76"/>
        <v>3091.4643525092297</v>
      </c>
      <c r="L978">
        <v>4</v>
      </c>
    </row>
    <row r="979" spans="1:12" x14ac:dyDescent="0.3">
      <c r="A979" t="s">
        <v>142</v>
      </c>
      <c r="B979" t="s">
        <v>80</v>
      </c>
      <c r="C979" s="5">
        <v>0.6</v>
      </c>
      <c r="D979" s="5">
        <v>0.66674999999999995</v>
      </c>
      <c r="E979" s="1">
        <v>6.5</v>
      </c>
      <c r="F979" s="2">
        <v>8.2802547770700627</v>
      </c>
      <c r="G979" s="3">
        <f t="shared" si="78"/>
        <v>53.848955176343352</v>
      </c>
      <c r="H979" s="3">
        <f t="shared" si="79"/>
        <v>17.443262413146194</v>
      </c>
      <c r="I979" s="3">
        <f t="shared" si="75"/>
        <v>4360.8156032865481</v>
      </c>
      <c r="J979" s="5">
        <f t="shared" si="77"/>
        <v>10.545499586190108</v>
      </c>
      <c r="K979" s="5">
        <f t="shared" si="76"/>
        <v>2636.374896547527</v>
      </c>
      <c r="L979">
        <v>4</v>
      </c>
    </row>
    <row r="980" spans="1:12" x14ac:dyDescent="0.3">
      <c r="A980" t="s">
        <v>142</v>
      </c>
      <c r="B980" t="s">
        <v>10</v>
      </c>
      <c r="C980" s="5">
        <v>0.47982689899999997</v>
      </c>
      <c r="D980" s="5">
        <v>0.51</v>
      </c>
      <c r="E980" s="1">
        <v>1.2</v>
      </c>
      <c r="F980" s="2">
        <v>2.0700636942675157</v>
      </c>
      <c r="G980" s="3">
        <f t="shared" si="78"/>
        <v>3.3655596985214595</v>
      </c>
      <c r="H980" s="3">
        <f t="shared" si="79"/>
        <v>0.17245851865079584</v>
      </c>
      <c r="I980" s="3">
        <f t="shared" si="75"/>
        <v>43.11462966269896</v>
      </c>
      <c r="J980" s="5">
        <f t="shared" si="77"/>
        <v>9.0036976875329628</v>
      </c>
      <c r="K980" s="5">
        <f t="shared" si="76"/>
        <v>2250.9244218832409</v>
      </c>
      <c r="L980">
        <v>4</v>
      </c>
    </row>
    <row r="981" spans="1:12" x14ac:dyDescent="0.3">
      <c r="A981" t="s">
        <v>142</v>
      </c>
      <c r="B981" t="s">
        <v>121</v>
      </c>
      <c r="C981" s="5">
        <v>0.490852183</v>
      </c>
      <c r="D981" s="5">
        <v>0.607288889</v>
      </c>
      <c r="E981" s="1">
        <v>6.5</v>
      </c>
      <c r="F981" s="2">
        <v>20.541401273885349</v>
      </c>
      <c r="G981" s="3">
        <f t="shared" si="78"/>
        <v>331.39810025500361</v>
      </c>
      <c r="H981" s="3">
        <f t="shared" si="79"/>
        <v>93.813694099441264</v>
      </c>
      <c r="I981" s="3">
        <f t="shared" si="75"/>
        <v>23453.423524860315</v>
      </c>
      <c r="J981" s="5">
        <f t="shared" si="77"/>
        <v>18.585043533206214</v>
      </c>
      <c r="K981" s="5">
        <f t="shared" si="76"/>
        <v>4646.2608833015538</v>
      </c>
      <c r="L981">
        <v>4</v>
      </c>
    </row>
    <row r="982" spans="1:12" x14ac:dyDescent="0.3">
      <c r="A982" t="s">
        <v>142</v>
      </c>
      <c r="B982" t="s">
        <v>11</v>
      </c>
      <c r="C982" s="5">
        <v>0.89361000000000002</v>
      </c>
      <c r="D982" s="5">
        <v>0.61247410899999999</v>
      </c>
      <c r="E982">
        <v>5</v>
      </c>
      <c r="F982" s="2">
        <v>4.2993630573248405</v>
      </c>
      <c r="G982" s="3">
        <f t="shared" si="78"/>
        <v>14.517710178829255</v>
      </c>
      <c r="H982" s="3">
        <f t="shared" si="79"/>
        <v>3.4578986530820592</v>
      </c>
      <c r="I982" s="3">
        <f t="shared" si="75"/>
        <v>864.47466327051484</v>
      </c>
      <c r="J982" s="5">
        <f t="shared" si="77"/>
        <v>9.3091791472270682</v>
      </c>
      <c r="K982" s="5">
        <f t="shared" si="76"/>
        <v>2327.2947868067672</v>
      </c>
      <c r="L982">
        <v>4</v>
      </c>
    </row>
    <row r="983" spans="1:12" x14ac:dyDescent="0.3">
      <c r="A983" t="s">
        <v>142</v>
      </c>
      <c r="B983" t="s">
        <v>33</v>
      </c>
      <c r="C983" s="5">
        <v>1082380952</v>
      </c>
      <c r="D983" s="5">
        <v>0.61247410899999999</v>
      </c>
      <c r="E983">
        <v>3</v>
      </c>
      <c r="F983" s="2">
        <v>1.910828025477707</v>
      </c>
      <c r="G983" s="3">
        <f t="shared" si="78"/>
        <v>2.8676958377934336</v>
      </c>
      <c r="H983" s="3">
        <f t="shared" si="79"/>
        <v>0.43134781801443484</v>
      </c>
      <c r="I983" s="3">
        <f t="shared" si="75"/>
        <v>107.83695450360871</v>
      </c>
      <c r="J983" s="5">
        <f t="shared" si="77"/>
        <v>9.024038269300986</v>
      </c>
      <c r="K983" s="5">
        <f t="shared" si="76"/>
        <v>2256.0095673252463</v>
      </c>
      <c r="L983">
        <v>4</v>
      </c>
    </row>
    <row r="984" spans="1:12" x14ac:dyDescent="0.3">
      <c r="A984" t="s">
        <v>142</v>
      </c>
      <c r="B984" t="s">
        <v>117</v>
      </c>
      <c r="C984" s="5">
        <v>0.85750000000000004</v>
      </c>
      <c r="D984" s="5">
        <v>0.61247410899999999</v>
      </c>
      <c r="E984" s="1">
        <v>8.6999999999999993</v>
      </c>
      <c r="F984" s="2">
        <v>17.67515923566879</v>
      </c>
      <c r="G984" s="3">
        <f t="shared" si="78"/>
        <v>245.36722512120065</v>
      </c>
      <c r="H984" s="3">
        <f t="shared" si="79"/>
        <v>93.764126850526395</v>
      </c>
      <c r="I984" s="3">
        <f t="shared" si="75"/>
        <v>23441.0317126316</v>
      </c>
      <c r="J984" s="5">
        <f t="shared" si="77"/>
        <v>18.498622684490243</v>
      </c>
      <c r="K984" s="5">
        <f t="shared" si="76"/>
        <v>4624.6556711225612</v>
      </c>
      <c r="L984">
        <v>4</v>
      </c>
    </row>
    <row r="985" spans="1:12" x14ac:dyDescent="0.3">
      <c r="A985" t="s">
        <v>142</v>
      </c>
      <c r="B985" t="s">
        <v>117</v>
      </c>
      <c r="C985" s="5">
        <v>0.85750000000000004</v>
      </c>
      <c r="D985" s="5">
        <v>0.61247410899999999</v>
      </c>
      <c r="E985">
        <v>6</v>
      </c>
      <c r="F985" s="2">
        <v>5.4140127388535033</v>
      </c>
      <c r="G985" s="3">
        <f t="shared" si="78"/>
        <v>23.021224920063954</v>
      </c>
      <c r="H985" s="3">
        <f t="shared" si="79"/>
        <v>6.4791485162377525</v>
      </c>
      <c r="I985" s="3">
        <f t="shared" si="75"/>
        <v>1619.787129059438</v>
      </c>
      <c r="J985" s="5">
        <f t="shared" si="77"/>
        <v>9.6012422126658272</v>
      </c>
      <c r="K985" s="5">
        <f t="shared" si="76"/>
        <v>2400.3105531664569</v>
      </c>
      <c r="L985">
        <v>4</v>
      </c>
    </row>
    <row r="986" spans="1:12" x14ac:dyDescent="0.3">
      <c r="A986" t="s">
        <v>142</v>
      </c>
      <c r="B986" t="s">
        <v>117</v>
      </c>
      <c r="C986" s="5">
        <v>0.85750000000000004</v>
      </c>
      <c r="D986" s="5">
        <v>0.61247410899999999</v>
      </c>
      <c r="E986">
        <v>6</v>
      </c>
      <c r="F986" s="2">
        <v>4.4585987261146496</v>
      </c>
      <c r="G986" s="3">
        <f t="shared" si="78"/>
        <v>15.613010672430914</v>
      </c>
      <c r="H986" s="3">
        <f t="shared" si="79"/>
        <v>4.4353057770243076</v>
      </c>
      <c r="I986" s="3">
        <f t="shared" si="75"/>
        <v>1108.8264442560769</v>
      </c>
      <c r="J986" s="5">
        <f t="shared" si="77"/>
        <v>9.4031611546107339</v>
      </c>
      <c r="K986" s="5">
        <f t="shared" si="76"/>
        <v>2350.7902886526836</v>
      </c>
      <c r="L986">
        <v>4</v>
      </c>
    </row>
    <row r="987" spans="1:12" x14ac:dyDescent="0.3">
      <c r="A987" t="s">
        <v>142</v>
      </c>
      <c r="B987" t="s">
        <v>117</v>
      </c>
      <c r="C987" s="5">
        <v>0.85750000000000004</v>
      </c>
      <c r="D987" s="5">
        <v>0.61247410899999999</v>
      </c>
      <c r="E987" s="1">
        <v>5.7</v>
      </c>
      <c r="F987" s="2">
        <v>7.3248407643312099</v>
      </c>
      <c r="G987" s="3">
        <f t="shared" si="78"/>
        <v>42.139197172020175</v>
      </c>
      <c r="H987" s="3">
        <f t="shared" si="79"/>
        <v>11.118152205989176</v>
      </c>
      <c r="I987" s="3">
        <f t="shared" si="75"/>
        <v>2779.538051497294</v>
      </c>
      <c r="J987" s="5">
        <f t="shared" si="77"/>
        <v>10.056083179845023</v>
      </c>
      <c r="K987" s="5">
        <f t="shared" si="76"/>
        <v>2514.0207949612559</v>
      </c>
      <c r="L987">
        <v>4</v>
      </c>
    </row>
    <row r="988" spans="1:12" x14ac:dyDescent="0.3">
      <c r="A988" t="s">
        <v>142</v>
      </c>
      <c r="B988" t="s">
        <v>117</v>
      </c>
      <c r="C988" s="5">
        <v>0.85750000000000004</v>
      </c>
      <c r="D988" s="5">
        <v>0.61247410899999999</v>
      </c>
      <c r="E988" s="1">
        <v>5.5</v>
      </c>
      <c r="F988" s="2">
        <v>5.4140127388535033</v>
      </c>
      <c r="G988" s="3">
        <f t="shared" si="78"/>
        <v>23.021224920063954</v>
      </c>
      <c r="H988" s="3">
        <f t="shared" si="79"/>
        <v>5.9516351443122542</v>
      </c>
      <c r="I988" s="3">
        <f t="shared" si="75"/>
        <v>1487.9087860780635</v>
      </c>
      <c r="J988" s="5">
        <f t="shared" si="77"/>
        <v>9.5499470282770087</v>
      </c>
      <c r="K988" s="5">
        <f t="shared" si="76"/>
        <v>2387.4867570692522</v>
      </c>
      <c r="L988">
        <v>4</v>
      </c>
    </row>
    <row r="989" spans="1:12" x14ac:dyDescent="0.3">
      <c r="A989" t="s">
        <v>142</v>
      </c>
      <c r="B989" t="s">
        <v>143</v>
      </c>
      <c r="C989" s="5">
        <v>0.93384615400000004</v>
      </c>
      <c r="D989" s="5">
        <v>0.61247410899999999</v>
      </c>
      <c r="E989">
        <v>2</v>
      </c>
      <c r="F989" s="2">
        <v>3.5031847133757958</v>
      </c>
      <c r="G989" s="3">
        <f t="shared" si="78"/>
        <v>9.6386443436945939</v>
      </c>
      <c r="H989" s="3">
        <f t="shared" si="79"/>
        <v>0.94800323060632496</v>
      </c>
      <c r="I989" s="3">
        <f t="shared" si="75"/>
        <v>237.00080765158125</v>
      </c>
      <c r="J989" s="5">
        <f t="shared" si="77"/>
        <v>9.0716061219522093</v>
      </c>
      <c r="K989" s="5">
        <f t="shared" si="76"/>
        <v>2267.9015304880522</v>
      </c>
      <c r="L989">
        <v>4</v>
      </c>
    </row>
    <row r="990" spans="1:12" x14ac:dyDescent="0.3">
      <c r="A990" t="s">
        <v>142</v>
      </c>
      <c r="B990" t="s">
        <v>34</v>
      </c>
      <c r="C990" s="5">
        <v>0.590536375</v>
      </c>
      <c r="D990" s="5">
        <v>0.61247410899999999</v>
      </c>
      <c r="E990">
        <v>8</v>
      </c>
      <c r="F990" s="2">
        <v>18.789808917197451</v>
      </c>
      <c r="G990" s="3">
        <f t="shared" si="78"/>
        <v>277.29025587108168</v>
      </c>
      <c r="H990" s="3">
        <f t="shared" si="79"/>
        <v>97.347538411375666</v>
      </c>
      <c r="I990" s="3">
        <f t="shared" si="75"/>
        <v>24336.884602843915</v>
      </c>
      <c r="J990" s="5">
        <f t="shared" si="77"/>
        <v>18.871293736054199</v>
      </c>
      <c r="K990" s="5">
        <f t="shared" si="76"/>
        <v>4717.8234340135496</v>
      </c>
      <c r="L990">
        <v>4</v>
      </c>
    </row>
    <row r="991" spans="1:12" x14ac:dyDescent="0.3">
      <c r="A991" t="s">
        <v>142</v>
      </c>
      <c r="B991" t="s">
        <v>22</v>
      </c>
      <c r="C991" s="5">
        <v>0.50857142899999996</v>
      </c>
      <c r="D991" s="5">
        <v>0.49666666700000001</v>
      </c>
      <c r="E991">
        <v>10</v>
      </c>
      <c r="F991" s="2">
        <v>47.452229299363054</v>
      </c>
      <c r="G991" s="3">
        <f t="shared" si="78"/>
        <v>1768.4920915236669</v>
      </c>
      <c r="H991" s="3">
        <f t="shared" si="79"/>
        <v>601.765715220738</v>
      </c>
      <c r="I991" s="3">
        <f t="shared" si="75"/>
        <v>150441.42880518449</v>
      </c>
      <c r="J991" s="5">
        <f t="shared" si="77"/>
        <v>87.795692291776518</v>
      </c>
      <c r="K991" s="5">
        <f t="shared" si="76"/>
        <v>21948.92307294413</v>
      </c>
      <c r="L991">
        <v>4</v>
      </c>
    </row>
    <row r="992" spans="1:12" x14ac:dyDescent="0.3">
      <c r="A992" t="s">
        <v>142</v>
      </c>
      <c r="B992" t="s">
        <v>68</v>
      </c>
      <c r="C992" s="5">
        <v>0.39</v>
      </c>
      <c r="D992" s="5">
        <v>0.28861111099999998</v>
      </c>
      <c r="E992">
        <v>8</v>
      </c>
      <c r="F992" s="2">
        <v>20.859872611464969</v>
      </c>
      <c r="G992" s="3">
        <f t="shared" si="78"/>
        <v>341.75366855814667</v>
      </c>
      <c r="H992" s="3">
        <f t="shared" si="79"/>
        <v>57.278649477630537</v>
      </c>
      <c r="I992" s="3">
        <f t="shared" si="75"/>
        <v>14319.662369407635</v>
      </c>
      <c r="J992" s="5">
        <f t="shared" si="77"/>
        <v>21.169459990263299</v>
      </c>
      <c r="K992" s="5">
        <f t="shared" si="76"/>
        <v>5292.3649975658245</v>
      </c>
      <c r="L992">
        <v>4</v>
      </c>
    </row>
    <row r="993" spans="1:12" x14ac:dyDescent="0.3">
      <c r="A993" t="s">
        <v>142</v>
      </c>
      <c r="B993" t="s">
        <v>41</v>
      </c>
      <c r="C993" s="5">
        <v>1.1200000000000001</v>
      </c>
      <c r="D993" s="5">
        <v>0.85527777800000004</v>
      </c>
      <c r="E993" s="1">
        <v>2.5</v>
      </c>
      <c r="F993" s="2">
        <v>1.910828025477707</v>
      </c>
      <c r="G993" s="3">
        <f t="shared" si="78"/>
        <v>2.8676958377934336</v>
      </c>
      <c r="H993" s="3">
        <f t="shared" si="79"/>
        <v>0.50013321284102652</v>
      </c>
      <c r="I993" s="3">
        <f t="shared" si="75"/>
        <v>125.03330321025663</v>
      </c>
      <c r="J993" s="5">
        <f t="shared" si="77"/>
        <v>9.017648557750821</v>
      </c>
      <c r="K993" s="5">
        <f t="shared" si="76"/>
        <v>2254.4121394377053</v>
      </c>
      <c r="L993">
        <v>4</v>
      </c>
    </row>
    <row r="994" spans="1:12" x14ac:dyDescent="0.3">
      <c r="A994" t="s">
        <v>142</v>
      </c>
      <c r="B994" t="s">
        <v>16</v>
      </c>
      <c r="C994" s="5">
        <v>0.66608171000000005</v>
      </c>
      <c r="D994" s="5">
        <v>0.68661666700000001</v>
      </c>
      <c r="E994" s="1">
        <v>6.5</v>
      </c>
      <c r="F994" s="2">
        <v>4.4585987261146496</v>
      </c>
      <c r="G994" s="3">
        <f t="shared" si="78"/>
        <v>15.613010672430914</v>
      </c>
      <c r="H994" s="3">
        <f t="shared" si="79"/>
        <v>5.3615078975518626</v>
      </c>
      <c r="I994" s="3">
        <f t="shared" si="75"/>
        <v>1340.3769743879657</v>
      </c>
      <c r="J994" s="5">
        <f t="shared" si="77"/>
        <v>9.437949584161629</v>
      </c>
      <c r="K994" s="5">
        <f t="shared" si="76"/>
        <v>2359.4873960404075</v>
      </c>
      <c r="L994">
        <v>4</v>
      </c>
    </row>
    <row r="995" spans="1:12" x14ac:dyDescent="0.3">
      <c r="A995" t="s">
        <v>142</v>
      </c>
      <c r="B995" t="s">
        <v>44</v>
      </c>
      <c r="C995" s="5">
        <v>0.57917600000000002</v>
      </c>
      <c r="D995" s="5">
        <v>0.60285714300000004</v>
      </c>
      <c r="E995">
        <v>10</v>
      </c>
      <c r="F995" s="2">
        <v>35.031847133757964</v>
      </c>
      <c r="G995" s="3">
        <f t="shared" si="78"/>
        <v>963.86443436945979</v>
      </c>
      <c r="H995" s="3">
        <f t="shared" si="79"/>
        <v>402.06491542595677</v>
      </c>
      <c r="I995" s="3">
        <f t="shared" si="75"/>
        <v>100516.22885648919</v>
      </c>
      <c r="J995" s="5">
        <f t="shared" si="77"/>
        <v>51.938760976104511</v>
      </c>
      <c r="K995" s="5">
        <f t="shared" si="76"/>
        <v>12984.690244026127</v>
      </c>
      <c r="L995">
        <v>4</v>
      </c>
    </row>
    <row r="996" spans="1:12" x14ac:dyDescent="0.3">
      <c r="A996" t="s">
        <v>142</v>
      </c>
      <c r="B996" t="s">
        <v>144</v>
      </c>
      <c r="C996" s="5">
        <v>0.41185709999999998</v>
      </c>
      <c r="D996" s="5">
        <v>0.41185714299999998</v>
      </c>
      <c r="E996" s="1">
        <v>2.8</v>
      </c>
      <c r="F996" s="2">
        <v>2.7070063694267517</v>
      </c>
      <c r="G996" s="3">
        <f t="shared" si="78"/>
        <v>5.7553062300159885</v>
      </c>
      <c r="H996" s="3">
        <f t="shared" si="79"/>
        <v>0.54032250511944668</v>
      </c>
      <c r="I996" s="3">
        <f t="shared" si="75"/>
        <v>135.08062627986166</v>
      </c>
      <c r="J996" s="5">
        <f t="shared" si="77"/>
        <v>9.0575132581443469</v>
      </c>
      <c r="K996" s="5">
        <f t="shared" si="76"/>
        <v>2264.3783145360867</v>
      </c>
      <c r="L996">
        <v>4</v>
      </c>
    </row>
    <row r="997" spans="1:12" x14ac:dyDescent="0.3">
      <c r="A997" t="s">
        <v>145</v>
      </c>
      <c r="B997" t="s">
        <v>80</v>
      </c>
      <c r="C997" s="5">
        <v>0.6</v>
      </c>
      <c r="D997" s="5">
        <v>0.66674999999999995</v>
      </c>
      <c r="E997">
        <v>4</v>
      </c>
      <c r="F997" s="2">
        <v>6.3694267515923562</v>
      </c>
      <c r="G997" s="3">
        <f t="shared" si="78"/>
        <v>31.863287086593701</v>
      </c>
      <c r="H997" s="3">
        <f t="shared" si="79"/>
        <v>6.5075483875439177</v>
      </c>
      <c r="I997" s="3">
        <f t="shared" si="75"/>
        <v>1626.8870968859794</v>
      </c>
      <c r="J997" s="5">
        <f t="shared" si="77"/>
        <v>9.5536743600146039</v>
      </c>
      <c r="K997" s="5">
        <f t="shared" si="76"/>
        <v>2388.4185900036509</v>
      </c>
      <c r="L997">
        <v>4</v>
      </c>
    </row>
    <row r="998" spans="1:12" x14ac:dyDescent="0.3">
      <c r="A998" t="s">
        <v>145</v>
      </c>
      <c r="B998" t="s">
        <v>121</v>
      </c>
      <c r="C998" s="5">
        <v>0.490852183</v>
      </c>
      <c r="D998" s="5">
        <v>0.607288889</v>
      </c>
      <c r="E998" s="1">
        <v>2.5</v>
      </c>
      <c r="F998" s="2">
        <v>5.2547770700636942</v>
      </c>
      <c r="G998" s="3">
        <f t="shared" si="78"/>
        <v>21.68694977331284</v>
      </c>
      <c r="H998" s="3">
        <f t="shared" si="79"/>
        <v>2.5794098029285504</v>
      </c>
      <c r="I998" s="3">
        <f t="shared" si="75"/>
        <v>644.85245073213764</v>
      </c>
      <c r="J998" s="5">
        <f t="shared" si="77"/>
        <v>9.2273109679905883</v>
      </c>
      <c r="K998" s="5">
        <f t="shared" si="76"/>
        <v>2306.8277419976471</v>
      </c>
      <c r="L998">
        <v>4</v>
      </c>
    </row>
    <row r="999" spans="1:12" x14ac:dyDescent="0.3">
      <c r="A999" t="s">
        <v>145</v>
      </c>
      <c r="B999" t="s">
        <v>11</v>
      </c>
      <c r="C999" s="5">
        <v>0.89361000000000002</v>
      </c>
      <c r="D999" s="5">
        <v>0.61247410899999999</v>
      </c>
      <c r="E999" s="1">
        <v>2.1</v>
      </c>
      <c r="F999" s="2">
        <v>3.8216560509554141</v>
      </c>
      <c r="G999" s="3">
        <f t="shared" si="78"/>
        <v>11.470783351173734</v>
      </c>
      <c r="H999" s="3">
        <f t="shared" si="79"/>
        <v>1.178294482570877</v>
      </c>
      <c r="I999" s="3">
        <f t="shared" si="75"/>
        <v>294.57362064271922</v>
      </c>
      <c r="J999" s="5">
        <f t="shared" si="77"/>
        <v>9.0930471540427593</v>
      </c>
      <c r="K999" s="5">
        <f t="shared" si="76"/>
        <v>2273.2617885106897</v>
      </c>
      <c r="L999">
        <v>4</v>
      </c>
    </row>
    <row r="1000" spans="1:12" x14ac:dyDescent="0.3">
      <c r="A1000" t="s">
        <v>145</v>
      </c>
      <c r="B1000" t="s">
        <v>12</v>
      </c>
      <c r="C1000" s="5">
        <v>0.708787469</v>
      </c>
      <c r="D1000" s="5">
        <v>0.80167708299999996</v>
      </c>
      <c r="E1000" s="1">
        <v>3.7</v>
      </c>
      <c r="F1000" s="2">
        <v>11.783439490445859</v>
      </c>
      <c r="G1000" s="3">
        <f t="shared" si="78"/>
        <v>109.05210005386697</v>
      </c>
      <c r="H1000" s="3">
        <f t="shared" si="79"/>
        <v>23.988689375489496</v>
      </c>
      <c r="I1000" s="3">
        <f t="shared" si="75"/>
        <v>5997.1723438723739</v>
      </c>
      <c r="J1000" s="5">
        <f t="shared" si="77"/>
        <v>10.783800328613736</v>
      </c>
      <c r="K1000" s="5">
        <f t="shared" si="76"/>
        <v>2695.9500821534343</v>
      </c>
      <c r="L1000">
        <v>4</v>
      </c>
    </row>
    <row r="1001" spans="1:12" x14ac:dyDescent="0.3">
      <c r="A1001" t="s">
        <v>145</v>
      </c>
      <c r="B1001" t="s">
        <v>12</v>
      </c>
      <c r="C1001" s="5">
        <v>0.708787469</v>
      </c>
      <c r="D1001" s="5">
        <v>0.80167708299999996</v>
      </c>
      <c r="E1001" s="1">
        <v>2.2000000000000002</v>
      </c>
      <c r="F1001" s="2">
        <v>4.2993630573248405</v>
      </c>
      <c r="G1001" s="3">
        <f t="shared" si="78"/>
        <v>14.517710178829255</v>
      </c>
      <c r="H1001" s="3">
        <f t="shared" si="79"/>
        <v>2.0180314276740154</v>
      </c>
      <c r="I1001" s="3">
        <f t="shared" si="75"/>
        <v>504.50785691850388</v>
      </c>
      <c r="J1001" s="5">
        <f t="shared" si="77"/>
        <v>9.1280308247799091</v>
      </c>
      <c r="K1001" s="5">
        <f t="shared" si="76"/>
        <v>2282.0077061949773</v>
      </c>
      <c r="L1001">
        <v>4</v>
      </c>
    </row>
    <row r="1002" spans="1:12" x14ac:dyDescent="0.3">
      <c r="A1002" t="s">
        <v>145</v>
      </c>
      <c r="B1002" t="s">
        <v>146</v>
      </c>
      <c r="C1002" s="5">
        <v>0.13069240100000001</v>
      </c>
      <c r="D1002" s="5">
        <v>0.26500000000000001</v>
      </c>
      <c r="E1002">
        <v>6</v>
      </c>
      <c r="F1002" s="2">
        <v>12.738853503184712</v>
      </c>
      <c r="G1002" s="3">
        <f t="shared" si="78"/>
        <v>127.4531483463748</v>
      </c>
      <c r="H1002" s="3">
        <f t="shared" si="79"/>
        <v>15.198232626164284</v>
      </c>
      <c r="I1002" s="3">
        <f t="shared" si="75"/>
        <v>3799.5581565410712</v>
      </c>
      <c r="J1002" s="5">
        <f t="shared" si="77"/>
        <v>12.393546160087629</v>
      </c>
      <c r="K1002" s="5">
        <f t="shared" si="76"/>
        <v>3098.3865400219074</v>
      </c>
      <c r="L1002">
        <v>4</v>
      </c>
    </row>
    <row r="1003" spans="1:12" x14ac:dyDescent="0.3">
      <c r="A1003" t="s">
        <v>145</v>
      </c>
      <c r="B1003" t="s">
        <v>146</v>
      </c>
      <c r="C1003" s="5">
        <v>0.13069240100000001</v>
      </c>
      <c r="D1003" s="5">
        <v>0.26500000000000001</v>
      </c>
      <c r="E1003" s="1">
        <v>4.5</v>
      </c>
      <c r="F1003" s="2">
        <v>12.101910828025478</v>
      </c>
      <c r="G1003" s="3">
        <f t="shared" si="78"/>
        <v>115.02646638260329</v>
      </c>
      <c r="H1003" s="3">
        <f t="shared" si="79"/>
        <v>10.38411186928492</v>
      </c>
      <c r="I1003" s="3">
        <f t="shared" si="75"/>
        <v>2596.0279673212299</v>
      </c>
      <c r="J1003" s="5">
        <f t="shared" si="77"/>
        <v>11.292385869609316</v>
      </c>
      <c r="K1003" s="5">
        <f t="shared" si="76"/>
        <v>2823.0964674023289</v>
      </c>
      <c r="L1003">
        <v>4</v>
      </c>
    </row>
    <row r="1004" spans="1:12" x14ac:dyDescent="0.3">
      <c r="A1004" t="s">
        <v>145</v>
      </c>
      <c r="B1004" t="s">
        <v>146</v>
      </c>
      <c r="C1004" s="5">
        <v>0.13069240100000001</v>
      </c>
      <c r="D1004" s="5">
        <v>0.26500000000000001</v>
      </c>
      <c r="E1004" s="1">
        <v>4.5</v>
      </c>
      <c r="F1004" s="2">
        <v>9.5541401273885338</v>
      </c>
      <c r="G1004" s="3">
        <f t="shared" si="78"/>
        <v>71.692395944835823</v>
      </c>
      <c r="H1004" s="3">
        <f t="shared" si="79"/>
        <v>6.5459467306987262</v>
      </c>
      <c r="I1004" s="3">
        <f t="shared" si="75"/>
        <v>1636.4866826746816</v>
      </c>
      <c r="J1004" s="5">
        <f t="shared" si="77"/>
        <v>10.423385098786968</v>
      </c>
      <c r="K1004" s="5">
        <f t="shared" si="76"/>
        <v>2605.8462746967421</v>
      </c>
      <c r="L1004">
        <v>4</v>
      </c>
    </row>
    <row r="1005" spans="1:12" x14ac:dyDescent="0.3">
      <c r="A1005" t="s">
        <v>145</v>
      </c>
      <c r="B1005" t="s">
        <v>117</v>
      </c>
      <c r="C1005" s="5">
        <v>0.85750000000000004</v>
      </c>
      <c r="D1005" s="5">
        <v>0.61247410899999999</v>
      </c>
      <c r="E1005" s="1">
        <v>3.5</v>
      </c>
      <c r="F1005" s="2">
        <v>9.7133757961783438</v>
      </c>
      <c r="G1005" s="3">
        <f t="shared" si="78"/>
        <v>74.102057030759482</v>
      </c>
      <c r="H1005" s="3">
        <f t="shared" si="79"/>
        <v>11.98311474155043</v>
      </c>
      <c r="I1005" s="3">
        <f t="shared" si="75"/>
        <v>2995.7786853876078</v>
      </c>
      <c r="J1005" s="5">
        <f t="shared" si="77"/>
        <v>10.141483449632844</v>
      </c>
      <c r="K1005" s="5">
        <f t="shared" si="76"/>
        <v>2535.370862408211</v>
      </c>
      <c r="L1005">
        <v>4</v>
      </c>
    </row>
    <row r="1006" spans="1:12" x14ac:dyDescent="0.3">
      <c r="A1006" t="s">
        <v>145</v>
      </c>
      <c r="B1006" t="s">
        <v>113</v>
      </c>
      <c r="C1006" s="5">
        <v>0.56023871300000005</v>
      </c>
      <c r="D1006" s="5">
        <v>0.74103703700000001</v>
      </c>
      <c r="E1006">
        <v>6</v>
      </c>
      <c r="F1006" s="2">
        <v>7.9617834394904454</v>
      </c>
      <c r="G1006" s="3">
        <f t="shared" si="78"/>
        <v>49.786386072802657</v>
      </c>
      <c r="H1006" s="3">
        <f t="shared" si="79"/>
        <v>16.566343612522704</v>
      </c>
      <c r="I1006" s="3">
        <f t="shared" si="75"/>
        <v>4141.5859031306763</v>
      </c>
      <c r="J1006" s="5">
        <f t="shared" si="77"/>
        <v>10.31688990628423</v>
      </c>
      <c r="K1006" s="5">
        <f t="shared" si="76"/>
        <v>2579.2224765710575</v>
      </c>
      <c r="L1006">
        <v>4</v>
      </c>
    </row>
    <row r="1007" spans="1:12" x14ac:dyDescent="0.3">
      <c r="A1007" t="s">
        <v>145</v>
      </c>
      <c r="B1007" t="s">
        <v>113</v>
      </c>
      <c r="C1007" s="5">
        <v>0.56023871300000005</v>
      </c>
      <c r="D1007" s="5">
        <v>0.74103703700000001</v>
      </c>
      <c r="E1007" s="1">
        <v>4.2</v>
      </c>
      <c r="F1007" s="2">
        <v>7.484076433121019</v>
      </c>
      <c r="G1007" s="3">
        <f t="shared" si="78"/>
        <v>43.991250733928432</v>
      </c>
      <c r="H1007" s="3">
        <f t="shared" si="79"/>
        <v>10.365444302806964</v>
      </c>
      <c r="I1007" s="3">
        <f t="shared" si="75"/>
        <v>2591.3610757017409</v>
      </c>
      <c r="J1007" s="5">
        <f t="shared" si="77"/>
        <v>9.8090675808349221</v>
      </c>
      <c r="K1007" s="5">
        <f t="shared" si="76"/>
        <v>2452.2668952087306</v>
      </c>
      <c r="L1007">
        <v>4</v>
      </c>
    </row>
    <row r="1008" spans="1:12" x14ac:dyDescent="0.3">
      <c r="A1008" t="s">
        <v>145</v>
      </c>
      <c r="B1008" t="s">
        <v>28</v>
      </c>
      <c r="C1008" s="5">
        <v>0.69835862100000001</v>
      </c>
      <c r="D1008" s="5">
        <v>0.69262500000000005</v>
      </c>
      <c r="E1008" s="1">
        <v>8.9</v>
      </c>
      <c r="F1008" s="2">
        <v>7.6433121019108281</v>
      </c>
      <c r="G1008" s="3">
        <f t="shared" si="78"/>
        <v>45.883133404694938</v>
      </c>
      <c r="H1008" s="3">
        <f t="shared" si="79"/>
        <v>21.043190594719597</v>
      </c>
      <c r="I1008" s="3">
        <f t="shared" si="75"/>
        <v>5260.7976486798989</v>
      </c>
      <c r="J1008" s="5">
        <f t="shared" si="77"/>
        <v>10.805489849486793</v>
      </c>
      <c r="K1008" s="5">
        <f t="shared" si="76"/>
        <v>2701.3724623716985</v>
      </c>
      <c r="L1008">
        <v>4</v>
      </c>
    </row>
    <row r="1009" spans="1:12" x14ac:dyDescent="0.3">
      <c r="A1009" t="s">
        <v>145</v>
      </c>
      <c r="B1009" t="s">
        <v>28</v>
      </c>
      <c r="C1009" s="5">
        <v>0.69835862100000001</v>
      </c>
      <c r="D1009" s="5">
        <v>0.69262500000000005</v>
      </c>
      <c r="E1009" s="1">
        <v>7.2</v>
      </c>
      <c r="F1009" s="2">
        <v>4.936305732484076</v>
      </c>
      <c r="G1009" s="3">
        <f t="shared" si="78"/>
        <v>19.137886806385342</v>
      </c>
      <c r="H1009" s="3">
        <f t="shared" si="79"/>
        <v>7.2881716039174531</v>
      </c>
      <c r="I1009" s="3">
        <f t="shared" si="75"/>
        <v>1822.0429009793634</v>
      </c>
      <c r="J1009" s="5">
        <f t="shared" si="77"/>
        <v>9.5997512799707891</v>
      </c>
      <c r="K1009" s="5">
        <f t="shared" si="76"/>
        <v>2399.9378199926973</v>
      </c>
      <c r="L1009">
        <v>4</v>
      </c>
    </row>
    <row r="1010" spans="1:12" x14ac:dyDescent="0.3">
      <c r="A1010" t="s">
        <v>145</v>
      </c>
      <c r="B1010" t="s">
        <v>17</v>
      </c>
      <c r="C1010" s="5">
        <v>0.43836446099999998</v>
      </c>
      <c r="D1010" s="5">
        <v>0.58666666700000003</v>
      </c>
      <c r="E1010" s="1">
        <v>2.7</v>
      </c>
      <c r="F1010" s="2">
        <v>10.668789808917197</v>
      </c>
      <c r="G1010" s="3">
        <f t="shared" si="78"/>
        <v>89.396434832324445</v>
      </c>
      <c r="H1010" s="3">
        <f t="shared" si="79"/>
        <v>10.711663170087533</v>
      </c>
      <c r="I1010" s="3">
        <f t="shared" si="75"/>
        <v>2677.9157925218833</v>
      </c>
      <c r="J1010" s="5">
        <f t="shared" si="77"/>
        <v>10.061328068075783</v>
      </c>
      <c r="K1010" s="5">
        <f t="shared" si="76"/>
        <v>2515.3320170189459</v>
      </c>
      <c r="L1010">
        <v>4</v>
      </c>
    </row>
    <row r="1011" spans="1:12" x14ac:dyDescent="0.3">
      <c r="A1011" t="s">
        <v>145</v>
      </c>
      <c r="B1011" t="s">
        <v>17</v>
      </c>
      <c r="C1011" s="5">
        <v>0.43836446099999998</v>
      </c>
      <c r="D1011" s="5">
        <v>0.58666666700000003</v>
      </c>
      <c r="E1011" s="1">
        <v>1.9</v>
      </c>
      <c r="F1011" s="2">
        <v>6.3694267515923562</v>
      </c>
      <c r="G1011" s="3">
        <f t="shared" si="78"/>
        <v>31.863287086593701</v>
      </c>
      <c r="H1011" s="3">
        <f t="shared" si="79"/>
        <v>2.7773619200801689</v>
      </c>
      <c r="I1011" s="3">
        <f t="shared" si="75"/>
        <v>694.34048002004226</v>
      </c>
      <c r="J1011" s="5">
        <f t="shared" si="77"/>
        <v>9.2554878210069376</v>
      </c>
      <c r="K1011" s="5">
        <f t="shared" si="76"/>
        <v>2313.8719552517346</v>
      </c>
      <c r="L1011">
        <v>4</v>
      </c>
    </row>
    <row r="1012" spans="1:12" x14ac:dyDescent="0.3">
      <c r="A1012" t="s">
        <v>145</v>
      </c>
      <c r="B1012" t="s">
        <v>44</v>
      </c>
      <c r="C1012" s="5">
        <v>0.57917600000000002</v>
      </c>
      <c r="D1012" s="5">
        <v>0.60285714300000004</v>
      </c>
      <c r="E1012">
        <v>8</v>
      </c>
      <c r="F1012" s="2">
        <v>30.254777070063692</v>
      </c>
      <c r="G1012" s="3">
        <f t="shared" si="78"/>
        <v>718.91541489127042</v>
      </c>
      <c r="H1012" s="3">
        <f t="shared" si="79"/>
        <v>242.90136826637942</v>
      </c>
      <c r="I1012" s="3">
        <f t="shared" si="75"/>
        <v>60725.342066594858</v>
      </c>
      <c r="J1012" s="5">
        <f t="shared" si="77"/>
        <v>34.615542995659048</v>
      </c>
      <c r="K1012" s="5">
        <f t="shared" si="76"/>
        <v>8653.8857489147613</v>
      </c>
      <c r="L1012">
        <v>4</v>
      </c>
    </row>
    <row r="1013" spans="1:12" x14ac:dyDescent="0.3">
      <c r="A1013" t="s">
        <v>145</v>
      </c>
      <c r="B1013" t="s">
        <v>89</v>
      </c>
      <c r="C1013" s="5">
        <v>0.28577490700000002</v>
      </c>
      <c r="D1013" s="5">
        <v>0.3422</v>
      </c>
      <c r="E1013">
        <v>8</v>
      </c>
      <c r="F1013" s="2">
        <v>31.369426751592357</v>
      </c>
      <c r="G1013" s="3">
        <f t="shared" si="78"/>
        <v>772.86394283975949</v>
      </c>
      <c r="H1013" s="3">
        <f t="shared" si="79"/>
        <v>149.99232099872245</v>
      </c>
      <c r="I1013" s="3">
        <f t="shared" si="75"/>
        <v>37498.080249680614</v>
      </c>
      <c r="J1013" s="5">
        <f t="shared" si="77"/>
        <v>36.538846172258509</v>
      </c>
      <c r="K1013" s="5">
        <f t="shared" si="76"/>
        <v>9134.7115430646281</v>
      </c>
      <c r="L1013">
        <v>4</v>
      </c>
    </row>
    <row r="1014" spans="1:12" x14ac:dyDescent="0.3">
      <c r="A1014" t="s">
        <v>147</v>
      </c>
      <c r="B1014" t="s">
        <v>21</v>
      </c>
      <c r="C1014" s="5">
        <v>0.80908761900000004</v>
      </c>
      <c r="D1014" s="5">
        <v>0.87473809499999999</v>
      </c>
      <c r="E1014">
        <v>7</v>
      </c>
      <c r="F1014" s="2">
        <v>13.216560509554139</v>
      </c>
      <c r="G1014" s="3">
        <f t="shared" si="78"/>
        <v>137.191365462215</v>
      </c>
      <c r="H1014" s="3">
        <f t="shared" si="79"/>
        <v>60.887330080533481</v>
      </c>
      <c r="I1014" s="3">
        <f t="shared" si="75"/>
        <v>15221.83252013337</v>
      </c>
      <c r="J1014" s="5">
        <f t="shared" si="77"/>
        <v>13.265298056716295</v>
      </c>
      <c r="K1014" s="5">
        <f t="shared" si="76"/>
        <v>3316.324514179074</v>
      </c>
      <c r="L1014">
        <v>4</v>
      </c>
    </row>
    <row r="1015" spans="1:12" x14ac:dyDescent="0.3">
      <c r="A1015" t="s">
        <v>147</v>
      </c>
      <c r="B1015" t="s">
        <v>148</v>
      </c>
      <c r="C1015" s="5">
        <v>0.57550000000000001</v>
      </c>
      <c r="D1015" s="5">
        <v>0.57550000000000001</v>
      </c>
      <c r="E1015">
        <v>3</v>
      </c>
      <c r="F1015" s="2">
        <v>2.3885350318471334</v>
      </c>
      <c r="G1015" s="3">
        <f t="shared" si="78"/>
        <v>4.480774746552239</v>
      </c>
      <c r="H1015" s="3">
        <f t="shared" si="79"/>
        <v>0.62748386369272946</v>
      </c>
      <c r="I1015" s="3">
        <f t="shared" si="75"/>
        <v>156.87096592318235</v>
      </c>
      <c r="J1015" s="5">
        <f t="shared" si="77"/>
        <v>9.0456035457827895</v>
      </c>
      <c r="K1015" s="5">
        <f t="shared" si="76"/>
        <v>2261.4008864456973</v>
      </c>
      <c r="L1015">
        <v>4</v>
      </c>
    </row>
    <row r="1016" spans="1:12" x14ac:dyDescent="0.3">
      <c r="A1016" t="s">
        <v>147</v>
      </c>
      <c r="B1016" t="s">
        <v>80</v>
      </c>
      <c r="C1016" s="5">
        <v>0.6</v>
      </c>
      <c r="D1016" s="5">
        <v>0.66674999999999995</v>
      </c>
      <c r="E1016">
        <v>8</v>
      </c>
      <c r="F1016" s="2">
        <v>15.445859872611464</v>
      </c>
      <c r="G1016" s="3">
        <f t="shared" si="78"/>
        <v>187.37604262360011</v>
      </c>
      <c r="H1016" s="3">
        <f t="shared" si="79"/>
        <v>72.14064218420539</v>
      </c>
      <c r="I1016" s="3">
        <f t="shared" si="75"/>
        <v>18035.160546051349</v>
      </c>
      <c r="J1016" s="5">
        <f t="shared" si="77"/>
        <v>15.665788441721773</v>
      </c>
      <c r="K1016" s="5">
        <f t="shared" si="76"/>
        <v>3916.4471104304434</v>
      </c>
      <c r="L1016">
        <v>4</v>
      </c>
    </row>
    <row r="1017" spans="1:12" x14ac:dyDescent="0.3">
      <c r="A1017" t="s">
        <v>147</v>
      </c>
      <c r="B1017" t="s">
        <v>40</v>
      </c>
      <c r="C1017" s="5">
        <v>0.81991655299999999</v>
      </c>
      <c r="D1017" s="5">
        <v>0.72276027399999998</v>
      </c>
      <c r="E1017" s="1">
        <v>2.2999999999999998</v>
      </c>
      <c r="F1017" s="2">
        <v>6.2101910828025479</v>
      </c>
      <c r="G1017" s="3">
        <f t="shared" si="78"/>
        <v>30.290037286693146</v>
      </c>
      <c r="H1017" s="3">
        <f t="shared" si="79"/>
        <v>3.9046375979303711</v>
      </c>
      <c r="I1017" s="3">
        <f t="shared" si="75"/>
        <v>976.15939948259279</v>
      </c>
      <c r="J1017" s="5">
        <f t="shared" si="77"/>
        <v>9.2961601099436084</v>
      </c>
      <c r="K1017" s="5">
        <f t="shared" si="76"/>
        <v>2324.0400274859021</v>
      </c>
      <c r="L1017">
        <v>4</v>
      </c>
    </row>
    <row r="1018" spans="1:12" x14ac:dyDescent="0.3">
      <c r="A1018" t="s">
        <v>147</v>
      </c>
      <c r="B1018" t="s">
        <v>10</v>
      </c>
      <c r="C1018" s="5">
        <v>0.47982689899999997</v>
      </c>
      <c r="D1018" s="5">
        <v>0.51</v>
      </c>
      <c r="E1018" s="1">
        <v>3.5</v>
      </c>
      <c r="F1018" s="2">
        <v>9.5541401273885338</v>
      </c>
      <c r="G1018" s="3">
        <f t="shared" si="78"/>
        <v>71.692395944835823</v>
      </c>
      <c r="H1018" s="3">
        <f t="shared" si="79"/>
        <v>9.7039373400498601</v>
      </c>
      <c r="I1018" s="3">
        <f t="shared" si="75"/>
        <v>2425.9843350124652</v>
      </c>
      <c r="J1018" s="5">
        <f t="shared" si="77"/>
        <v>10.103899521278754</v>
      </c>
      <c r="K1018" s="5">
        <f t="shared" si="76"/>
        <v>2525.9748803196885</v>
      </c>
      <c r="L1018">
        <v>4</v>
      </c>
    </row>
    <row r="1019" spans="1:12" x14ac:dyDescent="0.3">
      <c r="A1019" t="s">
        <v>147</v>
      </c>
      <c r="B1019" t="s">
        <v>10</v>
      </c>
      <c r="C1019" s="5">
        <v>0.47982689899999997</v>
      </c>
      <c r="D1019" s="5">
        <v>0.51</v>
      </c>
      <c r="E1019" s="1">
        <v>2.7</v>
      </c>
      <c r="F1019" s="2">
        <v>6.8471337579617835</v>
      </c>
      <c r="G1019" s="3">
        <f t="shared" si="78"/>
        <v>36.822011139444854</v>
      </c>
      <c r="H1019" s="3">
        <f t="shared" si="79"/>
        <v>3.931224001201238</v>
      </c>
      <c r="I1019" s="3">
        <f t="shared" si="75"/>
        <v>982.80600030030951</v>
      </c>
      <c r="J1019" s="5">
        <f t="shared" si="77"/>
        <v>9.4287466246095164</v>
      </c>
      <c r="K1019" s="5">
        <f t="shared" si="76"/>
        <v>2357.1866561523793</v>
      </c>
      <c r="L1019">
        <v>4</v>
      </c>
    </row>
    <row r="1020" spans="1:12" x14ac:dyDescent="0.3">
      <c r="A1020" t="s">
        <v>147</v>
      </c>
      <c r="B1020" t="s">
        <v>121</v>
      </c>
      <c r="C1020" s="5">
        <v>0.490852183</v>
      </c>
      <c r="D1020" s="5">
        <v>0.607288889</v>
      </c>
      <c r="E1020" s="1">
        <v>4.7</v>
      </c>
      <c r="F1020" s="2">
        <v>7.0063694267515917</v>
      </c>
      <c r="G1020" s="3">
        <f t="shared" si="78"/>
        <v>38.554577374778376</v>
      </c>
      <c r="H1020" s="3">
        <f t="shared" si="79"/>
        <v>8.3748843933185722</v>
      </c>
      <c r="I1020" s="3">
        <f t="shared" si="75"/>
        <v>2093.7210983296432</v>
      </c>
      <c r="J1020" s="5">
        <f t="shared" si="77"/>
        <v>9.793217546350764</v>
      </c>
      <c r="K1020" s="5">
        <f t="shared" si="76"/>
        <v>2448.3043865876912</v>
      </c>
      <c r="L1020">
        <v>4</v>
      </c>
    </row>
    <row r="1021" spans="1:12" x14ac:dyDescent="0.3">
      <c r="A1021" t="s">
        <v>147</v>
      </c>
      <c r="B1021" t="s">
        <v>121</v>
      </c>
      <c r="C1021" s="5">
        <v>0.490852183</v>
      </c>
      <c r="D1021" s="5">
        <v>0.607288889</v>
      </c>
      <c r="E1021" s="1">
        <v>4.5</v>
      </c>
      <c r="F1021" s="2">
        <v>8.9171974522292992</v>
      </c>
      <c r="G1021" s="3">
        <f t="shared" si="78"/>
        <v>62.452042689723655</v>
      </c>
      <c r="H1021" s="3">
        <f t="shared" si="79"/>
        <v>12.852574474526451</v>
      </c>
      <c r="I1021" s="3">
        <f t="shared" si="75"/>
        <v>3213.1436186316128</v>
      </c>
      <c r="J1021" s="5">
        <f t="shared" si="77"/>
        <v>10.238083463832204</v>
      </c>
      <c r="K1021" s="5">
        <f t="shared" si="76"/>
        <v>2559.5208659580512</v>
      </c>
      <c r="L1021">
        <v>4</v>
      </c>
    </row>
    <row r="1022" spans="1:12" x14ac:dyDescent="0.3">
      <c r="A1022" t="s">
        <v>147</v>
      </c>
      <c r="B1022" t="s">
        <v>13</v>
      </c>
      <c r="C1022" s="5">
        <v>0.45255480399999998</v>
      </c>
      <c r="D1022" s="5">
        <v>0.57808694400000005</v>
      </c>
      <c r="E1022" s="1">
        <v>5.7</v>
      </c>
      <c r="F1022" s="2">
        <v>12.420382165605096</v>
      </c>
      <c r="G1022" s="3">
        <f t="shared" si="78"/>
        <v>121.16014914677258</v>
      </c>
      <c r="H1022" s="3">
        <f t="shared" si="79"/>
        <v>29.458164863842544</v>
      </c>
      <c r="I1022" s="3">
        <f t="shared" si="75"/>
        <v>7364.5412159606358</v>
      </c>
      <c r="J1022" s="5">
        <f t="shared" si="77"/>
        <v>12.063304568136639</v>
      </c>
      <c r="K1022" s="5">
        <f t="shared" si="76"/>
        <v>3015.8261420341596</v>
      </c>
      <c r="L1022">
        <v>4</v>
      </c>
    </row>
    <row r="1023" spans="1:12" x14ac:dyDescent="0.3">
      <c r="A1023" t="s">
        <v>147</v>
      </c>
      <c r="B1023" t="s">
        <v>146</v>
      </c>
      <c r="C1023" s="5">
        <v>0.13069240100000001</v>
      </c>
      <c r="D1023" s="5">
        <v>0.26500000000000001</v>
      </c>
      <c r="E1023">
        <v>7</v>
      </c>
      <c r="F1023" s="2">
        <v>27.547770700636942</v>
      </c>
      <c r="G1023" s="3">
        <f t="shared" si="78"/>
        <v>596.02269950916434</v>
      </c>
      <c r="H1023" s="3">
        <f t="shared" si="79"/>
        <v>79.609975996356724</v>
      </c>
      <c r="I1023" s="3">
        <f t="shared" si="75"/>
        <v>19902.49399908918</v>
      </c>
      <c r="J1023" s="5">
        <f t="shared" si="77"/>
        <v>27.578251929084345</v>
      </c>
      <c r="K1023" s="5">
        <f t="shared" si="76"/>
        <v>6894.5629822710862</v>
      </c>
      <c r="L1023">
        <v>4</v>
      </c>
    </row>
    <row r="1024" spans="1:12" x14ac:dyDescent="0.3">
      <c r="A1024" t="s">
        <v>147</v>
      </c>
      <c r="B1024" t="s">
        <v>33</v>
      </c>
      <c r="C1024" s="5">
        <v>1082380952</v>
      </c>
      <c r="D1024" s="5">
        <v>0.61247410899999999</v>
      </c>
      <c r="E1024" s="1">
        <v>3.7</v>
      </c>
      <c r="F1024" s="2">
        <v>5.4140127388535033</v>
      </c>
      <c r="G1024" s="3">
        <f t="shared" si="78"/>
        <v>23.021224920063954</v>
      </c>
      <c r="H1024" s="3">
        <f t="shared" si="79"/>
        <v>4.0421013380324702</v>
      </c>
      <c r="I1024" s="3">
        <f t="shared" si="75"/>
        <v>1010.5253345081176</v>
      </c>
      <c r="J1024" s="5">
        <f t="shared" si="77"/>
        <v>9.3652843644772599</v>
      </c>
      <c r="K1024" s="5">
        <f t="shared" si="76"/>
        <v>2341.321091119315</v>
      </c>
      <c r="L1024">
        <v>4</v>
      </c>
    </row>
    <row r="1025" spans="1:12" x14ac:dyDescent="0.3">
      <c r="A1025" t="s">
        <v>147</v>
      </c>
      <c r="B1025" t="s">
        <v>117</v>
      </c>
      <c r="C1025" s="5">
        <v>0.85750000000000004</v>
      </c>
      <c r="D1025" s="5">
        <v>0.61247410899999999</v>
      </c>
      <c r="E1025">
        <v>6</v>
      </c>
      <c r="F1025" s="2">
        <v>9.3949044585987256</v>
      </c>
      <c r="G1025" s="3">
        <f t="shared" si="78"/>
        <v>69.322563967770421</v>
      </c>
      <c r="H1025" s="3">
        <f t="shared" si="79"/>
        <v>19.000901898239782</v>
      </c>
      <c r="I1025" s="3">
        <f t="shared" si="75"/>
        <v>4750.2254745599457</v>
      </c>
      <c r="J1025" s="5">
        <f t="shared" si="77"/>
        <v>10.839248825510163</v>
      </c>
      <c r="K1025" s="5">
        <f t="shared" si="76"/>
        <v>2709.8122063775409</v>
      </c>
      <c r="L1025">
        <v>4</v>
      </c>
    </row>
    <row r="1026" spans="1:12" x14ac:dyDescent="0.3">
      <c r="A1026" t="s">
        <v>147</v>
      </c>
      <c r="B1026" t="s">
        <v>117</v>
      </c>
      <c r="C1026" s="5">
        <v>0.85750000000000004</v>
      </c>
      <c r="D1026" s="5">
        <v>0.61247410899999999</v>
      </c>
      <c r="E1026" s="1">
        <v>3.5</v>
      </c>
      <c r="F1026" s="2">
        <v>4.7770700636942669</v>
      </c>
      <c r="G1026" s="3">
        <f t="shared" si="78"/>
        <v>17.923098986208956</v>
      </c>
      <c r="H1026" s="3">
        <f t="shared" si="79"/>
        <v>2.9987935571059765</v>
      </c>
      <c r="I1026" s="3">
        <f t="shared" ref="I1026:I1089" si="80">(H1026*1000)/L1026</f>
        <v>749.69838927649414</v>
      </c>
      <c r="J1026" s="5">
        <f t="shared" si="77"/>
        <v>9.2652498803196881</v>
      </c>
      <c r="K1026" s="5">
        <f t="shared" ref="K1026:K1089" si="81">(J1026*1000)/L1026</f>
        <v>2316.3124700799222</v>
      </c>
      <c r="L1026">
        <v>4</v>
      </c>
    </row>
    <row r="1027" spans="1:12" x14ac:dyDescent="0.3">
      <c r="A1027" t="s">
        <v>147</v>
      </c>
      <c r="B1027" t="s">
        <v>34</v>
      </c>
      <c r="C1027" s="5">
        <v>0.590536375</v>
      </c>
      <c r="D1027" s="5">
        <v>0.61247410899999999</v>
      </c>
      <c r="E1027">
        <v>10</v>
      </c>
      <c r="F1027" s="2">
        <v>42.834394904458598</v>
      </c>
      <c r="G1027" s="3">
        <f t="shared" si="78"/>
        <v>1441.0370730456295</v>
      </c>
      <c r="H1027" s="3">
        <f t="shared" si="79"/>
        <v>604.60525719962732</v>
      </c>
      <c r="I1027" s="3">
        <f t="shared" si="80"/>
        <v>151151.31429990684</v>
      </c>
      <c r="J1027" s="5">
        <f t="shared" ref="J1027:J1090" si="82">8.9857 + 0.0035 * F1027^2 * E1027</f>
        <v>73.203188539088799</v>
      </c>
      <c r="K1027" s="5">
        <f t="shared" si="81"/>
        <v>18300.797134772201</v>
      </c>
      <c r="L1027">
        <v>4</v>
      </c>
    </row>
    <row r="1028" spans="1:12" x14ac:dyDescent="0.3">
      <c r="A1028" t="s">
        <v>147</v>
      </c>
      <c r="B1028" t="s">
        <v>68</v>
      </c>
      <c r="C1028" s="5">
        <v>0.39</v>
      </c>
      <c r="D1028" s="5">
        <v>0.28861111099999998</v>
      </c>
      <c r="E1028" s="1">
        <v>7.5</v>
      </c>
      <c r="F1028" s="2">
        <v>16.401273885350317</v>
      </c>
      <c r="G1028" s="3">
        <f t="shared" ref="G1028:G1091" si="83">PI()*(F1028/2)^2</f>
        <v>211.27350793854535</v>
      </c>
      <c r="H1028" s="3">
        <f t="shared" ref="H1028:H1091" si="84">0.0673 * ((D1028 * F1028^2 * E1028)^0.976)</f>
        <v>33.634225288816374</v>
      </c>
      <c r="I1028" s="3">
        <f t="shared" si="80"/>
        <v>8408.5563222040928</v>
      </c>
      <c r="J1028" s="5">
        <f t="shared" si="82"/>
        <v>16.0469968578847</v>
      </c>
      <c r="K1028" s="5">
        <f t="shared" si="81"/>
        <v>4011.749214471175</v>
      </c>
      <c r="L1028">
        <v>4</v>
      </c>
    </row>
    <row r="1029" spans="1:12" x14ac:dyDescent="0.3">
      <c r="A1029" t="s">
        <v>147</v>
      </c>
      <c r="B1029" t="s">
        <v>42</v>
      </c>
      <c r="C1029" s="5">
        <v>0.40238543599999999</v>
      </c>
      <c r="D1029" s="5">
        <v>0.40883333300000002</v>
      </c>
      <c r="E1029">
        <v>9</v>
      </c>
      <c r="F1029" s="2">
        <v>16.082802547770701</v>
      </c>
      <c r="G1029" s="3">
        <f t="shared" si="83"/>
        <v>203.14836973146402</v>
      </c>
      <c r="H1029" s="3">
        <f t="shared" si="84"/>
        <v>54.330416805581926</v>
      </c>
      <c r="I1029" s="3">
        <f t="shared" si="80"/>
        <v>13582.604201395481</v>
      </c>
      <c r="J1029" s="5">
        <f t="shared" si="82"/>
        <v>17.133380940403264</v>
      </c>
      <c r="K1029" s="5">
        <f t="shared" si="81"/>
        <v>4283.3452351008154</v>
      </c>
      <c r="L1029">
        <v>4</v>
      </c>
    </row>
    <row r="1030" spans="1:12" x14ac:dyDescent="0.3">
      <c r="A1030" t="s">
        <v>147</v>
      </c>
      <c r="B1030" t="s">
        <v>89</v>
      </c>
      <c r="C1030" s="5">
        <v>0.28577490700000002</v>
      </c>
      <c r="D1030" s="5">
        <v>0.3422</v>
      </c>
      <c r="E1030" s="1">
        <v>8.5</v>
      </c>
      <c r="F1030" s="2">
        <v>27.70700636942675</v>
      </c>
      <c r="G1030" s="3">
        <f t="shared" si="83"/>
        <v>602.93304989606929</v>
      </c>
      <c r="H1030" s="3">
        <f t="shared" si="84"/>
        <v>124.88783268174672</v>
      </c>
      <c r="I1030" s="3">
        <f t="shared" si="80"/>
        <v>31221.958170436679</v>
      </c>
      <c r="J1030" s="5">
        <f t="shared" si="82"/>
        <v>31.824126508174771</v>
      </c>
      <c r="K1030" s="5">
        <f t="shared" si="81"/>
        <v>7956.0316270436924</v>
      </c>
      <c r="L1030">
        <v>4</v>
      </c>
    </row>
    <row r="1031" spans="1:12" x14ac:dyDescent="0.3">
      <c r="A1031" t="s">
        <v>149</v>
      </c>
      <c r="B1031" t="s">
        <v>21</v>
      </c>
      <c r="C1031" s="5">
        <v>0.80908761900000004</v>
      </c>
      <c r="D1031" s="5">
        <v>0.87473809499999999</v>
      </c>
      <c r="E1031" s="1">
        <v>4.5</v>
      </c>
      <c r="F1031" s="2">
        <v>12.738853503184712</v>
      </c>
      <c r="G1031" s="3">
        <f t="shared" si="83"/>
        <v>127.4531483463748</v>
      </c>
      <c r="H1031" s="3">
        <f t="shared" si="84"/>
        <v>36.81610799488903</v>
      </c>
      <c r="I1031" s="3">
        <f t="shared" si="80"/>
        <v>9204.0269987222582</v>
      </c>
      <c r="J1031" s="5">
        <f t="shared" si="82"/>
        <v>11.541584620065722</v>
      </c>
      <c r="K1031" s="5">
        <f t="shared" si="81"/>
        <v>2885.3961550164304</v>
      </c>
      <c r="L1031">
        <v>4</v>
      </c>
    </row>
    <row r="1032" spans="1:12" x14ac:dyDescent="0.3">
      <c r="A1032" t="s">
        <v>149</v>
      </c>
      <c r="B1032" t="s">
        <v>21</v>
      </c>
      <c r="C1032" s="5">
        <v>0.80908761900000004</v>
      </c>
      <c r="D1032" s="5">
        <v>0.87473809499999999</v>
      </c>
      <c r="E1032" s="1">
        <v>3.7</v>
      </c>
      <c r="F1032" s="2">
        <v>6.0509554140127388</v>
      </c>
      <c r="G1032" s="3">
        <f t="shared" si="83"/>
        <v>28.756616595650822</v>
      </c>
      <c r="H1032" s="3">
        <f t="shared" si="84"/>
        <v>7.1116974198030736</v>
      </c>
      <c r="I1032" s="3">
        <f t="shared" si="80"/>
        <v>1777.9243549507685</v>
      </c>
      <c r="J1032" s="5">
        <f t="shared" si="82"/>
        <v>9.4598520954196914</v>
      </c>
      <c r="K1032" s="5">
        <f t="shared" si="81"/>
        <v>2364.963023854923</v>
      </c>
      <c r="L1032">
        <v>4</v>
      </c>
    </row>
    <row r="1033" spans="1:12" x14ac:dyDescent="0.3">
      <c r="A1033" t="s">
        <v>149</v>
      </c>
      <c r="B1033" t="s">
        <v>64</v>
      </c>
      <c r="C1033" s="5">
        <v>0.31264018999999998</v>
      </c>
      <c r="D1033" s="5">
        <v>0.356821212</v>
      </c>
      <c r="E1033" s="1">
        <v>5.7</v>
      </c>
      <c r="F1033" s="2">
        <v>49.681528662420384</v>
      </c>
      <c r="G1033" s="3">
        <f t="shared" si="83"/>
        <v>1938.5623863483613</v>
      </c>
      <c r="H1033" s="3">
        <f t="shared" si="84"/>
        <v>275.36790115296247</v>
      </c>
      <c r="I1033" s="3">
        <f t="shared" si="80"/>
        <v>68841.975288240617</v>
      </c>
      <c r="J1033" s="5">
        <f t="shared" si="82"/>
        <v>58.227373090186219</v>
      </c>
      <c r="K1033" s="5">
        <f t="shared" si="81"/>
        <v>14556.843272546555</v>
      </c>
      <c r="L1033">
        <v>4</v>
      </c>
    </row>
    <row r="1034" spans="1:12" x14ac:dyDescent="0.3">
      <c r="A1034" t="s">
        <v>149</v>
      </c>
      <c r="B1034" t="s">
        <v>80</v>
      </c>
      <c r="C1034" s="5">
        <v>0.6</v>
      </c>
      <c r="D1034" s="5">
        <v>0.66674999999999995</v>
      </c>
      <c r="E1034" s="1">
        <v>7.5</v>
      </c>
      <c r="F1034" s="2">
        <v>15.764331210191083</v>
      </c>
      <c r="G1034" s="3">
        <f t="shared" si="83"/>
        <v>195.18254795981557</v>
      </c>
      <c r="H1034" s="3">
        <f t="shared" si="84"/>
        <v>70.48966463472793</v>
      </c>
      <c r="I1034" s="3">
        <f t="shared" si="80"/>
        <v>17622.416158681983</v>
      </c>
      <c r="J1034" s="5">
        <f t="shared" si="82"/>
        <v>15.509196135745871</v>
      </c>
      <c r="K1034" s="5">
        <f t="shared" si="81"/>
        <v>3877.2990339364678</v>
      </c>
      <c r="L1034">
        <v>4</v>
      </c>
    </row>
    <row r="1035" spans="1:12" x14ac:dyDescent="0.3">
      <c r="A1035" t="s">
        <v>149</v>
      </c>
      <c r="B1035" t="s">
        <v>136</v>
      </c>
      <c r="C1035" s="5">
        <v>0.83069230800000005</v>
      </c>
      <c r="D1035" s="5">
        <v>0.78683697699999999</v>
      </c>
      <c r="E1035" s="1">
        <v>5.7</v>
      </c>
      <c r="F1035" s="2">
        <v>17.834394904458598</v>
      </c>
      <c r="G1035" s="3">
        <f t="shared" si="83"/>
        <v>249.80817075889462</v>
      </c>
      <c r="H1035" s="3">
        <f t="shared" si="84"/>
        <v>80.647109431719272</v>
      </c>
      <c r="I1035" s="3">
        <f t="shared" si="80"/>
        <v>20161.777357929819</v>
      </c>
      <c r="J1035" s="5">
        <f t="shared" si="82"/>
        <v>15.331109550083166</v>
      </c>
      <c r="K1035" s="5">
        <f t="shared" si="81"/>
        <v>3832.7773875207918</v>
      </c>
      <c r="L1035">
        <v>4</v>
      </c>
    </row>
    <row r="1036" spans="1:12" x14ac:dyDescent="0.3">
      <c r="A1036" t="s">
        <v>149</v>
      </c>
      <c r="B1036" t="s">
        <v>40</v>
      </c>
      <c r="C1036" s="5">
        <v>0.81991655299999999</v>
      </c>
      <c r="D1036" s="5">
        <v>0.72276027399999998</v>
      </c>
      <c r="E1036" s="1">
        <v>1.7</v>
      </c>
      <c r="F1036" s="2">
        <v>2.2292993630573248</v>
      </c>
      <c r="G1036" s="3">
        <f t="shared" si="83"/>
        <v>3.9032526681077284</v>
      </c>
      <c r="H1036" s="3">
        <f t="shared" si="84"/>
        <v>0.39349237746662563</v>
      </c>
      <c r="I1036" s="3">
        <f t="shared" si="80"/>
        <v>98.373094366656403</v>
      </c>
      <c r="J1036" s="5">
        <f t="shared" si="82"/>
        <v>9.0152701651182596</v>
      </c>
      <c r="K1036" s="5">
        <f t="shared" si="81"/>
        <v>2253.8175412795649</v>
      </c>
      <c r="L1036">
        <v>4</v>
      </c>
    </row>
    <row r="1037" spans="1:12" x14ac:dyDescent="0.3">
      <c r="A1037" t="s">
        <v>149</v>
      </c>
      <c r="B1037" t="s">
        <v>40</v>
      </c>
      <c r="C1037" s="5">
        <v>0.81991655299999999</v>
      </c>
      <c r="D1037" s="5">
        <v>0.72276027399999998</v>
      </c>
      <c r="E1037" s="1">
        <v>1.7</v>
      </c>
      <c r="F1037" s="2">
        <v>5.0955414012738851</v>
      </c>
      <c r="G1037" s="3">
        <f t="shared" si="83"/>
        <v>20.392503735419968</v>
      </c>
      <c r="H1037" s="3">
        <f t="shared" si="84"/>
        <v>1.9758189930645009</v>
      </c>
      <c r="I1037" s="3">
        <f t="shared" si="80"/>
        <v>493.95474826612525</v>
      </c>
      <c r="J1037" s="5">
        <f t="shared" si="82"/>
        <v>9.1401890259239718</v>
      </c>
      <c r="K1037" s="5">
        <f t="shared" si="81"/>
        <v>2285.0472564809929</v>
      </c>
      <c r="L1037">
        <v>4</v>
      </c>
    </row>
    <row r="1038" spans="1:12" x14ac:dyDescent="0.3">
      <c r="A1038" t="s">
        <v>149</v>
      </c>
      <c r="B1038" t="s">
        <v>40</v>
      </c>
      <c r="C1038" s="5">
        <v>0.81991655299999999</v>
      </c>
      <c r="D1038" s="5">
        <v>0.72276027399999998</v>
      </c>
      <c r="E1038" s="1">
        <v>1.6</v>
      </c>
      <c r="F1038" s="2">
        <v>1.592356687898089</v>
      </c>
      <c r="G1038" s="3">
        <f t="shared" si="83"/>
        <v>1.9914554429121063</v>
      </c>
      <c r="H1038" s="3">
        <f t="shared" si="84"/>
        <v>0.19230800122786221</v>
      </c>
      <c r="I1038" s="3">
        <f t="shared" si="80"/>
        <v>48.077000306965552</v>
      </c>
      <c r="J1038" s="5">
        <f t="shared" si="82"/>
        <v>8.9998993590003646</v>
      </c>
      <c r="K1038" s="5">
        <f t="shared" si="81"/>
        <v>2249.9748397500912</v>
      </c>
      <c r="L1038">
        <v>4</v>
      </c>
    </row>
    <row r="1039" spans="1:12" x14ac:dyDescent="0.3">
      <c r="A1039" t="s">
        <v>149</v>
      </c>
      <c r="B1039" t="s">
        <v>11</v>
      </c>
      <c r="C1039" s="5">
        <v>0.89361000000000002</v>
      </c>
      <c r="D1039" s="5">
        <v>0.61247410899999999</v>
      </c>
      <c r="E1039">
        <v>3</v>
      </c>
      <c r="F1039" s="2">
        <v>3.9808917197452227</v>
      </c>
      <c r="G1039" s="3">
        <f t="shared" si="83"/>
        <v>12.446596518200664</v>
      </c>
      <c r="H1039" s="3">
        <f t="shared" si="84"/>
        <v>1.8073601821420351</v>
      </c>
      <c r="I1039" s="3">
        <f t="shared" si="80"/>
        <v>451.84004553550875</v>
      </c>
      <c r="J1039" s="5">
        <f t="shared" si="82"/>
        <v>9.1520987382855292</v>
      </c>
      <c r="K1039" s="5">
        <f t="shared" si="81"/>
        <v>2288.0246845713823</v>
      </c>
      <c r="L1039">
        <v>4</v>
      </c>
    </row>
    <row r="1040" spans="1:12" x14ac:dyDescent="0.3">
      <c r="A1040" t="s">
        <v>149</v>
      </c>
      <c r="B1040" t="s">
        <v>88</v>
      </c>
      <c r="C1040" s="5">
        <v>0.85449533600000005</v>
      </c>
      <c r="D1040" s="5">
        <v>0.81482857099999995</v>
      </c>
      <c r="E1040" s="1">
        <v>1.7</v>
      </c>
      <c r="F1040" s="2">
        <v>1.910828025477707</v>
      </c>
      <c r="G1040" s="3">
        <f t="shared" si="83"/>
        <v>2.8676958377934336</v>
      </c>
      <c r="H1040" s="3">
        <f t="shared" si="84"/>
        <v>0.32739982116318855</v>
      </c>
      <c r="I1040" s="3">
        <f t="shared" si="80"/>
        <v>81.849955290797141</v>
      </c>
      <c r="J1040" s="5">
        <f t="shared" si="82"/>
        <v>9.0074250192705581</v>
      </c>
      <c r="K1040" s="5">
        <f t="shared" si="81"/>
        <v>2251.8562548176396</v>
      </c>
      <c r="L1040">
        <v>4</v>
      </c>
    </row>
    <row r="1041" spans="1:12" x14ac:dyDescent="0.3">
      <c r="A1041" t="s">
        <v>149</v>
      </c>
      <c r="B1041" t="s">
        <v>117</v>
      </c>
      <c r="C1041" s="5">
        <v>0.85750000000000004</v>
      </c>
      <c r="D1041" s="5">
        <v>0.61247410899999999</v>
      </c>
      <c r="E1041" s="1">
        <v>6.8</v>
      </c>
      <c r="F1041" s="2">
        <v>20.700636942675157</v>
      </c>
      <c r="G1041" s="3">
        <f t="shared" si="83"/>
        <v>336.55596985214595</v>
      </c>
      <c r="H1041" s="3">
        <f t="shared" si="84"/>
        <v>100.35559521381832</v>
      </c>
      <c r="I1041" s="3">
        <f t="shared" si="80"/>
        <v>25088.89880345458</v>
      </c>
      <c r="J1041" s="5">
        <f t="shared" si="82"/>
        <v>19.184389602012253</v>
      </c>
      <c r="K1041" s="5">
        <f t="shared" si="81"/>
        <v>4796.097400503063</v>
      </c>
      <c r="L1041">
        <v>4</v>
      </c>
    </row>
    <row r="1042" spans="1:12" x14ac:dyDescent="0.3">
      <c r="A1042" t="s">
        <v>149</v>
      </c>
      <c r="B1042" t="s">
        <v>117</v>
      </c>
      <c r="C1042" s="5">
        <v>0.85750000000000004</v>
      </c>
      <c r="D1042" s="5">
        <v>0.61247410899999999</v>
      </c>
      <c r="E1042" s="1">
        <v>2.2000000000000002</v>
      </c>
      <c r="F1042" s="2">
        <v>5.5732484076433115</v>
      </c>
      <c r="G1042" s="3">
        <f t="shared" si="83"/>
        <v>24.395329175673304</v>
      </c>
      <c r="H1042" s="3">
        <f t="shared" si="84"/>
        <v>2.5752584902499169</v>
      </c>
      <c r="I1042" s="3">
        <f t="shared" si="80"/>
        <v>643.81462256247926</v>
      </c>
      <c r="J1042" s="5">
        <f t="shared" si="82"/>
        <v>9.2248704531623993</v>
      </c>
      <c r="K1042" s="5">
        <f t="shared" si="81"/>
        <v>2306.2176132905997</v>
      </c>
      <c r="L1042">
        <v>4</v>
      </c>
    </row>
    <row r="1043" spans="1:12" x14ac:dyDescent="0.3">
      <c r="A1043" t="s">
        <v>149</v>
      </c>
      <c r="B1043" t="s">
        <v>113</v>
      </c>
      <c r="C1043" s="5">
        <v>0.56023871300000005</v>
      </c>
      <c r="D1043" s="5">
        <v>0.74103703700000001</v>
      </c>
      <c r="E1043">
        <v>6</v>
      </c>
      <c r="F1043" s="2">
        <v>8.4394904458598727</v>
      </c>
      <c r="G1043" s="3">
        <f t="shared" si="83"/>
        <v>55.939983391401071</v>
      </c>
      <c r="H1043" s="3">
        <f t="shared" si="84"/>
        <v>18.561954940409922</v>
      </c>
      <c r="I1043" s="3">
        <f t="shared" si="80"/>
        <v>4640.4887351024809</v>
      </c>
      <c r="J1043" s="5">
        <f t="shared" si="82"/>
        <v>10.481424978700961</v>
      </c>
      <c r="K1043" s="5">
        <f t="shared" si="81"/>
        <v>2620.3562446752403</v>
      </c>
      <c r="L1043">
        <v>4</v>
      </c>
    </row>
    <row r="1044" spans="1:12" x14ac:dyDescent="0.3">
      <c r="A1044" t="s">
        <v>149</v>
      </c>
      <c r="B1044" t="s">
        <v>114</v>
      </c>
      <c r="C1044" s="5">
        <v>0.432770245</v>
      </c>
      <c r="D1044" s="5">
        <v>0.61247410899999999</v>
      </c>
      <c r="E1044" s="1">
        <v>5.5</v>
      </c>
      <c r="F1044" s="2">
        <v>18.789808917197451</v>
      </c>
      <c r="G1044" s="3">
        <f t="shared" si="83"/>
        <v>277.29025587108168</v>
      </c>
      <c r="H1044" s="3">
        <f t="shared" si="84"/>
        <v>67.530992380404186</v>
      </c>
      <c r="I1044" s="3">
        <f t="shared" si="80"/>
        <v>16882.748095101048</v>
      </c>
      <c r="J1044" s="5">
        <f t="shared" si="82"/>
        <v>15.782045693537263</v>
      </c>
      <c r="K1044" s="5">
        <f t="shared" si="81"/>
        <v>3945.511423384316</v>
      </c>
      <c r="L1044">
        <v>4</v>
      </c>
    </row>
    <row r="1045" spans="1:12" x14ac:dyDescent="0.3">
      <c r="A1045" t="s">
        <v>149</v>
      </c>
      <c r="B1045" t="s">
        <v>42</v>
      </c>
      <c r="C1045" s="5">
        <v>0.40238543599999999</v>
      </c>
      <c r="D1045" s="5">
        <v>0.40883333300000002</v>
      </c>
      <c r="E1045" s="1">
        <v>9.5</v>
      </c>
      <c r="F1045" s="2">
        <v>15.445859872611464</v>
      </c>
      <c r="G1045" s="3">
        <f t="shared" si="83"/>
        <v>187.37604262360011</v>
      </c>
      <c r="H1045" s="3">
        <f t="shared" si="84"/>
        <v>52.930218893917882</v>
      </c>
      <c r="I1045" s="3">
        <f t="shared" si="80"/>
        <v>13232.55472347947</v>
      </c>
      <c r="J1045" s="5">
        <f t="shared" si="82"/>
        <v>16.918305024544605</v>
      </c>
      <c r="K1045" s="5">
        <f t="shared" si="81"/>
        <v>4229.5762561361507</v>
      </c>
      <c r="L1045">
        <v>4</v>
      </c>
    </row>
    <row r="1046" spans="1:12" x14ac:dyDescent="0.3">
      <c r="A1046" t="s">
        <v>149</v>
      </c>
      <c r="B1046" t="s">
        <v>83</v>
      </c>
      <c r="C1046" s="5">
        <v>0.77</v>
      </c>
      <c r="D1046" s="5">
        <v>0.77</v>
      </c>
      <c r="E1046">
        <v>5</v>
      </c>
      <c r="F1046" s="2">
        <v>5.5732484076433115</v>
      </c>
      <c r="G1046" s="3">
        <f t="shared" si="83"/>
        <v>24.395329175673304</v>
      </c>
      <c r="H1046" s="3">
        <f t="shared" si="84"/>
        <v>7.1751062115471722</v>
      </c>
      <c r="I1046" s="3">
        <f t="shared" si="80"/>
        <v>1793.7765528867931</v>
      </c>
      <c r="J1046" s="5">
        <f t="shared" si="82"/>
        <v>9.5292692117327267</v>
      </c>
      <c r="K1046" s="5">
        <f t="shared" si="81"/>
        <v>2382.3173029331815</v>
      </c>
      <c r="L1046">
        <v>4</v>
      </c>
    </row>
    <row r="1047" spans="1:12" x14ac:dyDescent="0.3">
      <c r="A1047" t="s">
        <v>150</v>
      </c>
      <c r="B1047" t="s">
        <v>64</v>
      </c>
      <c r="C1047" s="5">
        <v>0.31264018999999998</v>
      </c>
      <c r="D1047" s="5">
        <v>0.356821212</v>
      </c>
      <c r="E1047">
        <v>5</v>
      </c>
      <c r="F1047" s="2">
        <v>17.834394904458598</v>
      </c>
      <c r="G1047" s="3">
        <f t="shared" si="83"/>
        <v>249.80817075889462</v>
      </c>
      <c r="H1047" s="3">
        <f t="shared" si="84"/>
        <v>32.798802842155169</v>
      </c>
      <c r="I1047" s="3">
        <f t="shared" si="80"/>
        <v>8199.7007105387929</v>
      </c>
      <c r="J1047" s="5">
        <f t="shared" si="82"/>
        <v>14.551848728143128</v>
      </c>
      <c r="K1047" s="5">
        <f t="shared" si="81"/>
        <v>3637.962182035782</v>
      </c>
      <c r="L1047">
        <v>4</v>
      </c>
    </row>
    <row r="1048" spans="1:12" x14ac:dyDescent="0.3">
      <c r="A1048" t="s">
        <v>150</v>
      </c>
      <c r="B1048" t="s">
        <v>80</v>
      </c>
      <c r="C1048" s="5">
        <v>0.6</v>
      </c>
      <c r="D1048" s="5">
        <v>0.66674999999999995</v>
      </c>
      <c r="E1048" s="1">
        <v>5.5</v>
      </c>
      <c r="F1048" s="2">
        <v>6.5286624203821653</v>
      </c>
      <c r="G1048" s="3">
        <f t="shared" si="83"/>
        <v>33.476365995352509</v>
      </c>
      <c r="H1048" s="3">
        <f t="shared" si="84"/>
        <v>9.3182385575544142</v>
      </c>
      <c r="I1048" s="3">
        <f t="shared" si="80"/>
        <v>2329.5596393886035</v>
      </c>
      <c r="J1048" s="5">
        <f t="shared" si="82"/>
        <v>9.8062010852367223</v>
      </c>
      <c r="K1048" s="5">
        <f t="shared" si="81"/>
        <v>2451.5502713091805</v>
      </c>
      <c r="L1048">
        <v>4</v>
      </c>
    </row>
    <row r="1049" spans="1:12" x14ac:dyDescent="0.3">
      <c r="A1049" t="s">
        <v>150</v>
      </c>
      <c r="B1049" t="s">
        <v>80</v>
      </c>
      <c r="C1049" s="5">
        <v>0.6</v>
      </c>
      <c r="D1049" s="5">
        <v>0.66674999999999995</v>
      </c>
      <c r="E1049">
        <v>5</v>
      </c>
      <c r="F1049" s="2">
        <v>13.375796178343949</v>
      </c>
      <c r="G1049" s="3">
        <f t="shared" si="83"/>
        <v>140.51709605187824</v>
      </c>
      <c r="H1049" s="3">
        <f t="shared" si="84"/>
        <v>34.432903231104994</v>
      </c>
      <c r="I1049" s="3">
        <f t="shared" si="80"/>
        <v>8608.225807776249</v>
      </c>
      <c r="J1049" s="5">
        <f t="shared" si="82"/>
        <v>12.116658659580509</v>
      </c>
      <c r="K1049" s="5">
        <f t="shared" si="81"/>
        <v>3029.1646648951273</v>
      </c>
      <c r="L1049">
        <v>4</v>
      </c>
    </row>
    <row r="1050" spans="1:12" x14ac:dyDescent="0.3">
      <c r="A1050" t="s">
        <v>150</v>
      </c>
      <c r="B1050" t="s">
        <v>39</v>
      </c>
      <c r="C1050" s="5">
        <v>0.54247040000000002</v>
      </c>
      <c r="D1050" s="5">
        <v>0.54247042099999998</v>
      </c>
      <c r="E1050" s="1">
        <v>2.7</v>
      </c>
      <c r="F1050" s="2">
        <v>11.305732484076433</v>
      </c>
      <c r="G1050" s="3">
        <f t="shared" si="83"/>
        <v>100.3892688771993</v>
      </c>
      <c r="H1050" s="3">
        <f t="shared" si="84"/>
        <v>11.112613437680197</v>
      </c>
      <c r="I1050" s="3">
        <f t="shared" si="80"/>
        <v>2778.1533594200496</v>
      </c>
      <c r="J1050" s="5">
        <f t="shared" si="82"/>
        <v>10.193595097164184</v>
      </c>
      <c r="K1050" s="5">
        <f t="shared" si="81"/>
        <v>2548.3987742910463</v>
      </c>
      <c r="L1050">
        <v>4</v>
      </c>
    </row>
    <row r="1051" spans="1:12" x14ac:dyDescent="0.3">
      <c r="A1051" t="s">
        <v>150</v>
      </c>
      <c r="B1051" t="s">
        <v>121</v>
      </c>
      <c r="C1051" s="5">
        <v>0.490852183</v>
      </c>
      <c r="D1051" s="5">
        <v>0.607288889</v>
      </c>
      <c r="E1051" s="1">
        <v>2.7</v>
      </c>
      <c r="F1051" s="2">
        <v>4.7770700636942669</v>
      </c>
      <c r="G1051" s="3">
        <f t="shared" si="83"/>
        <v>17.923098986208956</v>
      </c>
      <c r="H1051" s="3">
        <f t="shared" si="84"/>
        <v>2.3085719257053801</v>
      </c>
      <c r="I1051" s="3">
        <f t="shared" si="80"/>
        <v>577.14298142634505</v>
      </c>
      <c r="J1051" s="5">
        <f t="shared" si="82"/>
        <v>9.2013527648180453</v>
      </c>
      <c r="K1051" s="5">
        <f t="shared" si="81"/>
        <v>2300.3381912045115</v>
      </c>
      <c r="L1051">
        <v>4</v>
      </c>
    </row>
    <row r="1052" spans="1:12" x14ac:dyDescent="0.3">
      <c r="A1052" t="s">
        <v>150</v>
      </c>
      <c r="B1052" t="s">
        <v>117</v>
      </c>
      <c r="C1052" s="5">
        <v>0.85750000000000004</v>
      </c>
      <c r="D1052" s="5">
        <v>0.61247410899999999</v>
      </c>
      <c r="E1052">
        <v>6</v>
      </c>
      <c r="F1052" s="2">
        <v>17.993630573248407</v>
      </c>
      <c r="G1052" s="3">
        <f t="shared" si="83"/>
        <v>254.28894550544686</v>
      </c>
      <c r="H1052" s="3">
        <f t="shared" si="84"/>
        <v>67.558533021545372</v>
      </c>
      <c r="I1052" s="3">
        <f t="shared" si="80"/>
        <v>16889.633255386343</v>
      </c>
      <c r="J1052" s="5">
        <f t="shared" si="82"/>
        <v>15.784885565337333</v>
      </c>
      <c r="K1052" s="5">
        <f t="shared" si="81"/>
        <v>3946.2213913343335</v>
      </c>
      <c r="L1052">
        <v>4</v>
      </c>
    </row>
    <row r="1053" spans="1:12" x14ac:dyDescent="0.3">
      <c r="A1053" t="s">
        <v>150</v>
      </c>
      <c r="B1053" t="s">
        <v>117</v>
      </c>
      <c r="C1053" s="5">
        <v>0.85750000000000004</v>
      </c>
      <c r="D1053" s="5">
        <v>0.61247410899999999</v>
      </c>
      <c r="E1053">
        <v>5</v>
      </c>
      <c r="F1053" s="2">
        <v>18.949044585987259</v>
      </c>
      <c r="G1053" s="3">
        <f t="shared" si="83"/>
        <v>282.01000527078338</v>
      </c>
      <c r="H1053" s="3">
        <f t="shared" si="84"/>
        <v>62.554399801275267</v>
      </c>
      <c r="I1053" s="3">
        <f t="shared" si="80"/>
        <v>15638.599950318816</v>
      </c>
      <c r="J1053" s="5">
        <f t="shared" si="82"/>
        <v>15.269360087630329</v>
      </c>
      <c r="K1053" s="5">
        <f t="shared" si="81"/>
        <v>3817.340021907582</v>
      </c>
      <c r="L1053">
        <v>4</v>
      </c>
    </row>
    <row r="1054" spans="1:12" x14ac:dyDescent="0.3">
      <c r="A1054" t="s">
        <v>150</v>
      </c>
      <c r="B1054" t="s">
        <v>68</v>
      </c>
      <c r="C1054" s="5">
        <v>0.39</v>
      </c>
      <c r="D1054" s="5">
        <v>0.28861111099999998</v>
      </c>
      <c r="E1054">
        <v>6</v>
      </c>
      <c r="F1054" s="2">
        <v>10.19108280254777</v>
      </c>
      <c r="G1054" s="3">
        <f t="shared" si="83"/>
        <v>81.570014941679872</v>
      </c>
      <c r="H1054" s="3">
        <f t="shared" si="84"/>
        <v>10.685683404156585</v>
      </c>
      <c r="I1054" s="3">
        <f t="shared" si="80"/>
        <v>2671.4208510391463</v>
      </c>
      <c r="J1054" s="5">
        <f t="shared" si="82"/>
        <v>11.166721542456083</v>
      </c>
      <c r="K1054" s="5">
        <f t="shared" si="81"/>
        <v>2791.6803856140205</v>
      </c>
      <c r="L1054">
        <v>4</v>
      </c>
    </row>
    <row r="1055" spans="1:12" x14ac:dyDescent="0.3">
      <c r="A1055" t="s">
        <v>150</v>
      </c>
      <c r="B1055" t="s">
        <v>68</v>
      </c>
      <c r="C1055" s="5">
        <v>0.39</v>
      </c>
      <c r="D1055" s="5">
        <v>0.28861111099999998</v>
      </c>
      <c r="E1055">
        <v>6</v>
      </c>
      <c r="F1055" s="2">
        <v>17.834394904458598</v>
      </c>
      <c r="G1055" s="3">
        <f t="shared" si="83"/>
        <v>249.80817075889462</v>
      </c>
      <c r="H1055" s="3">
        <f t="shared" si="84"/>
        <v>31.85756469886493</v>
      </c>
      <c r="I1055" s="3">
        <f t="shared" si="80"/>
        <v>7964.3911747162329</v>
      </c>
      <c r="J1055" s="5">
        <f t="shared" si="82"/>
        <v>15.665078473771754</v>
      </c>
      <c r="K1055" s="5">
        <f t="shared" si="81"/>
        <v>3916.2696184429383</v>
      </c>
      <c r="L1055">
        <v>4</v>
      </c>
    </row>
    <row r="1056" spans="1:12" x14ac:dyDescent="0.3">
      <c r="A1056" t="s">
        <v>150</v>
      </c>
      <c r="B1056" t="s">
        <v>68</v>
      </c>
      <c r="C1056" s="5">
        <v>0.39</v>
      </c>
      <c r="D1056" s="5">
        <v>0.28861111099999998</v>
      </c>
      <c r="E1056" s="1">
        <v>5.5</v>
      </c>
      <c r="F1056" s="2">
        <v>7.9617834394904454</v>
      </c>
      <c r="G1056" s="3">
        <f t="shared" si="83"/>
        <v>49.786386072802657</v>
      </c>
      <c r="H1056" s="3">
        <f t="shared" si="84"/>
        <v>6.0624309703901513</v>
      </c>
      <c r="I1056" s="3">
        <f t="shared" si="80"/>
        <v>1515.6077425975379</v>
      </c>
      <c r="J1056" s="5">
        <f t="shared" si="82"/>
        <v>10.205957414093877</v>
      </c>
      <c r="K1056" s="5">
        <f t="shared" si="81"/>
        <v>2551.4893535234692</v>
      </c>
      <c r="L1056">
        <v>4</v>
      </c>
    </row>
    <row r="1057" spans="1:12" x14ac:dyDescent="0.3">
      <c r="A1057" t="s">
        <v>150</v>
      </c>
      <c r="B1057" t="s">
        <v>17</v>
      </c>
      <c r="C1057" s="5">
        <v>0.43836446099999998</v>
      </c>
      <c r="D1057" s="5">
        <v>0.58666666700000003</v>
      </c>
      <c r="E1057">
        <v>5</v>
      </c>
      <c r="F1057" s="2">
        <v>11.146496815286623</v>
      </c>
      <c r="G1057" s="3">
        <f t="shared" si="83"/>
        <v>97.581316702693215</v>
      </c>
      <c r="H1057" s="3">
        <f t="shared" si="84"/>
        <v>21.289916465215693</v>
      </c>
      <c r="I1057" s="3">
        <f t="shared" si="80"/>
        <v>5322.4791163039235</v>
      </c>
      <c r="J1057" s="5">
        <f t="shared" si="82"/>
        <v>11.15997684693091</v>
      </c>
      <c r="K1057" s="5">
        <f t="shared" si="81"/>
        <v>2789.9942117327273</v>
      </c>
      <c r="L1057">
        <v>4</v>
      </c>
    </row>
    <row r="1058" spans="1:12" x14ac:dyDescent="0.3">
      <c r="A1058" t="s">
        <v>150</v>
      </c>
      <c r="B1058" t="s">
        <v>17</v>
      </c>
      <c r="C1058" s="5">
        <v>0.43836446099999998</v>
      </c>
      <c r="D1058" s="5">
        <v>0.58666666700000003</v>
      </c>
      <c r="E1058">
        <v>4</v>
      </c>
      <c r="F1058" s="2">
        <v>11.305732484076433</v>
      </c>
      <c r="G1058" s="3">
        <f t="shared" si="83"/>
        <v>100.3892688771993</v>
      </c>
      <c r="H1058" s="3">
        <f t="shared" si="84"/>
        <v>17.604135687006128</v>
      </c>
      <c r="I1058" s="3">
        <f t="shared" si="80"/>
        <v>4401.033921751532</v>
      </c>
      <c r="J1058" s="5">
        <f t="shared" si="82"/>
        <v>10.775174218021014</v>
      </c>
      <c r="K1058" s="5">
        <f t="shared" si="81"/>
        <v>2693.7935545052537</v>
      </c>
      <c r="L1058">
        <v>4</v>
      </c>
    </row>
    <row r="1059" spans="1:12" x14ac:dyDescent="0.3">
      <c r="A1059" t="s">
        <v>150</v>
      </c>
      <c r="B1059" t="s">
        <v>17</v>
      </c>
      <c r="C1059" s="5">
        <v>0.43836446099999998</v>
      </c>
      <c r="D1059" s="5">
        <v>0.58666666700000003</v>
      </c>
      <c r="E1059" s="1">
        <v>3.9</v>
      </c>
      <c r="F1059" s="2">
        <v>11.146496815286623</v>
      </c>
      <c r="G1059" s="3">
        <f t="shared" si="83"/>
        <v>97.581316702693215</v>
      </c>
      <c r="H1059" s="3">
        <f t="shared" si="84"/>
        <v>16.705454261076383</v>
      </c>
      <c r="I1059" s="3">
        <f t="shared" si="80"/>
        <v>4176.3635652690955</v>
      </c>
      <c r="J1059" s="5">
        <f t="shared" si="82"/>
        <v>10.681635940606109</v>
      </c>
      <c r="K1059" s="5">
        <f t="shared" si="81"/>
        <v>2670.4089851515273</v>
      </c>
      <c r="L1059">
        <v>4</v>
      </c>
    </row>
    <row r="1060" spans="1:12" x14ac:dyDescent="0.3">
      <c r="A1060" t="s">
        <v>150</v>
      </c>
      <c r="B1060" t="s">
        <v>17</v>
      </c>
      <c r="C1060" s="5">
        <v>0.43836446099999998</v>
      </c>
      <c r="D1060" s="5">
        <v>0.58666666700000003</v>
      </c>
      <c r="E1060" s="1">
        <v>2.5</v>
      </c>
      <c r="F1060" s="2">
        <v>11.783439490445859</v>
      </c>
      <c r="G1060" s="3">
        <f t="shared" si="83"/>
        <v>109.05210005386697</v>
      </c>
      <c r="H1060" s="3">
        <f t="shared" si="84"/>
        <v>12.063619328860465</v>
      </c>
      <c r="I1060" s="3">
        <f t="shared" si="80"/>
        <v>3015.9048322151161</v>
      </c>
      <c r="J1060" s="5">
        <f t="shared" si="82"/>
        <v>10.200632654468741</v>
      </c>
      <c r="K1060" s="5">
        <f t="shared" si="81"/>
        <v>2550.1581636171854</v>
      </c>
      <c r="L1060">
        <v>4</v>
      </c>
    </row>
    <row r="1061" spans="1:12" x14ac:dyDescent="0.3">
      <c r="A1061" t="s">
        <v>150</v>
      </c>
      <c r="B1061" t="s">
        <v>44</v>
      </c>
      <c r="C1061" s="5">
        <v>0.57917600000000002</v>
      </c>
      <c r="D1061" s="5">
        <v>0.60285714300000004</v>
      </c>
      <c r="E1061">
        <v>7</v>
      </c>
      <c r="F1061" s="2">
        <v>14.490445859872612</v>
      </c>
      <c r="G1061" s="3">
        <f t="shared" si="83"/>
        <v>164.91242522755155</v>
      </c>
      <c r="H1061" s="3">
        <f t="shared" si="84"/>
        <v>50.670079967989068</v>
      </c>
      <c r="I1061" s="3">
        <f t="shared" si="80"/>
        <v>12667.519991997267</v>
      </c>
      <c r="J1061" s="5">
        <f t="shared" si="82"/>
        <v>14.130039019838533</v>
      </c>
      <c r="K1061" s="5">
        <f t="shared" si="81"/>
        <v>3532.509754959633</v>
      </c>
      <c r="L1061">
        <v>4</v>
      </c>
    </row>
    <row r="1062" spans="1:12" x14ac:dyDescent="0.3">
      <c r="A1062" t="s">
        <v>150</v>
      </c>
      <c r="B1062" t="s">
        <v>83</v>
      </c>
      <c r="C1062" s="5">
        <v>0.77</v>
      </c>
      <c r="D1062" s="5">
        <v>0.77</v>
      </c>
      <c r="E1062">
        <v>2</v>
      </c>
      <c r="F1062" s="2">
        <v>13.057324840764331</v>
      </c>
      <c r="G1062" s="3">
        <f t="shared" si="83"/>
        <v>133.90546398141004</v>
      </c>
      <c r="H1062" s="3">
        <f t="shared" si="84"/>
        <v>15.459046482938147</v>
      </c>
      <c r="I1062" s="3">
        <f t="shared" si="80"/>
        <v>3864.7616207345368</v>
      </c>
      <c r="J1062" s="5">
        <f t="shared" si="82"/>
        <v>10.179156123980688</v>
      </c>
      <c r="K1062" s="5">
        <f t="shared" si="81"/>
        <v>2544.7890309951717</v>
      </c>
      <c r="L1062">
        <v>4</v>
      </c>
    </row>
    <row r="1063" spans="1:12" x14ac:dyDescent="0.3">
      <c r="A1063" t="s">
        <v>151</v>
      </c>
      <c r="B1063" t="s">
        <v>55</v>
      </c>
      <c r="C1063" s="5">
        <v>0.41</v>
      </c>
      <c r="D1063" s="5">
        <v>0.33983503399999998</v>
      </c>
      <c r="E1063">
        <v>6</v>
      </c>
      <c r="F1063" s="2">
        <v>5.7324840764331206</v>
      </c>
      <c r="G1063" s="3">
        <f t="shared" si="83"/>
        <v>25.809262540140899</v>
      </c>
      <c r="H1063" s="3">
        <f t="shared" si="84"/>
        <v>4.0765582723808995</v>
      </c>
      <c r="I1063" s="3">
        <f t="shared" si="80"/>
        <v>1019.1395680952248</v>
      </c>
      <c r="J1063" s="5">
        <f t="shared" si="82"/>
        <v>9.6757888474177456</v>
      </c>
      <c r="K1063" s="5">
        <f t="shared" si="81"/>
        <v>2418.9472118544363</v>
      </c>
      <c r="L1063">
        <v>4</v>
      </c>
    </row>
    <row r="1064" spans="1:12" x14ac:dyDescent="0.3">
      <c r="A1064" t="s">
        <v>151</v>
      </c>
      <c r="B1064" t="s">
        <v>32</v>
      </c>
      <c r="C1064" s="5">
        <v>0.39790071399999999</v>
      </c>
      <c r="D1064" s="5">
        <v>0.50565277799999997</v>
      </c>
      <c r="E1064" s="1">
        <v>4.5</v>
      </c>
      <c r="F1064" s="2">
        <v>7.8025477707006363</v>
      </c>
      <c r="G1064" s="3">
        <f t="shared" si="83"/>
        <v>47.814845184319672</v>
      </c>
      <c r="H1064" s="3">
        <f t="shared" si="84"/>
        <v>8.2823950475436501</v>
      </c>
      <c r="I1064" s="3">
        <f t="shared" si="80"/>
        <v>2070.5987618859126</v>
      </c>
      <c r="J1064" s="5">
        <f t="shared" si="82"/>
        <v>9.9445560894965315</v>
      </c>
      <c r="K1064" s="5">
        <f t="shared" si="81"/>
        <v>2486.1390223741328</v>
      </c>
      <c r="L1064">
        <v>4</v>
      </c>
    </row>
    <row r="1065" spans="1:12" x14ac:dyDescent="0.3">
      <c r="A1065" t="s">
        <v>151</v>
      </c>
      <c r="B1065" t="s">
        <v>32</v>
      </c>
      <c r="C1065" s="5">
        <v>0.39790071399999999</v>
      </c>
      <c r="D1065" s="5">
        <v>0.50565277799999997</v>
      </c>
      <c r="E1065" s="1">
        <v>2.5</v>
      </c>
      <c r="F1065" s="2">
        <v>3.3439490445859872</v>
      </c>
      <c r="G1065" s="3">
        <f t="shared" si="83"/>
        <v>8.7823185032423901</v>
      </c>
      <c r="H1065" s="3">
        <f t="shared" si="84"/>
        <v>0.89272827752083095</v>
      </c>
      <c r="I1065" s="3">
        <f t="shared" si="80"/>
        <v>223.18206938020774</v>
      </c>
      <c r="J1065" s="5">
        <f t="shared" si="82"/>
        <v>9.0835424581118911</v>
      </c>
      <c r="K1065" s="5">
        <f t="shared" si="81"/>
        <v>2270.8856145279728</v>
      </c>
      <c r="L1065">
        <v>4</v>
      </c>
    </row>
    <row r="1066" spans="1:12" x14ac:dyDescent="0.3">
      <c r="A1066" t="s">
        <v>151</v>
      </c>
      <c r="B1066" t="s">
        <v>10</v>
      </c>
      <c r="C1066" s="5">
        <v>0.47982689899999997</v>
      </c>
      <c r="D1066" s="5">
        <v>0.51</v>
      </c>
      <c r="E1066" s="1">
        <v>1.8</v>
      </c>
      <c r="F1066" s="2">
        <v>3.8216560509554141</v>
      </c>
      <c r="G1066" s="3">
        <f t="shared" si="83"/>
        <v>11.470783351173734</v>
      </c>
      <c r="H1066" s="3">
        <f t="shared" si="84"/>
        <v>0.84782191899356762</v>
      </c>
      <c r="I1066" s="3">
        <f t="shared" si="80"/>
        <v>211.95547974839189</v>
      </c>
      <c r="J1066" s="5">
        <f t="shared" si="82"/>
        <v>9.0777118463223658</v>
      </c>
      <c r="K1066" s="5">
        <f t="shared" si="81"/>
        <v>2269.4279615805913</v>
      </c>
      <c r="L1066">
        <v>4</v>
      </c>
    </row>
    <row r="1067" spans="1:12" x14ac:dyDescent="0.3">
      <c r="A1067" t="s">
        <v>151</v>
      </c>
      <c r="B1067" t="s">
        <v>11</v>
      </c>
      <c r="C1067" s="5">
        <v>0.89361000000000002</v>
      </c>
      <c r="D1067" s="5">
        <v>0.61247410899999999</v>
      </c>
      <c r="E1067" s="1">
        <v>2.2000000000000002</v>
      </c>
      <c r="F1067" s="2">
        <v>2.3885350318471334</v>
      </c>
      <c r="G1067" s="3">
        <f t="shared" si="83"/>
        <v>4.480774746552239</v>
      </c>
      <c r="H1067" s="3">
        <f t="shared" si="84"/>
        <v>0.49264053450025874</v>
      </c>
      <c r="I1067" s="3">
        <f t="shared" si="80"/>
        <v>123.16013362506469</v>
      </c>
      <c r="J1067" s="5">
        <f t="shared" si="82"/>
        <v>9.0296292669073797</v>
      </c>
      <c r="K1067" s="5">
        <f t="shared" si="81"/>
        <v>2257.4073167268448</v>
      </c>
      <c r="L1067">
        <v>4</v>
      </c>
    </row>
    <row r="1068" spans="1:12" x14ac:dyDescent="0.3">
      <c r="A1068" t="s">
        <v>151</v>
      </c>
      <c r="B1068" t="s">
        <v>13</v>
      </c>
      <c r="C1068" s="5">
        <v>0.45255480399999998</v>
      </c>
      <c r="D1068" s="5">
        <v>0.57808694400000005</v>
      </c>
      <c r="E1068" s="1">
        <v>1.9</v>
      </c>
      <c r="F1068" s="2">
        <v>4.1401273885350314</v>
      </c>
      <c r="G1068" s="3">
        <f t="shared" si="83"/>
        <v>13.462238794085838</v>
      </c>
      <c r="H1068" s="3">
        <f t="shared" si="84"/>
        <v>1.1808497842153587</v>
      </c>
      <c r="I1068" s="3">
        <f t="shared" si="80"/>
        <v>295.2124460538397</v>
      </c>
      <c r="J1068" s="5">
        <f t="shared" si="82"/>
        <v>9.0996853543754312</v>
      </c>
      <c r="K1068" s="5">
        <f t="shared" si="81"/>
        <v>2274.9213385938579</v>
      </c>
      <c r="L1068">
        <v>4</v>
      </c>
    </row>
    <row r="1069" spans="1:12" x14ac:dyDescent="0.3">
      <c r="A1069" t="s">
        <v>151</v>
      </c>
      <c r="B1069" t="s">
        <v>61</v>
      </c>
      <c r="C1069" s="5">
        <v>0.62643652800000005</v>
      </c>
      <c r="D1069" s="5">
        <v>0.57808694400000005</v>
      </c>
      <c r="E1069" s="1">
        <v>5.3</v>
      </c>
      <c r="F1069" s="2">
        <v>20.541401273885349</v>
      </c>
      <c r="G1069" s="3">
        <f t="shared" si="83"/>
        <v>331.39810025500361</v>
      </c>
      <c r="H1069" s="3">
        <f t="shared" si="84"/>
        <v>73.260103524519508</v>
      </c>
      <c r="I1069" s="3">
        <f t="shared" si="80"/>
        <v>18315.025881129877</v>
      </c>
      <c r="J1069" s="5">
        <f t="shared" si="82"/>
        <v>16.812857034768143</v>
      </c>
      <c r="K1069" s="5">
        <f t="shared" si="81"/>
        <v>4203.2142586920354</v>
      </c>
      <c r="L1069">
        <v>4</v>
      </c>
    </row>
    <row r="1070" spans="1:12" x14ac:dyDescent="0.3">
      <c r="A1070" t="s">
        <v>151</v>
      </c>
      <c r="B1070" t="s">
        <v>61</v>
      </c>
      <c r="C1070" s="5">
        <v>0.62643652800000005</v>
      </c>
      <c r="D1070" s="5">
        <v>0.57808694400000005</v>
      </c>
      <c r="E1070" s="1">
        <v>4.9000000000000004</v>
      </c>
      <c r="F1070" s="2">
        <v>18.471337579617835</v>
      </c>
      <c r="G1070" s="3">
        <f t="shared" si="83"/>
        <v>267.9702443982531</v>
      </c>
      <c r="H1070" s="3">
        <f t="shared" si="84"/>
        <v>55.15139905279802</v>
      </c>
      <c r="I1070" s="3">
        <f t="shared" si="80"/>
        <v>13787.849763199505</v>
      </c>
      <c r="J1070" s="5">
        <f t="shared" si="82"/>
        <v>14.837113850460465</v>
      </c>
      <c r="K1070" s="5">
        <f t="shared" si="81"/>
        <v>3709.2784626151165</v>
      </c>
      <c r="L1070">
        <v>4</v>
      </c>
    </row>
    <row r="1071" spans="1:12" x14ac:dyDescent="0.3">
      <c r="A1071" t="s">
        <v>151</v>
      </c>
      <c r="B1071" t="s">
        <v>61</v>
      </c>
      <c r="C1071" s="5">
        <v>0.62643652800000005</v>
      </c>
      <c r="D1071" s="5">
        <v>0.57808694400000005</v>
      </c>
      <c r="E1071" s="1">
        <v>4.7</v>
      </c>
      <c r="F1071" s="2">
        <v>15.127388535031846</v>
      </c>
      <c r="G1071" s="3">
        <f t="shared" si="83"/>
        <v>179.7288537228176</v>
      </c>
      <c r="H1071" s="3">
        <f t="shared" si="84"/>
        <v>35.858089896834315</v>
      </c>
      <c r="I1071" s="3">
        <f t="shared" si="80"/>
        <v>8964.5224742085793</v>
      </c>
      <c r="J1071" s="5">
        <f t="shared" si="82"/>
        <v>12.750083189987423</v>
      </c>
      <c r="K1071" s="5">
        <f t="shared" si="81"/>
        <v>3187.5207974968557</v>
      </c>
      <c r="L1071">
        <v>4</v>
      </c>
    </row>
    <row r="1072" spans="1:12" x14ac:dyDescent="0.3">
      <c r="A1072" t="s">
        <v>151</v>
      </c>
      <c r="B1072" t="s">
        <v>61</v>
      </c>
      <c r="C1072" s="5">
        <v>0.62643652800000005</v>
      </c>
      <c r="D1072" s="5">
        <v>0.57808694400000005</v>
      </c>
      <c r="E1072" s="1">
        <v>3.9</v>
      </c>
      <c r="F1072" s="2">
        <v>8.2802547770700627</v>
      </c>
      <c r="G1072" s="3">
        <f t="shared" si="83"/>
        <v>53.848955176343352</v>
      </c>
      <c r="H1072" s="3">
        <f t="shared" si="84"/>
        <v>9.2176613416491531</v>
      </c>
      <c r="I1072" s="3">
        <f t="shared" si="80"/>
        <v>2304.4153354122882</v>
      </c>
      <c r="J1072" s="5">
        <f t="shared" si="82"/>
        <v>9.9215797517140647</v>
      </c>
      <c r="K1072" s="5">
        <f t="shared" si="81"/>
        <v>2480.3949379285164</v>
      </c>
      <c r="L1072">
        <v>4</v>
      </c>
    </row>
    <row r="1073" spans="1:12" x14ac:dyDescent="0.3">
      <c r="A1073" t="s">
        <v>151</v>
      </c>
      <c r="B1073" t="s">
        <v>146</v>
      </c>
      <c r="C1073" s="5">
        <v>0.13069240100000001</v>
      </c>
      <c r="D1073" s="5">
        <v>0.26500000000000001</v>
      </c>
      <c r="E1073" s="1">
        <v>3.5</v>
      </c>
      <c r="F1073" s="2">
        <v>8.7579617834394909</v>
      </c>
      <c r="G1073" s="3">
        <f t="shared" si="83"/>
        <v>60.241527148091237</v>
      </c>
      <c r="H1073" s="3">
        <f t="shared" si="84"/>
        <v>4.3219943398603453</v>
      </c>
      <c r="I1073" s="3">
        <f t="shared" si="80"/>
        <v>1080.4985849650864</v>
      </c>
      <c r="J1073" s="5">
        <f t="shared" si="82"/>
        <v>9.9252982088522863</v>
      </c>
      <c r="K1073" s="5">
        <f t="shared" si="81"/>
        <v>2481.3245522130715</v>
      </c>
      <c r="L1073">
        <v>4</v>
      </c>
    </row>
    <row r="1074" spans="1:12" x14ac:dyDescent="0.3">
      <c r="A1074" t="s">
        <v>151</v>
      </c>
      <c r="B1074" t="s">
        <v>152</v>
      </c>
      <c r="C1074" s="5">
        <v>0.63</v>
      </c>
      <c r="D1074" s="5">
        <v>0.629222222</v>
      </c>
      <c r="E1074" s="1">
        <v>2.8</v>
      </c>
      <c r="F1074" s="2">
        <v>6.8471337579617835</v>
      </c>
      <c r="G1074" s="3">
        <f t="shared" si="83"/>
        <v>36.822011139444854</v>
      </c>
      <c r="H1074" s="3">
        <f t="shared" si="84"/>
        <v>5.0001986477239075</v>
      </c>
      <c r="I1074" s="3">
        <f t="shared" si="80"/>
        <v>1250.049661930977</v>
      </c>
      <c r="J1074" s="5">
        <f t="shared" si="82"/>
        <v>9.4451557588543142</v>
      </c>
      <c r="K1074" s="5">
        <f t="shared" si="81"/>
        <v>2361.2889397135787</v>
      </c>
      <c r="L1074">
        <v>4</v>
      </c>
    </row>
    <row r="1075" spans="1:12" x14ac:dyDescent="0.3">
      <c r="A1075" t="s">
        <v>151</v>
      </c>
      <c r="B1075" t="s">
        <v>117</v>
      </c>
      <c r="C1075" s="5">
        <v>0.85750000000000004</v>
      </c>
      <c r="D1075" s="5">
        <v>0.61247410899999999</v>
      </c>
      <c r="E1075">
        <v>7</v>
      </c>
      <c r="F1075" s="2">
        <v>14.64968152866242</v>
      </c>
      <c r="G1075" s="3">
        <f t="shared" si="83"/>
        <v>168.5567886880807</v>
      </c>
      <c r="H1075" s="3">
        <f t="shared" si="84"/>
        <v>52.568428545537849</v>
      </c>
      <c r="I1075" s="3">
        <f t="shared" si="80"/>
        <v>13142.107136384462</v>
      </c>
      <c r="J1075" s="5">
        <f t="shared" si="82"/>
        <v>14.243722637835205</v>
      </c>
      <c r="K1075" s="5">
        <f t="shared" si="81"/>
        <v>3560.9306594588011</v>
      </c>
      <c r="L1075">
        <v>4</v>
      </c>
    </row>
    <row r="1076" spans="1:12" x14ac:dyDescent="0.3">
      <c r="A1076" t="s">
        <v>151</v>
      </c>
      <c r="B1076" t="s">
        <v>117</v>
      </c>
      <c r="C1076" s="5">
        <v>0.85750000000000004</v>
      </c>
      <c r="D1076" s="5">
        <v>0.61247410899999999</v>
      </c>
      <c r="E1076" s="1">
        <v>5.7</v>
      </c>
      <c r="F1076" s="2">
        <v>10.509554140127388</v>
      </c>
      <c r="G1076" s="3">
        <f t="shared" si="83"/>
        <v>86.747799093251359</v>
      </c>
      <c r="H1076" s="3">
        <f t="shared" si="84"/>
        <v>22.494642212773147</v>
      </c>
      <c r="I1076" s="3">
        <f t="shared" si="80"/>
        <v>5623.6605531932864</v>
      </c>
      <c r="J1076" s="5">
        <f t="shared" si="82"/>
        <v>11.18919202807416</v>
      </c>
      <c r="K1076" s="5">
        <f t="shared" si="81"/>
        <v>2797.2980070185399</v>
      </c>
      <c r="L1076">
        <v>4</v>
      </c>
    </row>
    <row r="1077" spans="1:12" x14ac:dyDescent="0.3">
      <c r="A1077" t="s">
        <v>151</v>
      </c>
      <c r="B1077" t="s">
        <v>68</v>
      </c>
      <c r="C1077" s="5">
        <v>0.39</v>
      </c>
      <c r="D1077" s="5">
        <v>0.28861111099999998</v>
      </c>
      <c r="E1077">
        <v>5</v>
      </c>
      <c r="F1077" s="2">
        <v>11.464968152866241</v>
      </c>
      <c r="G1077" s="3">
        <f t="shared" si="83"/>
        <v>103.2370501605636</v>
      </c>
      <c r="H1077" s="3">
        <f t="shared" si="84"/>
        <v>11.255664264346924</v>
      </c>
      <c r="I1077" s="3">
        <f t="shared" si="80"/>
        <v>2813.916066086731</v>
      </c>
      <c r="J1077" s="5">
        <f t="shared" si="82"/>
        <v>11.285996158059149</v>
      </c>
      <c r="K1077" s="5">
        <f t="shared" si="81"/>
        <v>2821.499039514787</v>
      </c>
      <c r="L1077">
        <v>4</v>
      </c>
    </row>
    <row r="1078" spans="1:12" x14ac:dyDescent="0.3">
      <c r="A1078" t="s">
        <v>151</v>
      </c>
      <c r="B1078" t="s">
        <v>17</v>
      </c>
      <c r="C1078" s="5">
        <v>0.43836446099999998</v>
      </c>
      <c r="D1078" s="5">
        <v>0.58666666700000003</v>
      </c>
      <c r="E1078">
        <v>4</v>
      </c>
      <c r="F1078" s="2">
        <v>16.560509554140125</v>
      </c>
      <c r="G1078" s="3">
        <f t="shared" si="83"/>
        <v>215.39582070537341</v>
      </c>
      <c r="H1078" s="3">
        <f t="shared" si="84"/>
        <v>37.085786084507504</v>
      </c>
      <c r="I1078" s="3">
        <f t="shared" si="80"/>
        <v>9271.4465211268762</v>
      </c>
      <c r="J1078" s="5">
        <f t="shared" si="82"/>
        <v>12.825206673698728</v>
      </c>
      <c r="K1078" s="5">
        <f t="shared" si="81"/>
        <v>3206.3016684246822</v>
      </c>
      <c r="L1078">
        <v>4</v>
      </c>
    </row>
    <row r="1079" spans="1:12" x14ac:dyDescent="0.3">
      <c r="A1079" t="s">
        <v>151</v>
      </c>
      <c r="B1079" t="s">
        <v>89</v>
      </c>
      <c r="C1079" s="5">
        <v>0.28577490700000002</v>
      </c>
      <c r="D1079" s="5">
        <v>0.3422</v>
      </c>
      <c r="E1079" s="1">
        <v>6.5</v>
      </c>
      <c r="F1079" s="2">
        <v>8.1210191082802545</v>
      </c>
      <c r="G1079" s="3">
        <f t="shared" si="83"/>
        <v>51.79775607014389</v>
      </c>
      <c r="H1079" s="3">
        <f t="shared" si="84"/>
        <v>8.758617177183444</v>
      </c>
      <c r="I1079" s="3">
        <f t="shared" si="80"/>
        <v>2189.6542942958608</v>
      </c>
      <c r="J1079" s="5">
        <f t="shared" si="82"/>
        <v>10.486084143372956</v>
      </c>
      <c r="K1079" s="5">
        <f t="shared" si="81"/>
        <v>2621.5210358432391</v>
      </c>
      <c r="L1079">
        <v>4</v>
      </c>
    </row>
    <row r="1080" spans="1:12" x14ac:dyDescent="0.3">
      <c r="A1080" t="s">
        <v>151</v>
      </c>
      <c r="B1080" t="s">
        <v>89</v>
      </c>
      <c r="C1080" s="5">
        <v>0.28577490700000002</v>
      </c>
      <c r="D1080" s="5">
        <v>0.3422</v>
      </c>
      <c r="E1080">
        <v>5</v>
      </c>
      <c r="F1080" s="2">
        <v>9.872611464968152</v>
      </c>
      <c r="G1080" s="3">
        <f t="shared" si="83"/>
        <v>76.55154722554137</v>
      </c>
      <c r="H1080" s="3">
        <f t="shared" si="84"/>
        <v>9.9265521118458029</v>
      </c>
      <c r="I1080" s="3">
        <f t="shared" si="80"/>
        <v>2481.6380279614509</v>
      </c>
      <c r="J1080" s="5">
        <f t="shared" si="82"/>
        <v>10.691397999918861</v>
      </c>
      <c r="K1080" s="5">
        <f t="shared" si="81"/>
        <v>2672.8494999797153</v>
      </c>
      <c r="L1080">
        <v>4</v>
      </c>
    </row>
    <row r="1081" spans="1:12" x14ac:dyDescent="0.3">
      <c r="A1081" t="s">
        <v>151</v>
      </c>
      <c r="B1081" t="s">
        <v>89</v>
      </c>
      <c r="C1081" s="5">
        <v>0.28577490700000002</v>
      </c>
      <c r="D1081" s="5">
        <v>0.3422</v>
      </c>
      <c r="E1081" s="1">
        <v>4.5</v>
      </c>
      <c r="F1081" s="2">
        <v>12.101910828025478</v>
      </c>
      <c r="G1081" s="3">
        <f t="shared" si="83"/>
        <v>115.02646638260329</v>
      </c>
      <c r="H1081" s="3">
        <f t="shared" si="84"/>
        <v>13.327192485421751</v>
      </c>
      <c r="I1081" s="3">
        <f t="shared" si="80"/>
        <v>3331.7981213554376</v>
      </c>
      <c r="J1081" s="5">
        <f t="shared" si="82"/>
        <v>11.292385869609316</v>
      </c>
      <c r="K1081" s="5">
        <f t="shared" si="81"/>
        <v>2823.0964674023289</v>
      </c>
      <c r="L1081">
        <v>4</v>
      </c>
    </row>
    <row r="1082" spans="1:12" x14ac:dyDescent="0.3">
      <c r="A1082" t="s">
        <v>153</v>
      </c>
      <c r="B1082" t="s">
        <v>55</v>
      </c>
      <c r="C1082" s="5">
        <v>0.41</v>
      </c>
      <c r="D1082" s="5">
        <v>0.33983503399999998</v>
      </c>
      <c r="E1082">
        <v>8</v>
      </c>
      <c r="F1082" s="2">
        <v>9.7133757961783438</v>
      </c>
      <c r="G1082" s="3">
        <f t="shared" si="83"/>
        <v>74.102057030759482</v>
      </c>
      <c r="H1082" s="3">
        <f t="shared" si="84"/>
        <v>15.111070024670264</v>
      </c>
      <c r="I1082" s="3">
        <f t="shared" si="80"/>
        <v>3777.7675061675659</v>
      </c>
      <c r="J1082" s="5">
        <f t="shared" si="82"/>
        <v>11.627490742017931</v>
      </c>
      <c r="K1082" s="5">
        <f t="shared" si="81"/>
        <v>2906.8726855044829</v>
      </c>
      <c r="L1082">
        <v>4</v>
      </c>
    </row>
    <row r="1083" spans="1:12" x14ac:dyDescent="0.3">
      <c r="A1083" t="s">
        <v>153</v>
      </c>
      <c r="B1083" t="s">
        <v>55</v>
      </c>
      <c r="C1083" s="5">
        <v>0.41</v>
      </c>
      <c r="D1083" s="5">
        <v>0.33983503399999998</v>
      </c>
      <c r="E1083">
        <v>7</v>
      </c>
      <c r="F1083" s="2">
        <v>7.0063694267515917</v>
      </c>
      <c r="G1083" s="3">
        <f t="shared" si="83"/>
        <v>38.554577374778376</v>
      </c>
      <c r="H1083" s="3">
        <f t="shared" si="84"/>
        <v>7.0105301985092154</v>
      </c>
      <c r="I1083" s="3">
        <f t="shared" si="80"/>
        <v>1752.6325496273039</v>
      </c>
      <c r="J1083" s="5">
        <f t="shared" si="82"/>
        <v>10.188385707330925</v>
      </c>
      <c r="K1083" s="5">
        <f t="shared" si="81"/>
        <v>2547.0964268327311</v>
      </c>
      <c r="L1083">
        <v>4</v>
      </c>
    </row>
    <row r="1084" spans="1:12" x14ac:dyDescent="0.3">
      <c r="A1084" t="s">
        <v>153</v>
      </c>
      <c r="B1084" t="s">
        <v>55</v>
      </c>
      <c r="C1084" s="5">
        <v>0.41</v>
      </c>
      <c r="D1084" s="5">
        <v>0.33983503399999998</v>
      </c>
      <c r="E1084">
        <v>7</v>
      </c>
      <c r="F1084" s="2">
        <v>10.031847133757962</v>
      </c>
      <c r="G1084" s="3">
        <f t="shared" si="83"/>
        <v>79.040866529181514</v>
      </c>
      <c r="H1084" s="3">
        <f t="shared" si="84"/>
        <v>14.126806367615263</v>
      </c>
      <c r="I1084" s="3">
        <f t="shared" si="80"/>
        <v>3531.7015919038158</v>
      </c>
      <c r="J1084" s="5">
        <f t="shared" si="82"/>
        <v>11.451329944419651</v>
      </c>
      <c r="K1084" s="5">
        <f t="shared" si="81"/>
        <v>2862.8324861049127</v>
      </c>
      <c r="L1084">
        <v>4</v>
      </c>
    </row>
    <row r="1085" spans="1:12" x14ac:dyDescent="0.3">
      <c r="A1085" t="s">
        <v>153</v>
      </c>
      <c r="B1085" t="s">
        <v>121</v>
      </c>
      <c r="C1085" s="5">
        <v>0.490852183</v>
      </c>
      <c r="D1085" s="5">
        <v>0.607288889</v>
      </c>
      <c r="E1085" s="1">
        <v>5.5</v>
      </c>
      <c r="F1085" s="2">
        <v>4.1401273885350314</v>
      </c>
      <c r="G1085" s="3">
        <f t="shared" si="83"/>
        <v>13.462238794085838</v>
      </c>
      <c r="H1085" s="3">
        <f t="shared" si="84"/>
        <v>3.4963399059182478</v>
      </c>
      <c r="I1085" s="3">
        <f t="shared" si="80"/>
        <v>874.08497647956199</v>
      </c>
      <c r="J1085" s="5">
        <f t="shared" si="82"/>
        <v>9.3156576047709834</v>
      </c>
      <c r="K1085" s="5">
        <f t="shared" si="81"/>
        <v>2328.914401192746</v>
      </c>
      <c r="L1085">
        <v>4</v>
      </c>
    </row>
    <row r="1086" spans="1:12" x14ac:dyDescent="0.3">
      <c r="A1086" t="s">
        <v>153</v>
      </c>
      <c r="B1086" t="s">
        <v>61</v>
      </c>
      <c r="C1086" s="5">
        <v>0.62643652800000005</v>
      </c>
      <c r="D1086" s="5">
        <v>0.57808694400000005</v>
      </c>
      <c r="E1086">
        <v>6</v>
      </c>
      <c r="F1086" s="2">
        <v>20.222929936305732</v>
      </c>
      <c r="G1086" s="3">
        <f t="shared" si="83"/>
        <v>321.20184838729369</v>
      </c>
      <c r="H1086" s="3">
        <f t="shared" si="84"/>
        <v>80.205407277777752</v>
      </c>
      <c r="I1086" s="3">
        <f t="shared" si="80"/>
        <v>20051.351819444437</v>
      </c>
      <c r="J1086" s="5">
        <f t="shared" si="82"/>
        <v>17.574004799383342</v>
      </c>
      <c r="K1086" s="5">
        <f t="shared" si="81"/>
        <v>4393.5011998458358</v>
      </c>
      <c r="L1086">
        <v>4</v>
      </c>
    </row>
    <row r="1087" spans="1:12" x14ac:dyDescent="0.3">
      <c r="A1087" t="s">
        <v>153</v>
      </c>
      <c r="B1087" t="s">
        <v>61</v>
      </c>
      <c r="C1087" s="5">
        <v>0.62643652800000005</v>
      </c>
      <c r="D1087" s="5">
        <v>0.57808694400000005</v>
      </c>
      <c r="E1087">
        <v>5</v>
      </c>
      <c r="F1087" s="2">
        <v>16.401273885350317</v>
      </c>
      <c r="G1087" s="3">
        <f t="shared" si="83"/>
        <v>211.27350793854535</v>
      </c>
      <c r="H1087" s="3">
        <f t="shared" si="84"/>
        <v>44.602186738800711</v>
      </c>
      <c r="I1087" s="3">
        <f t="shared" si="80"/>
        <v>11150.546684700177</v>
      </c>
      <c r="J1087" s="5">
        <f t="shared" si="82"/>
        <v>13.693231238589799</v>
      </c>
      <c r="K1087" s="5">
        <f t="shared" si="81"/>
        <v>3423.3078096474496</v>
      </c>
      <c r="L1087">
        <v>4</v>
      </c>
    </row>
    <row r="1088" spans="1:12" x14ac:dyDescent="0.3">
      <c r="A1088" t="s">
        <v>153</v>
      </c>
      <c r="B1088" t="s">
        <v>61</v>
      </c>
      <c r="C1088" s="5">
        <v>0.62643652800000005</v>
      </c>
      <c r="D1088" s="5">
        <v>0.57808694400000005</v>
      </c>
      <c r="E1088" s="1">
        <v>4.5</v>
      </c>
      <c r="F1088" s="2">
        <v>4.936305732484076</v>
      </c>
      <c r="G1088" s="3">
        <f t="shared" si="83"/>
        <v>19.137886806385342</v>
      </c>
      <c r="H1088" s="3">
        <f t="shared" si="84"/>
        <v>3.8616828605014257</v>
      </c>
      <c r="I1088" s="3">
        <f t="shared" si="80"/>
        <v>965.42071512535642</v>
      </c>
      <c r="J1088" s="5">
        <f t="shared" si="82"/>
        <v>9.3694820499817428</v>
      </c>
      <c r="K1088" s="5">
        <f t="shared" si="81"/>
        <v>2342.3705124954358</v>
      </c>
      <c r="L1088">
        <v>4</v>
      </c>
    </row>
    <row r="1089" spans="1:12" x14ac:dyDescent="0.3">
      <c r="A1089" t="s">
        <v>153</v>
      </c>
      <c r="B1089" t="s">
        <v>117</v>
      </c>
      <c r="C1089" s="5">
        <v>0.85750000000000004</v>
      </c>
      <c r="D1089" s="5">
        <v>0.61247410899999999</v>
      </c>
      <c r="E1089" s="1">
        <v>6.5</v>
      </c>
      <c r="F1089" s="2">
        <v>15.764331210191083</v>
      </c>
      <c r="G1089" s="3">
        <f t="shared" si="83"/>
        <v>195.18254795981557</v>
      </c>
      <c r="H1089" s="3">
        <f t="shared" si="84"/>
        <v>56.425940235257926</v>
      </c>
      <c r="I1089" s="3">
        <f t="shared" si="80"/>
        <v>14106.485058814482</v>
      </c>
      <c r="J1089" s="5">
        <f t="shared" si="82"/>
        <v>14.639396650979755</v>
      </c>
      <c r="K1089" s="5">
        <f t="shared" si="81"/>
        <v>3659.8491627449389</v>
      </c>
      <c r="L1089">
        <v>4</v>
      </c>
    </row>
    <row r="1090" spans="1:12" x14ac:dyDescent="0.3">
      <c r="A1090" t="s">
        <v>153</v>
      </c>
      <c r="B1090" t="s">
        <v>117</v>
      </c>
      <c r="C1090" s="5">
        <v>0.85750000000000004</v>
      </c>
      <c r="D1090" s="5">
        <v>0.61247410899999999</v>
      </c>
      <c r="E1090" s="1">
        <v>6.5</v>
      </c>
      <c r="F1090" s="2">
        <v>7.9617834394904454</v>
      </c>
      <c r="G1090" s="3">
        <f t="shared" si="83"/>
        <v>49.786386072802657</v>
      </c>
      <c r="H1090" s="3">
        <f t="shared" si="84"/>
        <v>14.872649842225801</v>
      </c>
      <c r="I1090" s="3">
        <f t="shared" ref="I1090:I1153" si="85">(H1090*1000)/L1090</f>
        <v>3718.1624605564502</v>
      </c>
      <c r="J1090" s="5">
        <f t="shared" si="82"/>
        <v>10.427822398474582</v>
      </c>
      <c r="K1090" s="5">
        <f t="shared" ref="K1090:K1153" si="86">(J1090*1000)/L1090</f>
        <v>2606.9555996186455</v>
      </c>
      <c r="L1090">
        <v>4</v>
      </c>
    </row>
    <row r="1091" spans="1:12" x14ac:dyDescent="0.3">
      <c r="A1091" t="s">
        <v>153</v>
      </c>
      <c r="B1091" t="s">
        <v>117</v>
      </c>
      <c r="C1091" s="5">
        <v>0.85750000000000004</v>
      </c>
      <c r="D1091" s="5">
        <v>0.61247410899999999</v>
      </c>
      <c r="E1091" s="1">
        <v>5.7</v>
      </c>
      <c r="F1091" s="2">
        <v>9.3949044585987256</v>
      </c>
      <c r="G1091" s="3">
        <f t="shared" si="83"/>
        <v>69.322563967770421</v>
      </c>
      <c r="H1091" s="3">
        <f t="shared" si="84"/>
        <v>18.07309179647941</v>
      </c>
      <c r="I1091" s="3">
        <f t="shared" si="85"/>
        <v>4518.2729491198525</v>
      </c>
      <c r="J1091" s="5">
        <f t="shared" ref="J1091:J1154" si="87">8.9857 + 0.0035 * F1091^2 * E1091</f>
        <v>10.746571384234654</v>
      </c>
      <c r="K1091" s="5">
        <f t="shared" si="86"/>
        <v>2686.6428460586635</v>
      </c>
      <c r="L1091">
        <v>4</v>
      </c>
    </row>
    <row r="1092" spans="1:12" x14ac:dyDescent="0.3">
      <c r="A1092" t="s">
        <v>153</v>
      </c>
      <c r="B1092" t="s">
        <v>117</v>
      </c>
      <c r="C1092" s="5">
        <v>0.85750000000000004</v>
      </c>
      <c r="D1092" s="5">
        <v>0.61247410899999999</v>
      </c>
      <c r="E1092" s="1">
        <v>5.6</v>
      </c>
      <c r="F1092" s="2">
        <v>9.5541401273885338</v>
      </c>
      <c r="G1092" s="3">
        <f t="shared" ref="G1092:G1155" si="88">PI()*(F1092/2)^2</f>
        <v>71.692395944835823</v>
      </c>
      <c r="H1092" s="3">
        <f t="shared" ref="H1092:H1155" si="89">0.0673 * ((D1092 * F1092^2 * E1092)^0.976)</f>
        <v>18.356007383114878</v>
      </c>
      <c r="I1092" s="3">
        <f t="shared" si="85"/>
        <v>4589.0018457787201</v>
      </c>
      <c r="J1092" s="5">
        <f t="shared" si="87"/>
        <v>10.774819234046005</v>
      </c>
      <c r="K1092" s="5">
        <f t="shared" si="86"/>
        <v>2693.7048085115011</v>
      </c>
      <c r="L1092">
        <v>4</v>
      </c>
    </row>
    <row r="1093" spans="1:12" x14ac:dyDescent="0.3">
      <c r="A1093" t="s">
        <v>153</v>
      </c>
      <c r="B1093" t="s">
        <v>117</v>
      </c>
      <c r="C1093" s="5">
        <v>0.85750000000000004</v>
      </c>
      <c r="D1093" s="5">
        <v>0.61247410899999999</v>
      </c>
      <c r="E1093" s="1">
        <v>5.5</v>
      </c>
      <c r="F1093" s="2">
        <v>9.5541401273885338</v>
      </c>
      <c r="G1093" s="3">
        <f t="shared" si="88"/>
        <v>71.692395944835823</v>
      </c>
      <c r="H1093" s="3">
        <f t="shared" si="89"/>
        <v>18.03601942155624</v>
      </c>
      <c r="I1093" s="3">
        <f t="shared" si="85"/>
        <v>4509.0048553890601</v>
      </c>
      <c r="J1093" s="5">
        <f t="shared" si="87"/>
        <v>10.742870676295183</v>
      </c>
      <c r="K1093" s="5">
        <f t="shared" si="86"/>
        <v>2685.7176690737961</v>
      </c>
      <c r="L1093">
        <v>4</v>
      </c>
    </row>
    <row r="1094" spans="1:12" x14ac:dyDescent="0.3">
      <c r="A1094" t="s">
        <v>153</v>
      </c>
      <c r="B1094" t="s">
        <v>117</v>
      </c>
      <c r="C1094" s="5">
        <v>0.85750000000000004</v>
      </c>
      <c r="D1094" s="5">
        <v>0.61247410899999999</v>
      </c>
      <c r="E1094" s="1">
        <v>5.5</v>
      </c>
      <c r="F1094" s="2">
        <v>7.3248407643312099</v>
      </c>
      <c r="G1094" s="3">
        <f t="shared" si="88"/>
        <v>42.139197172020175</v>
      </c>
      <c r="H1094" s="3">
        <f t="shared" si="89"/>
        <v>10.737241986974666</v>
      </c>
      <c r="I1094" s="3">
        <f t="shared" si="85"/>
        <v>2684.3104967436666</v>
      </c>
      <c r="J1094" s="5">
        <f t="shared" si="87"/>
        <v>10.018525875289058</v>
      </c>
      <c r="K1094" s="5">
        <f t="shared" si="86"/>
        <v>2504.6314688222642</v>
      </c>
      <c r="L1094">
        <v>4</v>
      </c>
    </row>
    <row r="1095" spans="1:12" x14ac:dyDescent="0.3">
      <c r="A1095" t="s">
        <v>153</v>
      </c>
      <c r="B1095" t="s">
        <v>117</v>
      </c>
      <c r="C1095" s="5">
        <v>0.85750000000000004</v>
      </c>
      <c r="D1095" s="5">
        <v>0.61247410899999999</v>
      </c>
      <c r="E1095" s="1">
        <v>4.5</v>
      </c>
      <c r="F1095" s="2">
        <v>15.286624203821656</v>
      </c>
      <c r="G1095" s="3">
        <f t="shared" si="88"/>
        <v>183.53253361877975</v>
      </c>
      <c r="H1095" s="3">
        <f t="shared" si="89"/>
        <v>37.112851932332291</v>
      </c>
      <c r="I1095" s="3">
        <f t="shared" si="85"/>
        <v>9278.2129830830727</v>
      </c>
      <c r="J1095" s="5">
        <f t="shared" si="87"/>
        <v>12.666173852894641</v>
      </c>
      <c r="K1095" s="5">
        <f t="shared" si="86"/>
        <v>3166.5434632236602</v>
      </c>
      <c r="L1095">
        <v>4</v>
      </c>
    </row>
    <row r="1096" spans="1:12" x14ac:dyDescent="0.3">
      <c r="A1096" t="s">
        <v>153</v>
      </c>
      <c r="B1096" t="s">
        <v>117</v>
      </c>
      <c r="C1096" s="5">
        <v>0.85750000000000004</v>
      </c>
      <c r="D1096" s="5">
        <v>0.61247410899999999</v>
      </c>
      <c r="E1096">
        <v>3</v>
      </c>
      <c r="F1096" s="2">
        <v>12.101910828025478</v>
      </c>
      <c r="G1096" s="3">
        <f t="shared" si="88"/>
        <v>115.02646638260329</v>
      </c>
      <c r="H1096" s="3">
        <f t="shared" si="89"/>
        <v>15.834849693089907</v>
      </c>
      <c r="I1096" s="3">
        <f t="shared" si="85"/>
        <v>3958.7124232724768</v>
      </c>
      <c r="J1096" s="5">
        <f t="shared" si="87"/>
        <v>10.523490579739542</v>
      </c>
      <c r="K1096" s="5">
        <f t="shared" si="86"/>
        <v>2630.8726449348856</v>
      </c>
      <c r="L1096">
        <v>4</v>
      </c>
    </row>
    <row r="1097" spans="1:12" x14ac:dyDescent="0.3">
      <c r="A1097" t="s">
        <v>153</v>
      </c>
      <c r="B1097" t="s">
        <v>68</v>
      </c>
      <c r="C1097" s="5">
        <v>0.39</v>
      </c>
      <c r="D1097" s="5">
        <v>0.28861111099999998</v>
      </c>
      <c r="E1097" s="1">
        <v>6.5</v>
      </c>
      <c r="F1097" s="2">
        <v>10.350318471337578</v>
      </c>
      <c r="G1097" s="3">
        <f t="shared" si="88"/>
        <v>84.138992463036487</v>
      </c>
      <c r="H1097" s="3">
        <f t="shared" si="89"/>
        <v>11.908955745729868</v>
      </c>
      <c r="I1097" s="3">
        <f t="shared" si="85"/>
        <v>2977.2389364324667</v>
      </c>
      <c r="J1097" s="5">
        <f t="shared" si="87"/>
        <v>11.422886853422044</v>
      </c>
      <c r="K1097" s="5">
        <f t="shared" si="86"/>
        <v>2855.7217133555109</v>
      </c>
      <c r="L1097">
        <v>4</v>
      </c>
    </row>
    <row r="1098" spans="1:12" x14ac:dyDescent="0.3">
      <c r="A1098" t="s">
        <v>153</v>
      </c>
      <c r="B1098" t="s">
        <v>41</v>
      </c>
      <c r="C1098" s="5">
        <v>1.1200000000000001</v>
      </c>
      <c r="D1098" s="5">
        <v>0.85527777800000004</v>
      </c>
      <c r="E1098" s="1">
        <v>1.8</v>
      </c>
      <c r="F1098" s="2">
        <v>3.9808917197452227</v>
      </c>
      <c r="G1098" s="3">
        <f t="shared" si="88"/>
        <v>12.446596518200664</v>
      </c>
      <c r="H1098" s="3">
        <f t="shared" si="89"/>
        <v>1.5207552250174203</v>
      </c>
      <c r="I1098" s="3">
        <f t="shared" si="85"/>
        <v>380.18880625435509</v>
      </c>
      <c r="J1098" s="5">
        <f t="shared" si="87"/>
        <v>9.0855392429713167</v>
      </c>
      <c r="K1098" s="5">
        <f t="shared" si="86"/>
        <v>2271.3848107428294</v>
      </c>
      <c r="L1098">
        <v>4</v>
      </c>
    </row>
    <row r="1099" spans="1:12" x14ac:dyDescent="0.3">
      <c r="A1099" t="s">
        <v>153</v>
      </c>
      <c r="B1099" t="s">
        <v>17</v>
      </c>
      <c r="C1099" s="5">
        <v>0.43836446099999998</v>
      </c>
      <c r="D1099" s="5">
        <v>0.58666666700000003</v>
      </c>
      <c r="E1099">
        <v>4</v>
      </c>
      <c r="F1099" s="2">
        <v>13.694267515923567</v>
      </c>
      <c r="G1099" s="3">
        <f t="shared" si="88"/>
        <v>147.28804455777941</v>
      </c>
      <c r="H1099" s="3">
        <f t="shared" si="89"/>
        <v>25.591714812309071</v>
      </c>
      <c r="I1099" s="3">
        <f t="shared" si="85"/>
        <v>6397.9287030772675</v>
      </c>
      <c r="J1099" s="5">
        <f t="shared" si="87"/>
        <v>11.611161479167512</v>
      </c>
      <c r="K1099" s="5">
        <f t="shared" si="86"/>
        <v>2902.7903697918778</v>
      </c>
      <c r="L1099">
        <v>4</v>
      </c>
    </row>
    <row r="1100" spans="1:12" x14ac:dyDescent="0.3">
      <c r="A1100" t="s">
        <v>153</v>
      </c>
      <c r="B1100" t="s">
        <v>17</v>
      </c>
      <c r="C1100" s="5">
        <v>0.43836446099999998</v>
      </c>
      <c r="D1100" s="5">
        <v>0.58666666700000003</v>
      </c>
      <c r="E1100" s="1">
        <v>3.8</v>
      </c>
      <c r="F1100" s="2">
        <v>12.261146496815286</v>
      </c>
      <c r="G1100" s="3">
        <f t="shared" si="88"/>
        <v>118.0733932102588</v>
      </c>
      <c r="H1100" s="3">
        <f t="shared" si="89"/>
        <v>19.617630256480737</v>
      </c>
      <c r="I1100" s="3">
        <f t="shared" si="85"/>
        <v>4904.4075641201844</v>
      </c>
      <c r="J1100" s="5">
        <f t="shared" si="87"/>
        <v>10.985164988437663</v>
      </c>
      <c r="K1100" s="5">
        <f t="shared" si="86"/>
        <v>2746.291247109416</v>
      </c>
      <c r="L1100">
        <v>4</v>
      </c>
    </row>
    <row r="1101" spans="1:12" x14ac:dyDescent="0.3">
      <c r="A1101" t="s">
        <v>153</v>
      </c>
      <c r="B1101" t="s">
        <v>17</v>
      </c>
      <c r="C1101" s="5">
        <v>0.43836446099999998</v>
      </c>
      <c r="D1101" s="5">
        <v>0.58666666700000003</v>
      </c>
      <c r="E1101">
        <v>3</v>
      </c>
      <c r="F1101" s="2">
        <v>14.331210191082802</v>
      </c>
      <c r="G1101" s="3">
        <f t="shared" si="88"/>
        <v>161.30789087588062</v>
      </c>
      <c r="H1101" s="3">
        <f t="shared" si="89"/>
        <v>21.120275651704809</v>
      </c>
      <c r="I1101" s="3">
        <f t="shared" si="85"/>
        <v>5280.0689129262018</v>
      </c>
      <c r="J1101" s="5">
        <f t="shared" si="87"/>
        <v>11.142227648180452</v>
      </c>
      <c r="K1101" s="5">
        <f t="shared" si="86"/>
        <v>2785.5569120451128</v>
      </c>
      <c r="L1101">
        <v>4</v>
      </c>
    </row>
    <row r="1102" spans="1:12" x14ac:dyDescent="0.3">
      <c r="A1102" t="s">
        <v>153</v>
      </c>
      <c r="B1102" t="s">
        <v>17</v>
      </c>
      <c r="C1102" s="5">
        <v>0.43836446099999998</v>
      </c>
      <c r="D1102" s="5">
        <v>0.58666666700000003</v>
      </c>
      <c r="E1102" s="1">
        <v>2.1</v>
      </c>
      <c r="F1102" s="2">
        <v>1.910828025477707</v>
      </c>
      <c r="G1102" s="3">
        <f t="shared" si="88"/>
        <v>2.8676958377934336</v>
      </c>
      <c r="H1102" s="3">
        <f t="shared" si="89"/>
        <v>0.29200862749363826</v>
      </c>
      <c r="I1102" s="3">
        <f t="shared" si="85"/>
        <v>73.002156873409561</v>
      </c>
      <c r="J1102" s="5">
        <f t="shared" si="87"/>
        <v>9.0125367885106904</v>
      </c>
      <c r="K1102" s="5">
        <f t="shared" si="86"/>
        <v>2253.1341971276725</v>
      </c>
      <c r="L1102">
        <v>4</v>
      </c>
    </row>
    <row r="1103" spans="1:12" x14ac:dyDescent="0.3">
      <c r="A1103" t="s">
        <v>154</v>
      </c>
      <c r="B1103" t="s">
        <v>55</v>
      </c>
      <c r="C1103" s="5">
        <v>0.41</v>
      </c>
      <c r="D1103" s="5">
        <v>0.33983503399999998</v>
      </c>
      <c r="E1103" s="1">
        <v>7.5</v>
      </c>
      <c r="F1103" s="2">
        <v>7.1656050955414008</v>
      </c>
      <c r="G1103" s="3">
        <f t="shared" si="88"/>
        <v>40.326972718970154</v>
      </c>
      <c r="H1103" s="3">
        <f t="shared" si="89"/>
        <v>7.8351293895715166</v>
      </c>
      <c r="I1103" s="3">
        <f t="shared" si="85"/>
        <v>1958.782347392879</v>
      </c>
      <c r="J1103" s="5">
        <f t="shared" si="87"/>
        <v>10.333529780112784</v>
      </c>
      <c r="K1103" s="5">
        <f t="shared" si="86"/>
        <v>2583.3824450281959</v>
      </c>
      <c r="L1103">
        <v>4</v>
      </c>
    </row>
    <row r="1104" spans="1:12" x14ac:dyDescent="0.3">
      <c r="A1104" t="s">
        <v>154</v>
      </c>
      <c r="B1104" t="s">
        <v>80</v>
      </c>
      <c r="C1104" s="5">
        <v>0.6</v>
      </c>
      <c r="D1104" s="5">
        <v>0.66674999999999995</v>
      </c>
      <c r="E1104" s="1">
        <v>5.5</v>
      </c>
      <c r="F1104" s="2">
        <v>8.598726114649681</v>
      </c>
      <c r="G1104" s="3">
        <f t="shared" si="88"/>
        <v>58.070840715317019</v>
      </c>
      <c r="H1104" s="3">
        <f t="shared" si="89"/>
        <v>15.951897689498171</v>
      </c>
      <c r="I1104" s="3">
        <f t="shared" si="85"/>
        <v>3987.9744223745429</v>
      </c>
      <c r="J1104" s="5">
        <f t="shared" si="87"/>
        <v>10.409008247799099</v>
      </c>
      <c r="K1104" s="5">
        <f t="shared" si="86"/>
        <v>2602.2520619497745</v>
      </c>
      <c r="L1104">
        <v>4</v>
      </c>
    </row>
    <row r="1105" spans="1:12" x14ac:dyDescent="0.3">
      <c r="A1105" t="s">
        <v>154</v>
      </c>
      <c r="B1105" t="s">
        <v>117</v>
      </c>
      <c r="C1105" s="5">
        <v>0.85750000000000004</v>
      </c>
      <c r="D1105" s="5">
        <v>0.61247410899999999</v>
      </c>
      <c r="E1105">
        <v>6</v>
      </c>
      <c r="F1105" s="2">
        <v>7.3248407643312099</v>
      </c>
      <c r="G1105" s="3">
        <f t="shared" si="88"/>
        <v>42.139197172020175</v>
      </c>
      <c r="H1105" s="3">
        <f t="shared" si="89"/>
        <v>11.688919734079493</v>
      </c>
      <c r="I1105" s="3">
        <f t="shared" si="85"/>
        <v>2922.2299335198732</v>
      </c>
      <c r="J1105" s="5">
        <f t="shared" si="87"/>
        <v>10.112419136678973</v>
      </c>
      <c r="K1105" s="5">
        <f t="shared" si="86"/>
        <v>2528.1047841697432</v>
      </c>
      <c r="L1105">
        <v>4</v>
      </c>
    </row>
    <row r="1106" spans="1:12" x14ac:dyDescent="0.3">
      <c r="A1106" t="s">
        <v>154</v>
      </c>
      <c r="B1106" t="s">
        <v>117</v>
      </c>
      <c r="C1106" s="5">
        <v>0.85750000000000004</v>
      </c>
      <c r="D1106" s="5">
        <v>0.61247410899999999</v>
      </c>
      <c r="E1106">
        <v>6</v>
      </c>
      <c r="F1106" s="2">
        <v>22.165605095541398</v>
      </c>
      <c r="G1106" s="3">
        <f t="shared" si="88"/>
        <v>385.87715193348436</v>
      </c>
      <c r="H1106" s="3">
        <f t="shared" si="89"/>
        <v>101.49739039586146</v>
      </c>
      <c r="I1106" s="3">
        <f t="shared" si="85"/>
        <v>25374.347598965363</v>
      </c>
      <c r="J1106" s="5">
        <f t="shared" si="87"/>
        <v>19.303295034281305</v>
      </c>
      <c r="K1106" s="5">
        <f t="shared" si="86"/>
        <v>4825.8237585703264</v>
      </c>
      <c r="L1106">
        <v>4</v>
      </c>
    </row>
    <row r="1107" spans="1:12" x14ac:dyDescent="0.3">
      <c r="A1107" t="s">
        <v>154</v>
      </c>
      <c r="B1107" t="s">
        <v>117</v>
      </c>
      <c r="C1107" s="5">
        <v>0.85750000000000004</v>
      </c>
      <c r="D1107" s="5">
        <v>0.61247410899999999</v>
      </c>
      <c r="E1107">
        <v>6</v>
      </c>
      <c r="F1107" s="2">
        <v>10.509554140127388</v>
      </c>
      <c r="G1107" s="3">
        <f t="shared" si="88"/>
        <v>86.747799093251359</v>
      </c>
      <c r="H1107" s="3">
        <f t="shared" si="89"/>
        <v>23.649439439253307</v>
      </c>
      <c r="I1107" s="3">
        <f t="shared" si="85"/>
        <v>5912.3598598133267</v>
      </c>
      <c r="J1107" s="5">
        <f t="shared" si="87"/>
        <v>11.305165292709642</v>
      </c>
      <c r="K1107" s="5">
        <f t="shared" si="86"/>
        <v>2826.2913231774105</v>
      </c>
      <c r="L1107">
        <v>4</v>
      </c>
    </row>
    <row r="1108" spans="1:12" x14ac:dyDescent="0.3">
      <c r="A1108" t="s">
        <v>154</v>
      </c>
      <c r="B1108" t="s">
        <v>117</v>
      </c>
      <c r="C1108" s="5">
        <v>0.85750000000000004</v>
      </c>
      <c r="D1108" s="5">
        <v>0.61247410899999999</v>
      </c>
      <c r="E1108" s="1">
        <v>5.5</v>
      </c>
      <c r="F1108" s="2">
        <v>24.363057324840764</v>
      </c>
      <c r="G1108" s="3">
        <f t="shared" si="88"/>
        <v>466.17980463129504</v>
      </c>
      <c r="H1108" s="3">
        <f t="shared" si="89"/>
        <v>112.12620581011383</v>
      </c>
      <c r="I1108" s="3">
        <f t="shared" si="85"/>
        <v>28031.551452528456</v>
      </c>
      <c r="J1108" s="5">
        <f t="shared" si="87"/>
        <v>20.411702322609436</v>
      </c>
      <c r="K1108" s="5">
        <f t="shared" si="86"/>
        <v>5102.9255806523588</v>
      </c>
      <c r="L1108">
        <v>4</v>
      </c>
    </row>
    <row r="1109" spans="1:12" x14ac:dyDescent="0.3">
      <c r="A1109" t="s">
        <v>154</v>
      </c>
      <c r="B1109" t="s">
        <v>117</v>
      </c>
      <c r="C1109" s="5">
        <v>0.85750000000000004</v>
      </c>
      <c r="D1109" s="5">
        <v>0.61247410899999999</v>
      </c>
      <c r="E1109" s="1">
        <v>4.5</v>
      </c>
      <c r="F1109" s="2">
        <v>13.694267515923567</v>
      </c>
      <c r="G1109" s="3">
        <f t="shared" si="88"/>
        <v>147.28804455777941</v>
      </c>
      <c r="H1109" s="3">
        <f t="shared" si="89"/>
        <v>29.941383153563141</v>
      </c>
      <c r="I1109" s="3">
        <f t="shared" si="85"/>
        <v>7485.3457883907849</v>
      </c>
      <c r="J1109" s="5">
        <f t="shared" si="87"/>
        <v>11.939344164063451</v>
      </c>
      <c r="K1109" s="5">
        <f t="shared" si="86"/>
        <v>2984.836041015863</v>
      </c>
      <c r="L1109">
        <v>4</v>
      </c>
    </row>
    <row r="1110" spans="1:12" x14ac:dyDescent="0.3">
      <c r="A1110" t="s">
        <v>154</v>
      </c>
      <c r="B1110" t="s">
        <v>113</v>
      </c>
      <c r="C1110" s="5">
        <v>0.56023871300000005</v>
      </c>
      <c r="D1110" s="5">
        <v>0.74103703700000001</v>
      </c>
      <c r="E1110">
        <v>6</v>
      </c>
      <c r="F1110" s="2">
        <v>7.484076433121019</v>
      </c>
      <c r="G1110" s="3">
        <f t="shared" si="88"/>
        <v>43.991250733928432</v>
      </c>
      <c r="H1110" s="3">
        <f t="shared" si="89"/>
        <v>14.681561047765641</v>
      </c>
      <c r="I1110" s="3">
        <f t="shared" si="85"/>
        <v>3670.3902619414102</v>
      </c>
      <c r="J1110" s="5">
        <f t="shared" si="87"/>
        <v>10.161939401192745</v>
      </c>
      <c r="K1110" s="5">
        <f t="shared" si="86"/>
        <v>2540.4848502981863</v>
      </c>
      <c r="L1110">
        <v>4</v>
      </c>
    </row>
    <row r="1111" spans="1:12" x14ac:dyDescent="0.3">
      <c r="A1111" t="s">
        <v>154</v>
      </c>
      <c r="B1111" t="s">
        <v>41</v>
      </c>
      <c r="C1111" s="5">
        <v>1.1200000000000001</v>
      </c>
      <c r="D1111" s="5">
        <v>0.85527777800000004</v>
      </c>
      <c r="E1111">
        <v>5</v>
      </c>
      <c r="F1111" s="2">
        <v>13.375796178343949</v>
      </c>
      <c r="G1111" s="3">
        <f t="shared" si="88"/>
        <v>140.51709605187824</v>
      </c>
      <c r="H1111" s="3">
        <f t="shared" si="89"/>
        <v>43.905845618777263</v>
      </c>
      <c r="I1111" s="3">
        <f t="shared" si="85"/>
        <v>10976.461404694315</v>
      </c>
      <c r="J1111" s="5">
        <f t="shared" si="87"/>
        <v>12.116658659580509</v>
      </c>
      <c r="K1111" s="5">
        <f t="shared" si="86"/>
        <v>3029.1646648951273</v>
      </c>
      <c r="L1111">
        <v>4</v>
      </c>
    </row>
    <row r="1112" spans="1:12" x14ac:dyDescent="0.3">
      <c r="A1112" t="s">
        <v>154</v>
      </c>
      <c r="B1112" t="s">
        <v>41</v>
      </c>
      <c r="C1112" s="5">
        <v>1.1200000000000001</v>
      </c>
      <c r="D1112" s="5">
        <v>0.85527777800000004</v>
      </c>
      <c r="E1112" s="1">
        <v>2.5</v>
      </c>
      <c r="F1112" s="2">
        <v>6.6878980891719744</v>
      </c>
      <c r="G1112" s="3">
        <f t="shared" si="88"/>
        <v>35.12927401296956</v>
      </c>
      <c r="H1112" s="3">
        <f t="shared" si="89"/>
        <v>5.7690794331307318</v>
      </c>
      <c r="I1112" s="3">
        <f t="shared" si="85"/>
        <v>1442.2698582826829</v>
      </c>
      <c r="J1112" s="5">
        <f t="shared" si="87"/>
        <v>9.3770698324475639</v>
      </c>
      <c r="K1112" s="5">
        <f t="shared" si="86"/>
        <v>2344.2674581118908</v>
      </c>
      <c r="L1112">
        <v>4</v>
      </c>
    </row>
    <row r="1113" spans="1:12" x14ac:dyDescent="0.3">
      <c r="A1113" t="s">
        <v>154</v>
      </c>
      <c r="B1113" t="s">
        <v>41</v>
      </c>
      <c r="C1113" s="5">
        <v>1.1200000000000001</v>
      </c>
      <c r="D1113" s="5">
        <v>0.85527777800000004</v>
      </c>
      <c r="E1113" s="1">
        <v>2.2999999999999998</v>
      </c>
      <c r="F1113" s="2">
        <v>2.8662420382165603</v>
      </c>
      <c r="G1113" s="3">
        <f t="shared" si="88"/>
        <v>6.4523156350352249</v>
      </c>
      <c r="H1113" s="3">
        <f t="shared" si="89"/>
        <v>1.0173555374714025</v>
      </c>
      <c r="I1113" s="3">
        <f t="shared" si="85"/>
        <v>254.33888436785062</v>
      </c>
      <c r="J1113" s="5">
        <f t="shared" si="87"/>
        <v>9.0518335145441995</v>
      </c>
      <c r="K1113" s="5">
        <f t="shared" si="86"/>
        <v>2262.9583786360499</v>
      </c>
      <c r="L1113">
        <v>4</v>
      </c>
    </row>
    <row r="1114" spans="1:12" x14ac:dyDescent="0.3">
      <c r="A1114" t="s">
        <v>154</v>
      </c>
      <c r="B1114" t="s">
        <v>155</v>
      </c>
      <c r="C1114" s="5">
        <v>0.53</v>
      </c>
      <c r="D1114" s="5">
        <v>0.41185714299999998</v>
      </c>
      <c r="E1114" s="1">
        <v>5.5</v>
      </c>
      <c r="F1114" s="2">
        <v>5.7324840764331206</v>
      </c>
      <c r="G1114" s="3">
        <f t="shared" si="88"/>
        <v>25.809262540140899</v>
      </c>
      <c r="H1114" s="3">
        <f t="shared" si="89"/>
        <v>4.5173838007657983</v>
      </c>
      <c r="I1114" s="3">
        <f t="shared" si="85"/>
        <v>1129.3459501914497</v>
      </c>
      <c r="J1114" s="5">
        <f t="shared" si="87"/>
        <v>9.618281443466266</v>
      </c>
      <c r="K1114" s="5">
        <f t="shared" si="86"/>
        <v>2404.5703608665667</v>
      </c>
      <c r="L1114">
        <v>4</v>
      </c>
    </row>
    <row r="1115" spans="1:12" x14ac:dyDescent="0.3">
      <c r="A1115" t="s">
        <v>154</v>
      </c>
      <c r="B1115" t="s">
        <v>155</v>
      </c>
      <c r="C1115" s="5">
        <v>0.53</v>
      </c>
      <c r="D1115" s="5">
        <v>0.41185714299999998</v>
      </c>
      <c r="E1115">
        <v>5</v>
      </c>
      <c r="F1115" s="2">
        <v>5.8917197452229297</v>
      </c>
      <c r="G1115" s="3">
        <f t="shared" si="88"/>
        <v>27.263025013466741</v>
      </c>
      <c r="H1115" s="3">
        <f t="shared" si="89"/>
        <v>4.3422518945486814</v>
      </c>
      <c r="I1115" s="3">
        <f t="shared" si="85"/>
        <v>1085.5629736371704</v>
      </c>
      <c r="J1115" s="5">
        <f t="shared" si="87"/>
        <v>9.5931663272343695</v>
      </c>
      <c r="K1115" s="5">
        <f t="shared" si="86"/>
        <v>2398.2915818085926</v>
      </c>
      <c r="L1115">
        <v>4</v>
      </c>
    </row>
    <row r="1116" spans="1:12" x14ac:dyDescent="0.3">
      <c r="A1116" t="s">
        <v>154</v>
      </c>
      <c r="B1116" t="s">
        <v>155</v>
      </c>
      <c r="C1116" s="5">
        <v>0.53</v>
      </c>
      <c r="D1116" s="5">
        <v>0.41185714299999998</v>
      </c>
      <c r="E1116" s="1">
        <v>2.5</v>
      </c>
      <c r="F1116" s="2">
        <v>3.5031847133757958</v>
      </c>
      <c r="G1116" s="3">
        <f t="shared" si="88"/>
        <v>9.6386443436945939</v>
      </c>
      <c r="H1116" s="3">
        <f t="shared" si="89"/>
        <v>0.80018249266697505</v>
      </c>
      <c r="I1116" s="3">
        <f t="shared" si="85"/>
        <v>200.04562316674375</v>
      </c>
      <c r="J1116" s="5">
        <f t="shared" si="87"/>
        <v>9.0930826524402608</v>
      </c>
      <c r="K1116" s="5">
        <f t="shared" si="86"/>
        <v>2273.270663110065</v>
      </c>
      <c r="L1116">
        <v>4</v>
      </c>
    </row>
    <row r="1117" spans="1:12" x14ac:dyDescent="0.3">
      <c r="A1117" t="s">
        <v>154</v>
      </c>
      <c r="B1117" t="s">
        <v>53</v>
      </c>
      <c r="C1117" s="5">
        <v>0.371297506</v>
      </c>
      <c r="D1117" s="5">
        <v>0.35258402799999999</v>
      </c>
      <c r="E1117" s="1">
        <v>4.5</v>
      </c>
      <c r="F1117" s="2">
        <v>4.2993630573248405</v>
      </c>
      <c r="G1117" s="3">
        <f t="shared" si="88"/>
        <v>14.517710178829255</v>
      </c>
      <c r="H1117" s="3">
        <f t="shared" si="89"/>
        <v>1.8200513974029371</v>
      </c>
      <c r="I1117" s="3">
        <f t="shared" si="85"/>
        <v>455.01284935073426</v>
      </c>
      <c r="J1117" s="5">
        <f t="shared" si="87"/>
        <v>9.2768312325043603</v>
      </c>
      <c r="K1117" s="5">
        <f t="shared" si="86"/>
        <v>2319.2078081260902</v>
      </c>
      <c r="L1117">
        <v>4</v>
      </c>
    </row>
    <row r="1118" spans="1:12" x14ac:dyDescent="0.3">
      <c r="A1118" t="s">
        <v>154</v>
      </c>
      <c r="B1118" t="s">
        <v>53</v>
      </c>
      <c r="C1118" s="5">
        <v>0.371297506</v>
      </c>
      <c r="D1118" s="5">
        <v>0.35258402799999999</v>
      </c>
      <c r="E1118">
        <v>4</v>
      </c>
      <c r="F1118" s="2">
        <v>3.3439490445859872</v>
      </c>
      <c r="G1118" s="3">
        <f t="shared" si="88"/>
        <v>8.7823185032423901</v>
      </c>
      <c r="H1118" s="3">
        <f t="shared" si="89"/>
        <v>0.99336484471776687</v>
      </c>
      <c r="I1118" s="3">
        <f t="shared" si="85"/>
        <v>248.34121117944173</v>
      </c>
      <c r="J1118" s="5">
        <f t="shared" si="87"/>
        <v>9.1422479329790249</v>
      </c>
      <c r="K1118" s="5">
        <f t="shared" si="86"/>
        <v>2285.5619832447564</v>
      </c>
      <c r="L1118">
        <v>4</v>
      </c>
    </row>
    <row r="1119" spans="1:12" x14ac:dyDescent="0.3">
      <c r="A1119" t="s">
        <v>156</v>
      </c>
      <c r="B1119" t="s">
        <v>70</v>
      </c>
      <c r="C1119" s="5">
        <v>0.86</v>
      </c>
      <c r="D1119" s="5">
        <v>0.65666666699999998</v>
      </c>
      <c r="E1119">
        <v>9</v>
      </c>
      <c r="F1119" s="2">
        <v>17.32484076433121</v>
      </c>
      <c r="G1119" s="3">
        <f t="shared" si="88"/>
        <v>235.73734318145486</v>
      </c>
      <c r="H1119" s="3">
        <f t="shared" si="89"/>
        <v>99.762385404886388</v>
      </c>
      <c r="I1119" s="3">
        <f t="shared" si="85"/>
        <v>19952.477080977278</v>
      </c>
      <c r="J1119" s="5">
        <f t="shared" si="87"/>
        <v>18.440428386547122</v>
      </c>
      <c r="K1119" s="5">
        <f t="shared" si="86"/>
        <v>3688.0856773094247</v>
      </c>
      <c r="L1119">
        <v>5</v>
      </c>
    </row>
    <row r="1120" spans="1:12" x14ac:dyDescent="0.3">
      <c r="A1120" t="s">
        <v>156</v>
      </c>
      <c r="B1120" t="s">
        <v>70</v>
      </c>
      <c r="C1120" s="5">
        <v>0.86</v>
      </c>
      <c r="D1120" s="5">
        <v>0.65666666699999998</v>
      </c>
      <c r="E1120">
        <v>7</v>
      </c>
      <c r="F1120" s="2">
        <v>10.063694267515924</v>
      </c>
      <c r="G1120" s="3">
        <f t="shared" si="88"/>
        <v>79.543509882972543</v>
      </c>
      <c r="H1120" s="3">
        <f t="shared" si="89"/>
        <v>27.035969999270456</v>
      </c>
      <c r="I1120" s="3">
        <f t="shared" si="85"/>
        <v>5407.1939998540911</v>
      </c>
      <c r="J1120" s="5">
        <f t="shared" si="87"/>
        <v>11.467009586595804</v>
      </c>
      <c r="K1120" s="5">
        <f t="shared" si="86"/>
        <v>2293.4019173191609</v>
      </c>
      <c r="L1120">
        <v>5</v>
      </c>
    </row>
    <row r="1121" spans="1:12" x14ac:dyDescent="0.3">
      <c r="A1121" t="s">
        <v>156</v>
      </c>
      <c r="B1121" t="s">
        <v>55</v>
      </c>
      <c r="C1121" s="5">
        <v>0.41</v>
      </c>
      <c r="D1121" s="5">
        <v>0.33983503399999998</v>
      </c>
      <c r="E1121">
        <v>9</v>
      </c>
      <c r="F1121" s="2">
        <v>10.828025477707007</v>
      </c>
      <c r="G1121" s="3">
        <f t="shared" si="88"/>
        <v>92.084899680255816</v>
      </c>
      <c r="H1121" s="3">
        <f t="shared" si="89"/>
        <v>20.956253324629213</v>
      </c>
      <c r="I1121" s="3">
        <f t="shared" si="85"/>
        <v>4191.2506649258421</v>
      </c>
      <c r="J1121" s="5">
        <f t="shared" si="87"/>
        <v>12.678953275994969</v>
      </c>
      <c r="K1121" s="5">
        <f t="shared" si="86"/>
        <v>2535.7906551989936</v>
      </c>
      <c r="L1121">
        <v>5</v>
      </c>
    </row>
    <row r="1122" spans="1:12" x14ac:dyDescent="0.3">
      <c r="A1122" t="s">
        <v>156</v>
      </c>
      <c r="B1122" t="s">
        <v>55</v>
      </c>
      <c r="C1122" s="5">
        <v>0.41</v>
      </c>
      <c r="D1122" s="5">
        <v>0.33983503399999998</v>
      </c>
      <c r="E1122" s="1">
        <v>6.8</v>
      </c>
      <c r="F1122" s="2">
        <v>13.566878980891719</v>
      </c>
      <c r="G1122" s="3">
        <f t="shared" si="88"/>
        <v>144.56054718316696</v>
      </c>
      <c r="H1122" s="3">
        <f t="shared" si="89"/>
        <v>24.754966368311116</v>
      </c>
      <c r="I1122" s="3">
        <f t="shared" si="85"/>
        <v>4950.9932736622231</v>
      </c>
      <c r="J1122" s="5">
        <f t="shared" si="87"/>
        <v>13.366332885715444</v>
      </c>
      <c r="K1122" s="5">
        <f t="shared" si="86"/>
        <v>2673.2665771430889</v>
      </c>
      <c r="L1122">
        <v>5</v>
      </c>
    </row>
    <row r="1123" spans="1:12" x14ac:dyDescent="0.3">
      <c r="A1123" t="s">
        <v>156</v>
      </c>
      <c r="B1123" t="s">
        <v>55</v>
      </c>
      <c r="C1123" s="5">
        <v>0.41</v>
      </c>
      <c r="D1123" s="5">
        <v>0.33983503399999998</v>
      </c>
      <c r="E1123">
        <v>6</v>
      </c>
      <c r="F1123" s="2">
        <v>4.4267515923566876</v>
      </c>
      <c r="G1123" s="3">
        <f t="shared" si="88"/>
        <v>15.390764245001924</v>
      </c>
      <c r="H1123" s="3">
        <f t="shared" si="89"/>
        <v>2.4613116927176866</v>
      </c>
      <c r="I1123" s="3">
        <f t="shared" si="85"/>
        <v>492.26233854353734</v>
      </c>
      <c r="J1123" s="5">
        <f t="shared" si="87"/>
        <v>9.3972187228690807</v>
      </c>
      <c r="K1123" s="5">
        <f t="shared" si="86"/>
        <v>1879.443744573816</v>
      </c>
      <c r="L1123">
        <v>5</v>
      </c>
    </row>
    <row r="1124" spans="1:12" x14ac:dyDescent="0.3">
      <c r="A1124" t="s">
        <v>156</v>
      </c>
      <c r="B1124" t="s">
        <v>64</v>
      </c>
      <c r="C1124" s="5">
        <v>0.31264018999999998</v>
      </c>
      <c r="D1124" s="5">
        <v>0.356821212</v>
      </c>
      <c r="E1124">
        <v>3</v>
      </c>
      <c r="F1124" s="2">
        <v>17.515923566878982</v>
      </c>
      <c r="G1124" s="3">
        <f t="shared" si="88"/>
        <v>240.96610859236495</v>
      </c>
      <c r="H1124" s="3">
        <f t="shared" si="89"/>
        <v>19.233510273629133</v>
      </c>
      <c r="I1124" s="3">
        <f t="shared" si="85"/>
        <v>3846.7020547258267</v>
      </c>
      <c r="J1124" s="5">
        <f t="shared" si="87"/>
        <v>12.207179573207839</v>
      </c>
      <c r="K1124" s="5">
        <f t="shared" si="86"/>
        <v>2441.4359146415677</v>
      </c>
      <c r="L1124">
        <v>5</v>
      </c>
    </row>
    <row r="1125" spans="1:12" x14ac:dyDescent="0.3">
      <c r="A1125" t="s">
        <v>156</v>
      </c>
      <c r="B1125" t="s">
        <v>157</v>
      </c>
      <c r="C1125" s="5">
        <v>0.52800000000000002</v>
      </c>
      <c r="D1125" s="5">
        <v>0.51040266700000003</v>
      </c>
      <c r="E1125">
        <v>5</v>
      </c>
      <c r="F1125" s="2">
        <v>3.6624203821656049</v>
      </c>
      <c r="G1125" s="3">
        <f t="shared" si="88"/>
        <v>10.534799293005044</v>
      </c>
      <c r="H1125" s="3">
        <f t="shared" si="89"/>
        <v>2.1164515176566194</v>
      </c>
      <c r="I1125" s="3">
        <f t="shared" si="85"/>
        <v>423.29030353132384</v>
      </c>
      <c r="J1125" s="5">
        <f t="shared" si="87"/>
        <v>9.2204331534747848</v>
      </c>
      <c r="K1125" s="5">
        <f t="shared" si="86"/>
        <v>1844.086630694957</v>
      </c>
      <c r="L1125">
        <v>5</v>
      </c>
    </row>
    <row r="1126" spans="1:12" x14ac:dyDescent="0.3">
      <c r="A1126" t="s">
        <v>156</v>
      </c>
      <c r="B1126" t="s">
        <v>40</v>
      </c>
      <c r="C1126" s="5">
        <v>0.81991655299999999</v>
      </c>
      <c r="D1126" s="5">
        <v>0.72276027399999998</v>
      </c>
      <c r="E1126" s="1">
        <v>4.5</v>
      </c>
      <c r="F1126" s="2">
        <v>11.146496815286623</v>
      </c>
      <c r="G1126" s="3">
        <f t="shared" si="88"/>
        <v>97.581316702693215</v>
      </c>
      <c r="H1126" s="3">
        <f t="shared" si="89"/>
        <v>23.547404188882517</v>
      </c>
      <c r="I1126" s="3">
        <f t="shared" si="85"/>
        <v>4709.480837776503</v>
      </c>
      <c r="J1126" s="5">
        <f t="shared" si="87"/>
        <v>10.942549162237817</v>
      </c>
      <c r="K1126" s="5">
        <f t="shared" si="86"/>
        <v>2188.5098324475634</v>
      </c>
      <c r="L1126">
        <v>5</v>
      </c>
    </row>
    <row r="1127" spans="1:12" x14ac:dyDescent="0.3">
      <c r="A1127" t="s">
        <v>156</v>
      </c>
      <c r="B1127" t="s">
        <v>36</v>
      </c>
      <c r="C1127" s="5">
        <v>0.56193137999999998</v>
      </c>
      <c r="D1127" s="5">
        <v>0.57808694400000005</v>
      </c>
      <c r="E1127">
        <v>8</v>
      </c>
      <c r="F1127" s="2">
        <v>28.280254777070063</v>
      </c>
      <c r="G1127" s="3">
        <f t="shared" si="88"/>
        <v>628.14009631027375</v>
      </c>
      <c r="H1127" s="3">
        <f t="shared" si="89"/>
        <v>204.3768272350087</v>
      </c>
      <c r="I1127" s="3">
        <f t="shared" si="85"/>
        <v>40875.365447001743</v>
      </c>
      <c r="J1127" s="5">
        <f t="shared" si="87"/>
        <v>31.379338687167838</v>
      </c>
      <c r="K1127" s="5">
        <f t="shared" si="86"/>
        <v>6275.8677374335675</v>
      </c>
      <c r="L1127">
        <v>5</v>
      </c>
    </row>
    <row r="1128" spans="1:12" x14ac:dyDescent="0.3">
      <c r="A1128" t="s">
        <v>156</v>
      </c>
      <c r="B1128" t="s">
        <v>36</v>
      </c>
      <c r="C1128" s="5">
        <v>0.56193137999999998</v>
      </c>
      <c r="D1128" s="5">
        <v>0.57808694400000005</v>
      </c>
      <c r="E1128">
        <v>8</v>
      </c>
      <c r="F1128" s="2">
        <v>25.445859872611464</v>
      </c>
      <c r="G1128" s="3">
        <f t="shared" si="88"/>
        <v>508.53885848421271</v>
      </c>
      <c r="H1128" s="3">
        <f t="shared" si="89"/>
        <v>166.30329606991887</v>
      </c>
      <c r="I1128" s="3">
        <f t="shared" si="85"/>
        <v>33260.659213983774</v>
      </c>
      <c r="J1128" s="5">
        <f t="shared" si="87"/>
        <v>27.115469970384197</v>
      </c>
      <c r="K1128" s="5">
        <f t="shared" si="86"/>
        <v>5423.0939940768394</v>
      </c>
      <c r="L1128">
        <v>5</v>
      </c>
    </row>
    <row r="1129" spans="1:12" x14ac:dyDescent="0.3">
      <c r="A1129" t="s">
        <v>156</v>
      </c>
      <c r="B1129" t="s">
        <v>152</v>
      </c>
      <c r="C1129" s="5">
        <v>0.63</v>
      </c>
      <c r="D1129" s="5">
        <v>0.629222222</v>
      </c>
      <c r="E1129" s="1">
        <v>2.5</v>
      </c>
      <c r="F1129" s="2">
        <v>4.6815286624203818</v>
      </c>
      <c r="G1129" s="3">
        <f t="shared" si="88"/>
        <v>17.213344266355083</v>
      </c>
      <c r="H1129" s="3">
        <f t="shared" si="89"/>
        <v>2.1312482113859614</v>
      </c>
      <c r="I1129" s="3">
        <f t="shared" si="85"/>
        <v>426.24964227719227</v>
      </c>
      <c r="J1129" s="5">
        <f t="shared" si="87"/>
        <v>9.1774712178993063</v>
      </c>
      <c r="K1129" s="5">
        <f t="shared" si="86"/>
        <v>1835.4942435798614</v>
      </c>
      <c r="L1129">
        <v>5</v>
      </c>
    </row>
    <row r="1130" spans="1:12" x14ac:dyDescent="0.3">
      <c r="A1130" t="s">
        <v>156</v>
      </c>
      <c r="B1130" t="s">
        <v>15</v>
      </c>
      <c r="C1130" s="5">
        <v>0.74387999999999999</v>
      </c>
      <c r="D1130" s="5">
        <v>0.59130000000000005</v>
      </c>
      <c r="E1130" s="1">
        <v>6.5</v>
      </c>
      <c r="F1130" s="2">
        <v>5.1592356687898082</v>
      </c>
      <c r="G1130" s="3">
        <f t="shared" si="88"/>
        <v>20.905502657514127</v>
      </c>
      <c r="H1130" s="3">
        <f t="shared" si="89"/>
        <v>6.1612612699501046</v>
      </c>
      <c r="I1130" s="3">
        <f t="shared" si="85"/>
        <v>1232.2522539900208</v>
      </c>
      <c r="J1130" s="5">
        <f t="shared" si="87"/>
        <v>9.5912529636090706</v>
      </c>
      <c r="K1130" s="5">
        <f t="shared" si="86"/>
        <v>1918.2505927218142</v>
      </c>
      <c r="L1130">
        <v>5</v>
      </c>
    </row>
    <row r="1131" spans="1:12" x14ac:dyDescent="0.3">
      <c r="A1131" t="s">
        <v>156</v>
      </c>
      <c r="B1131" t="s">
        <v>15</v>
      </c>
      <c r="C1131" s="5">
        <v>0.74387999999999999</v>
      </c>
      <c r="D1131" s="5">
        <v>0.59130000000000005</v>
      </c>
      <c r="E1131" s="1">
        <v>6.5</v>
      </c>
      <c r="F1131" s="2">
        <v>8.3121019108280247</v>
      </c>
      <c r="G1131" s="3">
        <f t="shared" si="88"/>
        <v>54.263974490646241</v>
      </c>
      <c r="H1131" s="3">
        <f t="shared" si="89"/>
        <v>15.63070574933383</v>
      </c>
      <c r="I1131" s="3">
        <f t="shared" si="85"/>
        <v>3126.1411498667658</v>
      </c>
      <c r="J1131" s="5">
        <f t="shared" si="87"/>
        <v>10.557521118503793</v>
      </c>
      <c r="K1131" s="5">
        <f t="shared" si="86"/>
        <v>2111.5042237007588</v>
      </c>
      <c r="L1131">
        <v>5</v>
      </c>
    </row>
    <row r="1132" spans="1:12" x14ac:dyDescent="0.3">
      <c r="A1132" t="s">
        <v>156</v>
      </c>
      <c r="B1132" t="s">
        <v>158</v>
      </c>
      <c r="C1132" s="5">
        <v>0.65</v>
      </c>
      <c r="D1132" s="5">
        <v>0.65</v>
      </c>
      <c r="E1132">
        <v>8</v>
      </c>
      <c r="F1132" s="2">
        <v>18.694267515923567</v>
      </c>
      <c r="G1132" s="3">
        <f t="shared" si="88"/>
        <v>274.47752420351264</v>
      </c>
      <c r="H1132" s="3">
        <f t="shared" si="89"/>
        <v>102.14314558846695</v>
      </c>
      <c r="I1132" s="3">
        <f t="shared" si="85"/>
        <v>20428.629117693392</v>
      </c>
      <c r="J1132" s="5">
        <f t="shared" si="87"/>
        <v>18.77101786279362</v>
      </c>
      <c r="K1132" s="5">
        <f t="shared" si="86"/>
        <v>3754.2035725587239</v>
      </c>
      <c r="L1132">
        <v>5</v>
      </c>
    </row>
    <row r="1133" spans="1:12" x14ac:dyDescent="0.3">
      <c r="A1133" t="s">
        <v>156</v>
      </c>
      <c r="B1133" t="s">
        <v>158</v>
      </c>
      <c r="C1133" s="5">
        <v>0.65</v>
      </c>
      <c r="D1133" s="5">
        <v>0.65</v>
      </c>
      <c r="E1133" s="1">
        <v>7.1</v>
      </c>
      <c r="F1133" s="2">
        <v>12.86624203821656</v>
      </c>
      <c r="G1133" s="3">
        <f t="shared" si="88"/>
        <v>130.01495662813696</v>
      </c>
      <c r="H1133" s="3">
        <f t="shared" si="89"/>
        <v>43.842610002845468</v>
      </c>
      <c r="I1133" s="3">
        <f t="shared" si="85"/>
        <v>8768.5220005690935</v>
      </c>
      <c r="J1133" s="5">
        <f t="shared" si="87"/>
        <v>13.099373577021378</v>
      </c>
      <c r="K1133" s="5">
        <f t="shared" si="86"/>
        <v>2619.8747154042758</v>
      </c>
      <c r="L1133">
        <v>5</v>
      </c>
    </row>
    <row r="1134" spans="1:12" x14ac:dyDescent="0.3">
      <c r="A1134" t="s">
        <v>156</v>
      </c>
      <c r="B1134" t="s">
        <v>158</v>
      </c>
      <c r="C1134" s="5">
        <v>0.65</v>
      </c>
      <c r="D1134" s="5">
        <v>0.65</v>
      </c>
      <c r="E1134">
        <v>7</v>
      </c>
      <c r="F1134" s="2">
        <v>23.917197452229296</v>
      </c>
      <c r="G1134" s="3">
        <f t="shared" si="88"/>
        <v>449.27314450314827</v>
      </c>
      <c r="H1134" s="3">
        <f t="shared" si="89"/>
        <v>145.03628642434612</v>
      </c>
      <c r="I1134" s="3">
        <f t="shared" si="85"/>
        <v>29007.257284869225</v>
      </c>
      <c r="J1134" s="5">
        <f t="shared" si="87"/>
        <v>23.000492182238624</v>
      </c>
      <c r="K1134" s="5">
        <f t="shared" si="86"/>
        <v>4600.0984364477245</v>
      </c>
      <c r="L1134">
        <v>5</v>
      </c>
    </row>
    <row r="1135" spans="1:12" x14ac:dyDescent="0.3">
      <c r="A1135" t="s">
        <v>156</v>
      </c>
      <c r="B1135" t="s">
        <v>158</v>
      </c>
      <c r="C1135" s="5">
        <v>0.65</v>
      </c>
      <c r="D1135" s="5">
        <v>0.65</v>
      </c>
      <c r="E1135">
        <v>7</v>
      </c>
      <c r="F1135" s="2">
        <v>12.579617834394904</v>
      </c>
      <c r="G1135" s="3">
        <f t="shared" si="88"/>
        <v>124.28673419214456</v>
      </c>
      <c r="H1135" s="3">
        <f t="shared" si="89"/>
        <v>41.37948154666315</v>
      </c>
      <c r="I1135" s="3">
        <f t="shared" si="85"/>
        <v>8275.8963093326292</v>
      </c>
      <c r="J1135" s="5">
        <f t="shared" si="87"/>
        <v>12.862746229055944</v>
      </c>
      <c r="K1135" s="5">
        <f t="shared" si="86"/>
        <v>2572.5492458111885</v>
      </c>
      <c r="L1135">
        <v>5</v>
      </c>
    </row>
    <row r="1136" spans="1:12" x14ac:dyDescent="0.3">
      <c r="A1136" t="s">
        <v>156</v>
      </c>
      <c r="B1136" t="s">
        <v>17</v>
      </c>
      <c r="C1136" s="5">
        <v>0.43836446099999998</v>
      </c>
      <c r="D1136" s="5">
        <v>0.58666666700000003</v>
      </c>
      <c r="E1136" s="1">
        <v>4.7</v>
      </c>
      <c r="F1136" s="2">
        <v>12.547770700636942</v>
      </c>
      <c r="G1136" s="3">
        <f t="shared" si="88"/>
        <v>123.65823085436149</v>
      </c>
      <c r="H1136" s="3">
        <f t="shared" si="89"/>
        <v>25.25425404609415</v>
      </c>
      <c r="I1136" s="3">
        <f t="shared" si="85"/>
        <v>5050.8508092188295</v>
      </c>
      <c r="J1136" s="5">
        <f t="shared" si="87"/>
        <v>11.5756957401923</v>
      </c>
      <c r="K1136" s="5">
        <f t="shared" si="86"/>
        <v>2315.13914803846</v>
      </c>
      <c r="L1136">
        <v>5</v>
      </c>
    </row>
    <row r="1137" spans="1:12" x14ac:dyDescent="0.3">
      <c r="A1137" t="s">
        <v>156</v>
      </c>
      <c r="B1137" t="s">
        <v>17</v>
      </c>
      <c r="C1137" s="5">
        <v>0.43836446099999998</v>
      </c>
      <c r="D1137" s="5">
        <v>0.58666666700000003</v>
      </c>
      <c r="E1137">
        <v>2</v>
      </c>
      <c r="F1137" s="2">
        <v>5.8280254777070066</v>
      </c>
      <c r="G1137" s="3">
        <f t="shared" si="88"/>
        <v>26.676740531073417</v>
      </c>
      <c r="H1137" s="3">
        <f t="shared" si="89"/>
        <v>2.4550945008419953</v>
      </c>
      <c r="I1137" s="3">
        <f t="shared" si="85"/>
        <v>491.01890016839906</v>
      </c>
      <c r="J1137" s="5">
        <f t="shared" si="87"/>
        <v>9.2234611667816129</v>
      </c>
      <c r="K1137" s="5">
        <f t="shared" si="86"/>
        <v>1844.6922333563227</v>
      </c>
      <c r="L1137">
        <v>5</v>
      </c>
    </row>
    <row r="1138" spans="1:12" x14ac:dyDescent="0.3">
      <c r="A1138" t="s">
        <v>156</v>
      </c>
      <c r="B1138" t="s">
        <v>18</v>
      </c>
      <c r="C1138" s="5">
        <v>0.76500000000000001</v>
      </c>
      <c r="D1138" s="5">
        <v>0.61247410899999999</v>
      </c>
      <c r="E1138">
        <v>7</v>
      </c>
      <c r="F1138" s="2">
        <v>15.35031847133758</v>
      </c>
      <c r="G1138" s="3">
        <f t="shared" si="88"/>
        <v>185.06515772764493</v>
      </c>
      <c r="H1138" s="3">
        <f t="shared" si="89"/>
        <v>57.587672455763631</v>
      </c>
      <c r="I1138" s="3">
        <f t="shared" si="85"/>
        <v>11517.534491152726</v>
      </c>
      <c r="J1138" s="5">
        <f t="shared" si="87"/>
        <v>14.758690790701449</v>
      </c>
      <c r="K1138" s="5">
        <f t="shared" si="86"/>
        <v>2951.7381581402897</v>
      </c>
      <c r="L1138">
        <v>5</v>
      </c>
    </row>
    <row r="1139" spans="1:12" x14ac:dyDescent="0.3">
      <c r="A1139" t="s">
        <v>159</v>
      </c>
      <c r="B1139" t="s">
        <v>70</v>
      </c>
      <c r="C1139" s="5">
        <v>0.86</v>
      </c>
      <c r="D1139" s="5">
        <v>0.65666666699999998</v>
      </c>
      <c r="E1139" s="1">
        <v>5.5</v>
      </c>
      <c r="F1139" s="2">
        <v>5.1910828025477711</v>
      </c>
      <c r="G1139" s="3">
        <f t="shared" si="88"/>
        <v>21.164391865092711</v>
      </c>
      <c r="H1139" s="3">
        <f t="shared" si="89"/>
        <v>5.8684211315327239</v>
      </c>
      <c r="I1139" s="3">
        <f t="shared" si="85"/>
        <v>1173.6842263065448</v>
      </c>
      <c r="J1139" s="5">
        <f t="shared" si="87"/>
        <v>9.5044363077609635</v>
      </c>
      <c r="K1139" s="5">
        <f t="shared" si="86"/>
        <v>1900.8872615521927</v>
      </c>
      <c r="L1139">
        <v>5</v>
      </c>
    </row>
    <row r="1140" spans="1:12" x14ac:dyDescent="0.3">
      <c r="A1140" t="s">
        <v>159</v>
      </c>
      <c r="B1140" t="s">
        <v>21</v>
      </c>
      <c r="C1140" s="5">
        <v>0.80908761900000004</v>
      </c>
      <c r="D1140" s="5">
        <v>0.87473809499999999</v>
      </c>
      <c r="E1140" s="1">
        <v>5.7</v>
      </c>
      <c r="F1140" s="2">
        <v>8.9171974522292992</v>
      </c>
      <c r="G1140" s="3">
        <f t="shared" si="88"/>
        <v>62.452042689723655</v>
      </c>
      <c r="H1140" s="3">
        <f t="shared" si="89"/>
        <v>23.113605422565517</v>
      </c>
      <c r="I1140" s="3">
        <f t="shared" si="85"/>
        <v>4622.7210845131031</v>
      </c>
      <c r="J1140" s="5">
        <f t="shared" si="87"/>
        <v>10.572052387520792</v>
      </c>
      <c r="K1140" s="5">
        <f t="shared" si="86"/>
        <v>2114.4104775041583</v>
      </c>
      <c r="L1140">
        <v>5</v>
      </c>
    </row>
    <row r="1141" spans="1:12" x14ac:dyDescent="0.3">
      <c r="A1141" t="s">
        <v>159</v>
      </c>
      <c r="B1141" t="s">
        <v>55</v>
      </c>
      <c r="C1141" s="5">
        <v>0.41</v>
      </c>
      <c r="D1141" s="5">
        <v>0.33983503399999998</v>
      </c>
      <c r="E1141" s="1">
        <v>6.5</v>
      </c>
      <c r="F1141" s="2">
        <v>6.3694267515923562</v>
      </c>
      <c r="G1141" s="3">
        <f t="shared" si="88"/>
        <v>31.863287086593701</v>
      </c>
      <c r="H1141" s="3">
        <f t="shared" si="89"/>
        <v>5.41427227576348</v>
      </c>
      <c r="I1141" s="3">
        <f t="shared" si="85"/>
        <v>1082.8544551526961</v>
      </c>
      <c r="J1141" s="5">
        <f t="shared" si="87"/>
        <v>9.9086583350237323</v>
      </c>
      <c r="K1141" s="5">
        <f t="shared" si="86"/>
        <v>1981.7316670047464</v>
      </c>
      <c r="L1141">
        <v>5</v>
      </c>
    </row>
    <row r="1142" spans="1:12" x14ac:dyDescent="0.3">
      <c r="A1142" t="s">
        <v>159</v>
      </c>
      <c r="B1142" t="s">
        <v>11</v>
      </c>
      <c r="C1142" s="5">
        <v>0.89361000000000002</v>
      </c>
      <c r="D1142" s="5">
        <v>0.61247410899999999</v>
      </c>
      <c r="E1142" s="1">
        <v>3.5</v>
      </c>
      <c r="F1142" s="2">
        <v>6.5286624203821653</v>
      </c>
      <c r="G1142" s="3">
        <f t="shared" si="88"/>
        <v>33.476365995352509</v>
      </c>
      <c r="H1142" s="3">
        <f t="shared" si="89"/>
        <v>5.5177239389428951</v>
      </c>
      <c r="I1142" s="3">
        <f t="shared" si="85"/>
        <v>1103.544787788579</v>
      </c>
      <c r="J1142" s="5">
        <f t="shared" si="87"/>
        <v>9.5078370542415502</v>
      </c>
      <c r="K1142" s="5">
        <f t="shared" si="86"/>
        <v>1901.5674108483101</v>
      </c>
      <c r="L1142">
        <v>5</v>
      </c>
    </row>
    <row r="1143" spans="1:12" x14ac:dyDescent="0.3">
      <c r="A1143" t="s">
        <v>159</v>
      </c>
      <c r="B1143" t="s">
        <v>13</v>
      </c>
      <c r="C1143" s="5">
        <v>0.45255480399999998</v>
      </c>
      <c r="D1143" s="5">
        <v>0.57808694400000005</v>
      </c>
      <c r="E1143">
        <v>6</v>
      </c>
      <c r="F1143" s="2">
        <v>2.5796178343949041</v>
      </c>
      <c r="G1143" s="3">
        <f t="shared" si="88"/>
        <v>5.2263756643785317</v>
      </c>
      <c r="H1143" s="3">
        <f t="shared" si="89"/>
        <v>1.4406288031038275</v>
      </c>
      <c r="I1143" s="3">
        <f t="shared" si="85"/>
        <v>288.1257606207655</v>
      </c>
      <c r="J1143" s="5">
        <f t="shared" si="87"/>
        <v>9.1254429916020925</v>
      </c>
      <c r="K1143" s="5">
        <f t="shared" si="86"/>
        <v>1825.0885983204184</v>
      </c>
      <c r="L1143">
        <v>5</v>
      </c>
    </row>
    <row r="1144" spans="1:12" x14ac:dyDescent="0.3">
      <c r="A1144" t="s">
        <v>159</v>
      </c>
      <c r="B1144" t="s">
        <v>26</v>
      </c>
      <c r="C1144" s="5">
        <v>0.63400000000000001</v>
      </c>
      <c r="D1144" s="5">
        <v>0.73247777800000002</v>
      </c>
      <c r="E1144" s="1">
        <v>3.7</v>
      </c>
      <c r="F1144" s="2">
        <v>14.076433121019109</v>
      </c>
      <c r="G1144" s="3">
        <f t="shared" si="88"/>
        <v>155.62348045963233</v>
      </c>
      <c r="H1144" s="3">
        <f t="shared" si="89"/>
        <v>31.079708031512745</v>
      </c>
      <c r="I1144" s="3">
        <f t="shared" si="85"/>
        <v>6215.9416063025492</v>
      </c>
      <c r="J1144" s="5">
        <f t="shared" si="87"/>
        <v>11.551690303866282</v>
      </c>
      <c r="K1144" s="5">
        <f t="shared" si="86"/>
        <v>2310.3380607732565</v>
      </c>
      <c r="L1144">
        <v>5</v>
      </c>
    </row>
    <row r="1145" spans="1:12" x14ac:dyDescent="0.3">
      <c r="A1145" t="s">
        <v>159</v>
      </c>
      <c r="B1145" t="s">
        <v>14</v>
      </c>
      <c r="C1145" s="5">
        <v>0.374</v>
      </c>
      <c r="D1145" s="5">
        <v>0.47945833300000001</v>
      </c>
      <c r="E1145">
        <v>4</v>
      </c>
      <c r="F1145" s="2">
        <v>6.2101910828025479</v>
      </c>
      <c r="G1145" s="3">
        <f t="shared" si="88"/>
        <v>30.290037286693146</v>
      </c>
      <c r="H1145" s="3">
        <f t="shared" si="89"/>
        <v>4.4893075039462937</v>
      </c>
      <c r="I1145" s="3">
        <f t="shared" si="85"/>
        <v>897.8615007892588</v>
      </c>
      <c r="J1145" s="5">
        <f t="shared" si="87"/>
        <v>9.5256306259888834</v>
      </c>
      <c r="K1145" s="5">
        <f t="shared" si="86"/>
        <v>1905.1261251977769</v>
      </c>
      <c r="L1145">
        <v>5</v>
      </c>
    </row>
    <row r="1146" spans="1:12" x14ac:dyDescent="0.3">
      <c r="A1146" t="s">
        <v>159</v>
      </c>
      <c r="B1146" t="s">
        <v>15</v>
      </c>
      <c r="C1146" s="5">
        <v>0.74387999999999999</v>
      </c>
      <c r="D1146" s="5">
        <v>0.59130000000000005</v>
      </c>
      <c r="E1146">
        <v>6</v>
      </c>
      <c r="F1146" s="2">
        <v>8.2165605095541405</v>
      </c>
      <c r="G1146" s="3">
        <f t="shared" si="88"/>
        <v>53.023696040800587</v>
      </c>
      <c r="H1146" s="3">
        <f t="shared" si="89"/>
        <v>14.133514457911701</v>
      </c>
      <c r="I1146" s="3">
        <f t="shared" si="85"/>
        <v>2826.7028915823403</v>
      </c>
      <c r="J1146" s="5">
        <f t="shared" si="87"/>
        <v>10.403449198750456</v>
      </c>
      <c r="K1146" s="5">
        <f t="shared" si="86"/>
        <v>2080.6898397500913</v>
      </c>
      <c r="L1146">
        <v>5</v>
      </c>
    </row>
    <row r="1147" spans="1:12" x14ac:dyDescent="0.3">
      <c r="A1147" t="s">
        <v>159</v>
      </c>
      <c r="B1147" t="s">
        <v>158</v>
      </c>
      <c r="C1147" s="5">
        <v>0.65</v>
      </c>
      <c r="D1147" s="5">
        <v>0.65</v>
      </c>
      <c r="E1147" s="1">
        <v>8.5</v>
      </c>
      <c r="F1147" s="2">
        <v>14.904458598726114</v>
      </c>
      <c r="G1147" s="3">
        <f t="shared" si="88"/>
        <v>174.4706147713525</v>
      </c>
      <c r="H1147" s="3">
        <f t="shared" si="89"/>
        <v>69.637729696221953</v>
      </c>
      <c r="I1147" s="3">
        <f t="shared" si="85"/>
        <v>13927.545939244392</v>
      </c>
      <c r="J1147" s="5">
        <f t="shared" si="87"/>
        <v>15.594450862103939</v>
      </c>
      <c r="K1147" s="5">
        <f t="shared" si="86"/>
        <v>3118.8901724207876</v>
      </c>
      <c r="L1147">
        <v>5</v>
      </c>
    </row>
    <row r="1148" spans="1:12" x14ac:dyDescent="0.3">
      <c r="A1148" t="s">
        <v>159</v>
      </c>
      <c r="B1148" t="s">
        <v>158</v>
      </c>
      <c r="C1148" s="5">
        <v>0.65</v>
      </c>
      <c r="D1148" s="5">
        <v>0.65</v>
      </c>
      <c r="E1148">
        <v>8</v>
      </c>
      <c r="F1148" s="2">
        <v>8.2802547770700627</v>
      </c>
      <c r="G1148" s="3">
        <f t="shared" si="88"/>
        <v>53.848955176343352</v>
      </c>
      <c r="H1148" s="3">
        <f t="shared" si="89"/>
        <v>20.837980621202739</v>
      </c>
      <c r="I1148" s="3">
        <f t="shared" si="85"/>
        <v>4167.5961242405483</v>
      </c>
      <c r="J1148" s="5">
        <f t="shared" si="87"/>
        <v>10.905453336849364</v>
      </c>
      <c r="K1148" s="5">
        <f t="shared" si="86"/>
        <v>2181.0906673698728</v>
      </c>
      <c r="L1148">
        <v>5</v>
      </c>
    </row>
    <row r="1149" spans="1:12" x14ac:dyDescent="0.3">
      <c r="A1149" t="s">
        <v>159</v>
      </c>
      <c r="B1149" t="s">
        <v>18</v>
      </c>
      <c r="C1149" s="5">
        <v>0.76500000000000001</v>
      </c>
      <c r="D1149" s="5">
        <v>0.61247410899999999</v>
      </c>
      <c r="E1149">
        <v>8</v>
      </c>
      <c r="F1149" s="2">
        <v>12.13375796178344</v>
      </c>
      <c r="G1149" s="3">
        <f t="shared" si="88"/>
        <v>115.63266541942573</v>
      </c>
      <c r="H1149" s="3">
        <f t="shared" si="89"/>
        <v>41.456000411800701</v>
      </c>
      <c r="I1149" s="3">
        <f t="shared" si="85"/>
        <v>8291.2000823601393</v>
      </c>
      <c r="J1149" s="5">
        <f t="shared" si="87"/>
        <v>13.108086303704004</v>
      </c>
      <c r="K1149" s="5">
        <f t="shared" si="86"/>
        <v>2621.6172607408007</v>
      </c>
      <c r="L1149">
        <v>5</v>
      </c>
    </row>
    <row r="1150" spans="1:12" x14ac:dyDescent="0.3">
      <c r="A1150" t="s">
        <v>159</v>
      </c>
      <c r="B1150" t="s">
        <v>18</v>
      </c>
      <c r="C1150" s="5">
        <v>0.76500000000000001</v>
      </c>
      <c r="D1150" s="5">
        <v>0.61247410899999999</v>
      </c>
      <c r="E1150">
        <v>7</v>
      </c>
      <c r="F1150" s="2">
        <v>28.057324840764327</v>
      </c>
      <c r="G1150" s="3">
        <f t="shared" si="88"/>
        <v>618.27601921044129</v>
      </c>
      <c r="H1150" s="3">
        <f t="shared" si="89"/>
        <v>186.90231489610454</v>
      </c>
      <c r="I1150" s="3">
        <f t="shared" si="85"/>
        <v>37380.462979220909</v>
      </c>
      <c r="J1150" s="5">
        <f t="shared" si="87"/>
        <v>28.272430191894188</v>
      </c>
      <c r="K1150" s="5">
        <f t="shared" si="86"/>
        <v>5654.4860383788382</v>
      </c>
      <c r="L1150">
        <v>5</v>
      </c>
    </row>
    <row r="1151" spans="1:12" x14ac:dyDescent="0.3">
      <c r="A1151" t="s">
        <v>160</v>
      </c>
      <c r="B1151" t="s">
        <v>70</v>
      </c>
      <c r="C1151" s="5">
        <v>0.86</v>
      </c>
      <c r="D1151" s="5">
        <v>0.65666666699999998</v>
      </c>
      <c r="E1151">
        <v>7</v>
      </c>
      <c r="F1151" s="2">
        <v>7.0063694267515917</v>
      </c>
      <c r="G1151" s="3">
        <f t="shared" si="88"/>
        <v>38.554577374778376</v>
      </c>
      <c r="H1151" s="3">
        <f t="shared" si="89"/>
        <v>13.334042761422451</v>
      </c>
      <c r="I1151" s="3">
        <f t="shared" si="85"/>
        <v>2666.8085522844899</v>
      </c>
      <c r="J1151" s="5">
        <f t="shared" si="87"/>
        <v>10.188385707330925</v>
      </c>
      <c r="K1151" s="5">
        <f t="shared" si="86"/>
        <v>2037.6771414661848</v>
      </c>
      <c r="L1151">
        <v>5</v>
      </c>
    </row>
    <row r="1152" spans="1:12" x14ac:dyDescent="0.3">
      <c r="A1152" t="s">
        <v>160</v>
      </c>
      <c r="B1152" t="s">
        <v>46</v>
      </c>
      <c r="C1152" s="5">
        <v>0.40257753800000001</v>
      </c>
      <c r="D1152" s="5">
        <v>0.40843333300000001</v>
      </c>
      <c r="E1152">
        <v>7</v>
      </c>
      <c r="F1152" s="2">
        <v>10.19108280254777</v>
      </c>
      <c r="G1152" s="3">
        <f t="shared" si="88"/>
        <v>81.570014941679872</v>
      </c>
      <c r="H1152" s="3">
        <f t="shared" si="89"/>
        <v>17.43135333141527</v>
      </c>
      <c r="I1152" s="3">
        <f t="shared" si="85"/>
        <v>3486.2706662830542</v>
      </c>
      <c r="J1152" s="5">
        <f t="shared" si="87"/>
        <v>11.53022513286543</v>
      </c>
      <c r="K1152" s="5">
        <f t="shared" si="86"/>
        <v>2306.045026573086</v>
      </c>
      <c r="L1152">
        <v>5</v>
      </c>
    </row>
    <row r="1153" spans="1:12" x14ac:dyDescent="0.3">
      <c r="A1153" t="s">
        <v>160</v>
      </c>
      <c r="B1153" t="s">
        <v>55</v>
      </c>
      <c r="C1153" s="5">
        <v>0.41</v>
      </c>
      <c r="D1153" s="5">
        <v>0.33983503399999998</v>
      </c>
      <c r="E1153">
        <v>6</v>
      </c>
      <c r="F1153" s="2">
        <v>4.7770700636942669</v>
      </c>
      <c r="G1153" s="3">
        <f t="shared" si="88"/>
        <v>17.923098986208956</v>
      </c>
      <c r="H1153" s="3">
        <f t="shared" si="89"/>
        <v>2.8558267842503433</v>
      </c>
      <c r="I1153" s="3">
        <f t="shared" si="85"/>
        <v>571.16535685006863</v>
      </c>
      <c r="J1153" s="5">
        <f t="shared" si="87"/>
        <v>9.4649283662623223</v>
      </c>
      <c r="K1153" s="5">
        <f t="shared" si="86"/>
        <v>1892.9856732524645</v>
      </c>
      <c r="L1153">
        <v>5</v>
      </c>
    </row>
    <row r="1154" spans="1:12" x14ac:dyDescent="0.3">
      <c r="A1154" t="s">
        <v>160</v>
      </c>
      <c r="B1154" t="s">
        <v>157</v>
      </c>
      <c r="C1154" s="5">
        <v>0.52800000000000002</v>
      </c>
      <c r="D1154" s="5">
        <v>0.51040266700000003</v>
      </c>
      <c r="E1154">
        <v>8</v>
      </c>
      <c r="F1154" s="2">
        <v>3.9808917197452227</v>
      </c>
      <c r="G1154" s="3">
        <f t="shared" si="88"/>
        <v>12.446596518200664</v>
      </c>
      <c r="H1154" s="3">
        <f t="shared" si="89"/>
        <v>3.9401757017232075</v>
      </c>
      <c r="I1154" s="3">
        <f t="shared" ref="I1154:I1217" si="90">(H1154*1000)/L1154</f>
        <v>788.03514034464149</v>
      </c>
      <c r="J1154" s="5">
        <f t="shared" si="87"/>
        <v>9.4294299687614096</v>
      </c>
      <c r="K1154" s="5">
        <f t="shared" ref="K1154:K1217" si="91">(J1154*1000)/L1154</f>
        <v>1885.8859937522818</v>
      </c>
      <c r="L1154">
        <v>5</v>
      </c>
    </row>
    <row r="1155" spans="1:12" x14ac:dyDescent="0.3">
      <c r="A1155" t="s">
        <v>160</v>
      </c>
      <c r="B1155" t="s">
        <v>161</v>
      </c>
      <c r="C1155" s="5">
        <v>0.28905069999999999</v>
      </c>
      <c r="D1155" s="5">
        <v>0.28905072500000001</v>
      </c>
      <c r="E1155">
        <v>4</v>
      </c>
      <c r="F1155" s="2">
        <v>3.6624203821656049</v>
      </c>
      <c r="G1155" s="3">
        <f t="shared" si="88"/>
        <v>10.534799293005044</v>
      </c>
      <c r="H1155" s="3">
        <f t="shared" si="89"/>
        <v>0.97726380168262439</v>
      </c>
      <c r="I1155" s="3">
        <f t="shared" si="90"/>
        <v>195.45276033652488</v>
      </c>
      <c r="J1155" s="5">
        <f t="shared" ref="J1155:J1218" si="92">8.9857 + 0.0035 * F1155^2 * E1155</f>
        <v>9.1734865227798288</v>
      </c>
      <c r="K1155" s="5">
        <f t="shared" si="91"/>
        <v>1834.6973045559657</v>
      </c>
      <c r="L1155">
        <v>5</v>
      </c>
    </row>
    <row r="1156" spans="1:12" x14ac:dyDescent="0.3">
      <c r="A1156" t="s">
        <v>160</v>
      </c>
      <c r="B1156" t="s">
        <v>65</v>
      </c>
      <c r="C1156" s="5">
        <v>0.55560299999999996</v>
      </c>
      <c r="D1156" s="5">
        <v>0.55961111100000005</v>
      </c>
      <c r="E1156" s="1">
        <v>2.7</v>
      </c>
      <c r="F1156" s="2">
        <v>4.1401273885350314</v>
      </c>
      <c r="G1156" s="3">
        <f t="shared" ref="G1156:G1219" si="93">PI()*(F1156/2)^2</f>
        <v>13.462238794085838</v>
      </c>
      <c r="H1156" s="3">
        <f t="shared" ref="H1156:H1219" si="94">0.0673 * ((D1156 * F1156^2 * E1156)^0.976)</f>
        <v>1.6120329166925151</v>
      </c>
      <c r="I1156" s="3">
        <f t="shared" si="90"/>
        <v>322.40658333850303</v>
      </c>
      <c r="J1156" s="5">
        <f t="shared" si="92"/>
        <v>9.1476791877966654</v>
      </c>
      <c r="K1156" s="5">
        <f t="shared" si="91"/>
        <v>1829.5358375593332</v>
      </c>
      <c r="L1156">
        <v>5</v>
      </c>
    </row>
    <row r="1157" spans="1:12" x14ac:dyDescent="0.3">
      <c r="A1157" t="s">
        <v>160</v>
      </c>
      <c r="B1157" t="s">
        <v>36</v>
      </c>
      <c r="C1157" s="5">
        <v>0.56193137999999998</v>
      </c>
      <c r="D1157" s="5">
        <v>0.57808694400000005</v>
      </c>
      <c r="E1157" s="1">
        <v>6.5</v>
      </c>
      <c r="F1157" s="2">
        <v>14.012738853503183</v>
      </c>
      <c r="G1157" s="3">
        <f t="shared" si="93"/>
        <v>154.2183094991135</v>
      </c>
      <c r="H1157" s="3">
        <f t="shared" si="94"/>
        <v>42.377640938858413</v>
      </c>
      <c r="I1157" s="3">
        <f t="shared" si="90"/>
        <v>8475.5281877716825</v>
      </c>
      <c r="J1157" s="5">
        <f t="shared" si="92"/>
        <v>13.452818341514867</v>
      </c>
      <c r="K1157" s="5">
        <f t="shared" si="91"/>
        <v>2690.5636683029734</v>
      </c>
      <c r="L1157">
        <v>5</v>
      </c>
    </row>
    <row r="1158" spans="1:12" x14ac:dyDescent="0.3">
      <c r="A1158" t="s">
        <v>160</v>
      </c>
      <c r="B1158" t="s">
        <v>52</v>
      </c>
      <c r="C1158" s="5">
        <v>0.61</v>
      </c>
      <c r="D1158" s="5">
        <v>0.84088888900000003</v>
      </c>
      <c r="E1158" s="1">
        <v>6.5</v>
      </c>
      <c r="F1158" s="2">
        <v>26.751592356687897</v>
      </c>
      <c r="G1158" s="3">
        <f t="shared" si="93"/>
        <v>562.06838420751296</v>
      </c>
      <c r="H1158" s="3">
        <f t="shared" si="94"/>
        <v>215.84892046290057</v>
      </c>
      <c r="I1158" s="3">
        <f t="shared" si="90"/>
        <v>43169.784092580114</v>
      </c>
      <c r="J1158" s="5">
        <f t="shared" si="92"/>
        <v>25.266685029818653</v>
      </c>
      <c r="K1158" s="5">
        <f t="shared" si="91"/>
        <v>5053.3370059637309</v>
      </c>
      <c r="L1158">
        <v>5</v>
      </c>
    </row>
    <row r="1159" spans="1:12" x14ac:dyDescent="0.3">
      <c r="A1159" t="s">
        <v>160</v>
      </c>
      <c r="B1159" t="s">
        <v>130</v>
      </c>
      <c r="C1159" s="5">
        <v>0.84088890000000005</v>
      </c>
      <c r="D1159" s="5">
        <v>0.84088888900000003</v>
      </c>
      <c r="E1159" s="1">
        <v>6.5</v>
      </c>
      <c r="F1159" s="2">
        <v>26.114649681528661</v>
      </c>
      <c r="G1159" s="3">
        <f t="shared" si="93"/>
        <v>535.62185592564015</v>
      </c>
      <c r="H1159" s="3">
        <f t="shared" si="94"/>
        <v>205.93082264242753</v>
      </c>
      <c r="I1159" s="3">
        <f t="shared" si="90"/>
        <v>41186.164528485504</v>
      </c>
      <c r="J1159" s="5">
        <f t="shared" si="92"/>
        <v>24.500629611748952</v>
      </c>
      <c r="K1159" s="5">
        <f t="shared" si="91"/>
        <v>4900.12592234979</v>
      </c>
      <c r="L1159">
        <v>5</v>
      </c>
    </row>
    <row r="1160" spans="1:12" x14ac:dyDescent="0.3">
      <c r="A1160" t="s">
        <v>160</v>
      </c>
      <c r="B1160" t="s">
        <v>27</v>
      </c>
      <c r="C1160" s="5">
        <v>0.65716857299999998</v>
      </c>
      <c r="D1160" s="5">
        <v>0.85527777800000004</v>
      </c>
      <c r="E1160" s="1">
        <v>4.5</v>
      </c>
      <c r="F1160" s="2">
        <v>10.477707006369426</v>
      </c>
      <c r="G1160" s="3">
        <f t="shared" si="93"/>
        <v>86.222851438499731</v>
      </c>
      <c r="H1160" s="3">
        <f t="shared" si="94"/>
        <v>24.594999222077849</v>
      </c>
      <c r="I1160" s="3">
        <f t="shared" si="90"/>
        <v>4918.9998444155699</v>
      </c>
      <c r="J1160" s="5">
        <f t="shared" si="92"/>
        <v>10.714771919753336</v>
      </c>
      <c r="K1160" s="5">
        <f t="shared" si="91"/>
        <v>2142.9543839506669</v>
      </c>
      <c r="L1160">
        <v>5</v>
      </c>
    </row>
    <row r="1161" spans="1:12" x14ac:dyDescent="0.3">
      <c r="A1161" t="s">
        <v>160</v>
      </c>
      <c r="B1161" t="s">
        <v>17</v>
      </c>
      <c r="C1161" s="5">
        <v>0.43836446099999998</v>
      </c>
      <c r="D1161" s="5">
        <v>0.58666666700000003</v>
      </c>
      <c r="E1161">
        <v>5</v>
      </c>
      <c r="F1161" s="2">
        <v>12.579617834394904</v>
      </c>
      <c r="G1161" s="3">
        <f t="shared" si="93"/>
        <v>124.28673419214456</v>
      </c>
      <c r="H1161" s="3">
        <f t="shared" si="94"/>
        <v>26.959427503089003</v>
      </c>
      <c r="I1161" s="3">
        <f t="shared" si="90"/>
        <v>5391.8855006178001</v>
      </c>
      <c r="J1161" s="5">
        <f t="shared" si="92"/>
        <v>11.755018735039961</v>
      </c>
      <c r="K1161" s="5">
        <f t="shared" si="91"/>
        <v>2351.0037470079924</v>
      </c>
      <c r="L1161">
        <v>5</v>
      </c>
    </row>
    <row r="1162" spans="1:12" x14ac:dyDescent="0.3">
      <c r="A1162" t="s">
        <v>160</v>
      </c>
      <c r="B1162" t="s">
        <v>17</v>
      </c>
      <c r="C1162" s="5">
        <v>0.43836446099999998</v>
      </c>
      <c r="D1162" s="5">
        <v>0.58666666700000003</v>
      </c>
      <c r="E1162" s="1">
        <v>4.5</v>
      </c>
      <c r="F1162" s="2">
        <v>1.910828025477707</v>
      </c>
      <c r="G1162" s="3">
        <f t="shared" si="93"/>
        <v>2.8676958377934336</v>
      </c>
      <c r="H1162" s="3">
        <f t="shared" si="94"/>
        <v>0.61439131060667052</v>
      </c>
      <c r="I1162" s="3">
        <f t="shared" si="90"/>
        <v>122.87826212133409</v>
      </c>
      <c r="J1162" s="5">
        <f t="shared" si="92"/>
        <v>9.0432074039514792</v>
      </c>
      <c r="K1162" s="5">
        <f t="shared" si="91"/>
        <v>1808.6414807902959</v>
      </c>
      <c r="L1162">
        <v>5</v>
      </c>
    </row>
    <row r="1163" spans="1:12" x14ac:dyDescent="0.3">
      <c r="A1163" t="s">
        <v>160</v>
      </c>
      <c r="B1163" t="s">
        <v>162</v>
      </c>
      <c r="C1163" s="5">
        <v>0.52607139999999997</v>
      </c>
      <c r="D1163" s="5">
        <v>0.52607142900000003</v>
      </c>
      <c r="E1163" s="1">
        <v>4.5999999999999996</v>
      </c>
      <c r="F1163" s="2">
        <v>3.8216560509554141</v>
      </c>
      <c r="G1163" s="3">
        <f t="shared" si="93"/>
        <v>11.470783351173734</v>
      </c>
      <c r="H1163" s="3">
        <f t="shared" si="94"/>
        <v>2.1835415975680585</v>
      </c>
      <c r="I1163" s="3">
        <f t="shared" si="90"/>
        <v>436.70831951361168</v>
      </c>
      <c r="J1163" s="5">
        <f t="shared" si="92"/>
        <v>9.2208413850460467</v>
      </c>
      <c r="K1163" s="5">
        <f t="shared" si="91"/>
        <v>1844.1682770092095</v>
      </c>
      <c r="L1163">
        <v>5</v>
      </c>
    </row>
    <row r="1164" spans="1:12" x14ac:dyDescent="0.3">
      <c r="A1164" t="s">
        <v>160</v>
      </c>
      <c r="B1164" t="s">
        <v>162</v>
      </c>
      <c r="C1164" s="5">
        <v>0.52607139999999997</v>
      </c>
      <c r="D1164" s="5">
        <v>0.52607142900000003</v>
      </c>
      <c r="E1164" s="1">
        <v>4.5999999999999996</v>
      </c>
      <c r="F1164" s="2">
        <v>7.8025477707006363</v>
      </c>
      <c r="G1164" s="3">
        <f t="shared" si="93"/>
        <v>47.814845184319672</v>
      </c>
      <c r="H1164" s="3">
        <f t="shared" si="94"/>
        <v>8.7953246427415372</v>
      </c>
      <c r="I1164" s="3">
        <f t="shared" si="90"/>
        <v>1759.0649285483075</v>
      </c>
      <c r="J1164" s="5">
        <f t="shared" si="92"/>
        <v>9.9658640025964544</v>
      </c>
      <c r="K1164" s="5">
        <f t="shared" si="91"/>
        <v>1993.1728005192908</v>
      </c>
      <c r="L1164">
        <v>5</v>
      </c>
    </row>
    <row r="1165" spans="1:12" x14ac:dyDescent="0.3">
      <c r="A1165" t="s">
        <v>160</v>
      </c>
      <c r="B1165" t="s">
        <v>162</v>
      </c>
      <c r="C1165" s="5">
        <v>0.52607139999999997</v>
      </c>
      <c r="D1165" s="5">
        <v>0.52607142900000003</v>
      </c>
      <c r="E1165" s="1">
        <v>2.2000000000000002</v>
      </c>
      <c r="F1165" s="2">
        <v>6.3694267515923562</v>
      </c>
      <c r="G1165" s="3">
        <f t="shared" si="93"/>
        <v>31.863287086593701</v>
      </c>
      <c r="H1165" s="3">
        <f t="shared" si="94"/>
        <v>2.8811317731029669</v>
      </c>
      <c r="I1165" s="3">
        <f t="shared" si="90"/>
        <v>576.22635462059338</v>
      </c>
      <c r="J1165" s="5">
        <f t="shared" si="92"/>
        <v>9.2980858980080328</v>
      </c>
      <c r="K1165" s="5">
        <f t="shared" si="91"/>
        <v>1859.6171796016065</v>
      </c>
      <c r="L1165">
        <v>5</v>
      </c>
    </row>
    <row r="1166" spans="1:12" x14ac:dyDescent="0.3">
      <c r="A1166" t="s">
        <v>160</v>
      </c>
      <c r="B1166" t="s">
        <v>127</v>
      </c>
      <c r="C1166" s="5">
        <v>0.68500000000000005</v>
      </c>
      <c r="D1166" s="5">
        <v>0.54</v>
      </c>
      <c r="E1166">
        <v>4</v>
      </c>
      <c r="F1166" s="2">
        <v>3.3439490445859872</v>
      </c>
      <c r="G1166" s="3">
        <f t="shared" si="93"/>
        <v>8.7823185032423901</v>
      </c>
      <c r="H1166" s="3">
        <f t="shared" si="94"/>
        <v>1.5059021872795169</v>
      </c>
      <c r="I1166" s="3">
        <f t="shared" si="90"/>
        <v>301.18043745590342</v>
      </c>
      <c r="J1166" s="5">
        <f t="shared" si="92"/>
        <v>9.1422479329790249</v>
      </c>
      <c r="K1166" s="5">
        <f t="shared" si="91"/>
        <v>1828.4495865958052</v>
      </c>
      <c r="L1166">
        <v>5</v>
      </c>
    </row>
    <row r="1167" spans="1:12" x14ac:dyDescent="0.3">
      <c r="A1167" t="s">
        <v>160</v>
      </c>
      <c r="B1167" t="s">
        <v>127</v>
      </c>
      <c r="C1167" s="5">
        <v>0.68500000000000005</v>
      </c>
      <c r="D1167" s="5">
        <v>0.54</v>
      </c>
      <c r="E1167">
        <v>4</v>
      </c>
      <c r="F1167" s="2">
        <v>2.5477707006369426</v>
      </c>
      <c r="G1167" s="3">
        <f t="shared" si="93"/>
        <v>5.098125933854992</v>
      </c>
      <c r="H1167" s="3">
        <f t="shared" si="94"/>
        <v>0.88565974773216039</v>
      </c>
      <c r="I1167" s="3">
        <f t="shared" si="90"/>
        <v>177.13194954643208</v>
      </c>
      <c r="J1167" s="5">
        <f t="shared" si="92"/>
        <v>9.0765758976023356</v>
      </c>
      <c r="K1167" s="5">
        <f t="shared" si="91"/>
        <v>1815.3151795204672</v>
      </c>
      <c r="L1167">
        <v>5</v>
      </c>
    </row>
    <row r="1168" spans="1:12" x14ac:dyDescent="0.3">
      <c r="A1168" t="s">
        <v>160</v>
      </c>
      <c r="B1168" t="s">
        <v>127</v>
      </c>
      <c r="C1168" s="5">
        <v>0.68500000000000005</v>
      </c>
      <c r="D1168" s="5">
        <v>0.54</v>
      </c>
      <c r="E1168">
        <v>3</v>
      </c>
      <c r="F1168" s="2">
        <v>2.8662420382165603</v>
      </c>
      <c r="G1168" s="3">
        <f t="shared" si="93"/>
        <v>6.4523156350352249</v>
      </c>
      <c r="H1168" s="3">
        <f t="shared" si="94"/>
        <v>0.8417370117193157</v>
      </c>
      <c r="I1168" s="3">
        <f t="shared" si="90"/>
        <v>168.34740234386314</v>
      </c>
      <c r="J1168" s="5">
        <f t="shared" si="92"/>
        <v>9.0719611059272172</v>
      </c>
      <c r="K1168" s="5">
        <f t="shared" si="91"/>
        <v>1814.3922211854435</v>
      </c>
      <c r="L1168">
        <v>5</v>
      </c>
    </row>
    <row r="1169" spans="1:12" x14ac:dyDescent="0.3">
      <c r="A1169" t="s">
        <v>163</v>
      </c>
      <c r="B1169" t="s">
        <v>70</v>
      </c>
      <c r="C1169" s="5">
        <v>0.86</v>
      </c>
      <c r="D1169" s="5">
        <v>0.65666666699999998</v>
      </c>
      <c r="E1169">
        <v>6</v>
      </c>
      <c r="F1169" s="2">
        <v>20.541401273885349</v>
      </c>
      <c r="G1169" s="3">
        <f t="shared" si="93"/>
        <v>331.39810025500361</v>
      </c>
      <c r="H1169" s="3">
        <f t="shared" si="94"/>
        <v>93.642557615678527</v>
      </c>
      <c r="I1169" s="3">
        <f t="shared" si="90"/>
        <v>18728.511523135705</v>
      </c>
      <c r="J1169" s="5">
        <f t="shared" si="92"/>
        <v>17.846632492190352</v>
      </c>
      <c r="K1169" s="5">
        <f t="shared" si="91"/>
        <v>3569.3264984380703</v>
      </c>
      <c r="L1169">
        <v>5</v>
      </c>
    </row>
    <row r="1170" spans="1:12" x14ac:dyDescent="0.3">
      <c r="A1170" t="s">
        <v>163</v>
      </c>
      <c r="B1170" t="s">
        <v>70</v>
      </c>
      <c r="C1170" s="5">
        <v>0.86</v>
      </c>
      <c r="D1170" s="5">
        <v>0.65666666699999998</v>
      </c>
      <c r="E1170" s="1">
        <v>4.5</v>
      </c>
      <c r="F1170" s="2">
        <v>5.7324840764331206</v>
      </c>
      <c r="G1170" s="3">
        <f t="shared" si="93"/>
        <v>25.809262540140899</v>
      </c>
      <c r="H1170" s="3">
        <f t="shared" si="94"/>
        <v>5.8555059542885131</v>
      </c>
      <c r="I1170" s="3">
        <f t="shared" si="90"/>
        <v>1171.1011908577025</v>
      </c>
      <c r="J1170" s="5">
        <f t="shared" si="92"/>
        <v>9.5032666355633086</v>
      </c>
      <c r="K1170" s="5">
        <f t="shared" si="91"/>
        <v>1900.6533271126616</v>
      </c>
      <c r="L1170">
        <v>5</v>
      </c>
    </row>
    <row r="1171" spans="1:12" x14ac:dyDescent="0.3">
      <c r="A1171" t="s">
        <v>163</v>
      </c>
      <c r="B1171" t="s">
        <v>70</v>
      </c>
      <c r="C1171" s="5">
        <v>0.86</v>
      </c>
      <c r="D1171" s="5">
        <v>0.65666666699999998</v>
      </c>
      <c r="E1171">
        <v>3</v>
      </c>
      <c r="F1171" s="2">
        <v>2.8662420382165603</v>
      </c>
      <c r="G1171" s="3">
        <f t="shared" si="93"/>
        <v>6.4523156350352249</v>
      </c>
      <c r="H1171" s="3">
        <f t="shared" si="94"/>
        <v>1.0187996956649805</v>
      </c>
      <c r="I1171" s="3">
        <f t="shared" si="90"/>
        <v>203.7599391329961</v>
      </c>
      <c r="J1171" s="5">
        <f t="shared" si="92"/>
        <v>9.0719611059272172</v>
      </c>
      <c r="K1171" s="5">
        <f t="shared" si="91"/>
        <v>1814.3922211854435</v>
      </c>
      <c r="L1171">
        <v>5</v>
      </c>
    </row>
    <row r="1172" spans="1:12" x14ac:dyDescent="0.3">
      <c r="A1172" t="s">
        <v>163</v>
      </c>
      <c r="B1172" t="s">
        <v>52</v>
      </c>
      <c r="C1172" s="5">
        <v>0.61</v>
      </c>
      <c r="D1172" s="5">
        <v>0.84088888900000003</v>
      </c>
      <c r="E1172">
        <v>5</v>
      </c>
      <c r="F1172" s="2">
        <v>32.484076433121018</v>
      </c>
      <c r="G1172" s="3">
        <f t="shared" si="93"/>
        <v>828.76409712230225</v>
      </c>
      <c r="H1172" s="3">
        <f t="shared" si="94"/>
        <v>244.08187901292308</v>
      </c>
      <c r="I1172" s="3">
        <f t="shared" si="90"/>
        <v>48816.375802584618</v>
      </c>
      <c r="J1172" s="5">
        <f t="shared" si="92"/>
        <v>27.451966379974841</v>
      </c>
      <c r="K1172" s="5">
        <f t="shared" si="91"/>
        <v>5490.3932759949685</v>
      </c>
      <c r="L1172">
        <v>5</v>
      </c>
    </row>
    <row r="1173" spans="1:12" x14ac:dyDescent="0.3">
      <c r="A1173" t="s">
        <v>163</v>
      </c>
      <c r="B1173" t="s">
        <v>130</v>
      </c>
      <c r="C1173" s="5">
        <v>0.84088890000000005</v>
      </c>
      <c r="D1173" s="5">
        <v>0.84088888900000003</v>
      </c>
      <c r="E1173">
        <v>8</v>
      </c>
      <c r="F1173" s="2">
        <v>10.19108280254777</v>
      </c>
      <c r="G1173" s="3">
        <f t="shared" si="93"/>
        <v>81.570014941679872</v>
      </c>
      <c r="H1173" s="3">
        <f t="shared" si="94"/>
        <v>40.181103848905387</v>
      </c>
      <c r="I1173" s="3">
        <f t="shared" si="90"/>
        <v>8036.2207697810782</v>
      </c>
      <c r="J1173" s="5">
        <f t="shared" si="92"/>
        <v>11.893728723274776</v>
      </c>
      <c r="K1173" s="5">
        <f t="shared" si="91"/>
        <v>2378.7457446549552</v>
      </c>
      <c r="L1173">
        <v>5</v>
      </c>
    </row>
    <row r="1174" spans="1:12" x14ac:dyDescent="0.3">
      <c r="A1174" t="s">
        <v>163</v>
      </c>
      <c r="B1174" t="s">
        <v>18</v>
      </c>
      <c r="C1174" s="5">
        <v>0.76500000000000001</v>
      </c>
      <c r="D1174" s="5">
        <v>0.61247410899999999</v>
      </c>
      <c r="E1174" s="1">
        <v>8.5</v>
      </c>
      <c r="F1174" s="2">
        <v>16.401273885350317</v>
      </c>
      <c r="G1174" s="3">
        <f t="shared" si="93"/>
        <v>211.27350793854535</v>
      </c>
      <c r="H1174" s="3">
        <f t="shared" si="94"/>
        <v>79.2075541136102</v>
      </c>
      <c r="I1174" s="3">
        <f t="shared" si="90"/>
        <v>15841.510822722039</v>
      </c>
      <c r="J1174" s="5">
        <f t="shared" si="92"/>
        <v>16.988503105602661</v>
      </c>
      <c r="K1174" s="5">
        <f t="shared" si="91"/>
        <v>3397.7006211205321</v>
      </c>
      <c r="L1174">
        <v>5</v>
      </c>
    </row>
    <row r="1175" spans="1:12" x14ac:dyDescent="0.3">
      <c r="A1175" t="s">
        <v>163</v>
      </c>
      <c r="B1175" t="s">
        <v>18</v>
      </c>
      <c r="C1175" s="5">
        <v>0.76500000000000001</v>
      </c>
      <c r="D1175" s="5">
        <v>0.61247410899999999</v>
      </c>
      <c r="E1175">
        <v>7</v>
      </c>
      <c r="F1175" s="2">
        <v>26.273885350318469</v>
      </c>
      <c r="G1175" s="3">
        <f t="shared" si="93"/>
        <v>542.173744332821</v>
      </c>
      <c r="H1175" s="3">
        <f t="shared" si="94"/>
        <v>164.41438592655055</v>
      </c>
      <c r="I1175" s="3">
        <f t="shared" si="90"/>
        <v>32882.877185310106</v>
      </c>
      <c r="J1175" s="5">
        <f t="shared" si="92"/>
        <v>25.898467759341145</v>
      </c>
      <c r="K1175" s="5">
        <f t="shared" si="91"/>
        <v>5179.6935518682285</v>
      </c>
      <c r="L1175">
        <v>5</v>
      </c>
    </row>
    <row r="1176" spans="1:12" x14ac:dyDescent="0.3">
      <c r="A1176" t="s">
        <v>163</v>
      </c>
      <c r="B1176" t="s">
        <v>18</v>
      </c>
      <c r="C1176" s="5">
        <v>0.76500000000000001</v>
      </c>
      <c r="D1176" s="5">
        <v>0.61247410899999999</v>
      </c>
      <c r="E1176">
        <v>6</v>
      </c>
      <c r="F1176" s="2">
        <v>14.968152866242038</v>
      </c>
      <c r="G1176" s="3">
        <f t="shared" si="93"/>
        <v>175.96500293571373</v>
      </c>
      <c r="H1176" s="3">
        <f t="shared" si="94"/>
        <v>47.164654694674283</v>
      </c>
      <c r="I1176" s="3">
        <f t="shared" si="90"/>
        <v>9432.9309389348564</v>
      </c>
      <c r="J1176" s="5">
        <f t="shared" si="92"/>
        <v>13.690657604770983</v>
      </c>
      <c r="K1176" s="5">
        <f t="shared" si="91"/>
        <v>2738.1315209541967</v>
      </c>
      <c r="L1176">
        <v>5</v>
      </c>
    </row>
    <row r="1177" spans="1:12" x14ac:dyDescent="0.3">
      <c r="A1177" t="s">
        <v>164</v>
      </c>
      <c r="B1177" t="s">
        <v>70</v>
      </c>
      <c r="C1177" s="5">
        <v>0.86</v>
      </c>
      <c r="D1177" s="5">
        <v>0.65666666699999998</v>
      </c>
      <c r="E1177" s="1">
        <v>3.5</v>
      </c>
      <c r="F1177" s="2">
        <v>6.0509554140127388</v>
      </c>
      <c r="G1177" s="3">
        <f t="shared" si="93"/>
        <v>28.756616595650822</v>
      </c>
      <c r="H1177" s="3">
        <f t="shared" si="94"/>
        <v>5.0918373671360291</v>
      </c>
      <c r="I1177" s="3">
        <f t="shared" si="90"/>
        <v>1018.3674734272057</v>
      </c>
      <c r="J1177" s="5">
        <f t="shared" si="92"/>
        <v>9.4342222524240338</v>
      </c>
      <c r="K1177" s="5">
        <f t="shared" si="91"/>
        <v>1886.8444504848067</v>
      </c>
      <c r="L1177">
        <v>5</v>
      </c>
    </row>
    <row r="1178" spans="1:12" x14ac:dyDescent="0.3">
      <c r="A1178" t="s">
        <v>164</v>
      </c>
      <c r="B1178" t="s">
        <v>46</v>
      </c>
      <c r="C1178" s="5">
        <v>0.40257753800000001</v>
      </c>
      <c r="D1178" s="5">
        <v>0.40843333300000001</v>
      </c>
      <c r="E1178">
        <v>12</v>
      </c>
      <c r="F1178" s="2">
        <v>30.095541401273884</v>
      </c>
      <c r="G1178" s="3">
        <f t="shared" si="93"/>
        <v>711.36779876263358</v>
      </c>
      <c r="H1178" s="3">
        <f t="shared" si="94"/>
        <v>244.22293586082694</v>
      </c>
      <c r="I1178" s="3">
        <f t="shared" si="90"/>
        <v>48844.587172165382</v>
      </c>
      <c r="J1178" s="5">
        <f t="shared" si="92"/>
        <v>47.026847713903202</v>
      </c>
      <c r="K1178" s="5">
        <f t="shared" si="91"/>
        <v>9405.3695427806415</v>
      </c>
      <c r="L1178">
        <v>5</v>
      </c>
    </row>
    <row r="1179" spans="1:12" x14ac:dyDescent="0.3">
      <c r="A1179" t="s">
        <v>164</v>
      </c>
      <c r="B1179" t="s">
        <v>55</v>
      </c>
      <c r="C1179" s="5">
        <v>0.41</v>
      </c>
      <c r="D1179" s="5">
        <v>0.33983503399999998</v>
      </c>
      <c r="E1179" s="1">
        <v>6.5</v>
      </c>
      <c r="F1179" s="2">
        <v>10.828025477707007</v>
      </c>
      <c r="G1179" s="3">
        <f t="shared" si="93"/>
        <v>92.084899680255816</v>
      </c>
      <c r="H1179" s="3">
        <f t="shared" si="94"/>
        <v>15.253741649954179</v>
      </c>
      <c r="I1179" s="3">
        <f t="shared" si="90"/>
        <v>3050.7483299908358</v>
      </c>
      <c r="J1179" s="5">
        <f t="shared" si="92"/>
        <v>11.65304958821859</v>
      </c>
      <c r="K1179" s="5">
        <f t="shared" si="91"/>
        <v>2330.6099176437178</v>
      </c>
      <c r="L1179">
        <v>5</v>
      </c>
    </row>
    <row r="1180" spans="1:12" x14ac:dyDescent="0.3">
      <c r="A1180" t="s">
        <v>164</v>
      </c>
      <c r="B1180" t="s">
        <v>55</v>
      </c>
      <c r="C1180" s="5">
        <v>0.41</v>
      </c>
      <c r="D1180" s="5">
        <v>0.33983503399999998</v>
      </c>
      <c r="E1180">
        <v>12</v>
      </c>
      <c r="F1180" s="2">
        <v>9.872611464968152</v>
      </c>
      <c r="G1180" s="3">
        <f t="shared" si="93"/>
        <v>76.55154722554137</v>
      </c>
      <c r="H1180" s="3">
        <f t="shared" si="94"/>
        <v>23.171013321594806</v>
      </c>
      <c r="I1180" s="3">
        <f t="shared" si="90"/>
        <v>4634.2026643189611</v>
      </c>
      <c r="J1180" s="5">
        <f t="shared" si="92"/>
        <v>13.079375199805266</v>
      </c>
      <c r="K1180" s="5">
        <f t="shared" si="91"/>
        <v>2615.8750399610535</v>
      </c>
      <c r="L1180">
        <v>5</v>
      </c>
    </row>
    <row r="1181" spans="1:12" x14ac:dyDescent="0.3">
      <c r="A1181" t="s">
        <v>164</v>
      </c>
      <c r="B1181" t="s">
        <v>36</v>
      </c>
      <c r="C1181" s="5">
        <v>0.56193137999999998</v>
      </c>
      <c r="D1181" s="5">
        <v>0.57808694400000005</v>
      </c>
      <c r="E1181" s="1">
        <v>4.5</v>
      </c>
      <c r="F1181" s="2">
        <v>10.19108280254777</v>
      </c>
      <c r="G1181" s="3">
        <f t="shared" si="93"/>
        <v>81.570014941679872</v>
      </c>
      <c r="H1181" s="3">
        <f t="shared" si="94"/>
        <v>15.896513655815452</v>
      </c>
      <c r="I1181" s="3">
        <f t="shared" si="90"/>
        <v>3179.3027311630904</v>
      </c>
      <c r="J1181" s="5">
        <f t="shared" si="92"/>
        <v>10.621466156842063</v>
      </c>
      <c r="K1181" s="5">
        <f t="shared" si="91"/>
        <v>2124.2932313684128</v>
      </c>
      <c r="L1181">
        <v>5</v>
      </c>
    </row>
    <row r="1182" spans="1:12" x14ac:dyDescent="0.3">
      <c r="A1182" t="s">
        <v>164</v>
      </c>
      <c r="B1182" t="s">
        <v>158</v>
      </c>
      <c r="C1182" s="5">
        <v>0.65</v>
      </c>
      <c r="D1182" s="5">
        <v>0.65</v>
      </c>
      <c r="E1182">
        <v>7</v>
      </c>
      <c r="F1182" s="5">
        <v>3.0254777070063694</v>
      </c>
      <c r="G1182" s="3">
        <f t="shared" si="93"/>
        <v>7.1891541489127055</v>
      </c>
      <c r="H1182" s="3">
        <f t="shared" si="94"/>
        <v>2.5629727685108032</v>
      </c>
      <c r="I1182" s="3">
        <f t="shared" si="90"/>
        <v>512.59455370216062</v>
      </c>
      <c r="J1182" s="5">
        <f t="shared" si="92"/>
        <v>9.2099611262120167</v>
      </c>
      <c r="K1182" s="5">
        <f t="shared" si="91"/>
        <v>1841.9922252424033</v>
      </c>
      <c r="L1182">
        <v>5</v>
      </c>
    </row>
    <row r="1183" spans="1:12" x14ac:dyDescent="0.3">
      <c r="A1183" t="s">
        <v>164</v>
      </c>
      <c r="B1183" t="s">
        <v>27</v>
      </c>
      <c r="C1183" s="5">
        <v>0.65716857299999998</v>
      </c>
      <c r="D1183" s="5">
        <v>0.85527777800000004</v>
      </c>
      <c r="E1183" s="1">
        <v>3.5</v>
      </c>
      <c r="F1183" s="2">
        <v>5.8917197452229297</v>
      </c>
      <c r="G1183" s="3">
        <f t="shared" si="93"/>
        <v>27.263025013466741</v>
      </c>
      <c r="H1183" s="3">
        <f t="shared" si="94"/>
        <v>6.255681542870601</v>
      </c>
      <c r="I1183" s="3">
        <f t="shared" si="90"/>
        <v>1251.1363085741202</v>
      </c>
      <c r="J1183" s="5">
        <f t="shared" si="92"/>
        <v>9.4109264290640589</v>
      </c>
      <c r="K1183" s="5">
        <f t="shared" si="91"/>
        <v>1882.1852858128118</v>
      </c>
      <c r="L1183">
        <v>5</v>
      </c>
    </row>
    <row r="1184" spans="1:12" x14ac:dyDescent="0.3">
      <c r="A1184" t="s">
        <v>164</v>
      </c>
      <c r="B1184" t="s">
        <v>42</v>
      </c>
      <c r="C1184" s="5">
        <v>0.40238543599999999</v>
      </c>
      <c r="D1184" s="5">
        <v>0.40883333300000002</v>
      </c>
      <c r="E1184">
        <v>16</v>
      </c>
      <c r="F1184" s="2">
        <v>17.834394904458598</v>
      </c>
      <c r="G1184" s="3">
        <f t="shared" si="93"/>
        <v>249.80817075889462</v>
      </c>
      <c r="H1184" s="3">
        <f t="shared" si="94"/>
        <v>116.56326648892382</v>
      </c>
      <c r="I1184" s="3">
        <f t="shared" si="90"/>
        <v>23312.653297784764</v>
      </c>
      <c r="J1184" s="5">
        <f t="shared" si="92"/>
        <v>26.79737593005801</v>
      </c>
      <c r="K1184" s="5">
        <f t="shared" si="91"/>
        <v>5359.4751860116021</v>
      </c>
      <c r="L1184">
        <v>5</v>
      </c>
    </row>
    <row r="1185" spans="1:12" x14ac:dyDescent="0.3">
      <c r="A1185" t="s">
        <v>164</v>
      </c>
      <c r="B1185" t="s">
        <v>44</v>
      </c>
      <c r="C1185" s="5">
        <v>0.57917600000000002</v>
      </c>
      <c r="D1185" s="5">
        <v>0.60285714300000004</v>
      </c>
      <c r="E1185">
        <v>6</v>
      </c>
      <c r="F1185" s="2">
        <v>25.318471337579616</v>
      </c>
      <c r="G1185" s="3">
        <f t="shared" si="93"/>
        <v>503.45985052260966</v>
      </c>
      <c r="H1185" s="3">
        <f t="shared" si="94"/>
        <v>129.56566006841905</v>
      </c>
      <c r="I1185" s="3">
        <f t="shared" si="90"/>
        <v>25913.132013683811</v>
      </c>
      <c r="J1185" s="5">
        <f t="shared" si="92"/>
        <v>22.447224808308654</v>
      </c>
      <c r="K1185" s="5">
        <f t="shared" si="91"/>
        <v>4489.4449616617303</v>
      </c>
      <c r="L1185">
        <v>5</v>
      </c>
    </row>
    <row r="1186" spans="1:12" x14ac:dyDescent="0.3">
      <c r="A1186" t="s">
        <v>164</v>
      </c>
      <c r="B1186" t="s">
        <v>162</v>
      </c>
      <c r="C1186" s="5">
        <v>0.52607139999999997</v>
      </c>
      <c r="D1186" s="5">
        <v>0.52607142900000003</v>
      </c>
      <c r="E1186">
        <v>5</v>
      </c>
      <c r="F1186" s="8">
        <v>9.872611464968152</v>
      </c>
      <c r="G1186" s="3">
        <f t="shared" si="93"/>
        <v>76.55154722554137</v>
      </c>
      <c r="H1186" s="3">
        <f t="shared" si="94"/>
        <v>15.103610749548945</v>
      </c>
      <c r="I1186" s="3">
        <f t="shared" si="90"/>
        <v>3020.7221499097891</v>
      </c>
      <c r="J1186" s="5">
        <f t="shared" si="92"/>
        <v>10.691397999918861</v>
      </c>
      <c r="K1186" s="5">
        <f t="shared" si="91"/>
        <v>2138.2795999837722</v>
      </c>
      <c r="L1186">
        <v>5</v>
      </c>
    </row>
    <row r="1187" spans="1:12" x14ac:dyDescent="0.3">
      <c r="A1187" t="s">
        <v>165</v>
      </c>
      <c r="B1187" t="s">
        <v>55</v>
      </c>
      <c r="C1187" s="5">
        <v>0.41</v>
      </c>
      <c r="D1187" s="5">
        <v>0.33983503399999998</v>
      </c>
      <c r="E1187">
        <v>8</v>
      </c>
      <c r="F1187" s="2">
        <v>7.7070063694267512</v>
      </c>
      <c r="G1187" s="3">
        <f t="shared" si="93"/>
        <v>46.651038623481838</v>
      </c>
      <c r="H1187" s="3">
        <f t="shared" si="94"/>
        <v>9.6194341517253044</v>
      </c>
      <c r="I1187" s="3">
        <f t="shared" si="90"/>
        <v>1923.8868303450611</v>
      </c>
      <c r="J1187" s="5">
        <f t="shared" si="92"/>
        <v>10.648842520994766</v>
      </c>
      <c r="K1187" s="5">
        <f t="shared" si="91"/>
        <v>2129.768504198953</v>
      </c>
      <c r="L1187">
        <v>5</v>
      </c>
    </row>
    <row r="1188" spans="1:12" x14ac:dyDescent="0.3">
      <c r="A1188" t="s">
        <v>165</v>
      </c>
      <c r="B1188" t="s">
        <v>55</v>
      </c>
      <c r="C1188" s="5">
        <v>0.41</v>
      </c>
      <c r="D1188" s="5">
        <v>0.33983503399999998</v>
      </c>
      <c r="E1188">
        <v>7</v>
      </c>
      <c r="F1188" s="2">
        <v>4.7770700636942669</v>
      </c>
      <c r="G1188" s="3">
        <f t="shared" si="93"/>
        <v>17.923098986208956</v>
      </c>
      <c r="H1188" s="3">
        <f t="shared" si="94"/>
        <v>3.3194943143656173</v>
      </c>
      <c r="I1188" s="3">
        <f t="shared" si="90"/>
        <v>663.89886287312345</v>
      </c>
      <c r="J1188" s="5">
        <f t="shared" si="92"/>
        <v>9.5447997606393766</v>
      </c>
      <c r="K1188" s="5">
        <f t="shared" si="91"/>
        <v>1908.9599521278753</v>
      </c>
      <c r="L1188">
        <v>5</v>
      </c>
    </row>
    <row r="1189" spans="1:12" x14ac:dyDescent="0.3">
      <c r="A1189" t="s">
        <v>165</v>
      </c>
      <c r="B1189" t="s">
        <v>55</v>
      </c>
      <c r="C1189" s="5">
        <v>0.41</v>
      </c>
      <c r="D1189" s="5">
        <v>0.33983503399999998</v>
      </c>
      <c r="E1189">
        <v>7</v>
      </c>
      <c r="F1189" s="2">
        <v>7.3248407643312099</v>
      </c>
      <c r="G1189" s="3">
        <f t="shared" si="93"/>
        <v>42.139197172020175</v>
      </c>
      <c r="H1189" s="3">
        <f t="shared" si="94"/>
        <v>7.6460041138943016</v>
      </c>
      <c r="I1189" s="3">
        <f t="shared" si="90"/>
        <v>1529.2008227788604</v>
      </c>
      <c r="J1189" s="5">
        <f t="shared" si="92"/>
        <v>10.300205659458801</v>
      </c>
      <c r="K1189" s="5">
        <f t="shared" si="91"/>
        <v>2060.0411318917604</v>
      </c>
      <c r="L1189">
        <v>5</v>
      </c>
    </row>
    <row r="1190" spans="1:12" x14ac:dyDescent="0.3">
      <c r="A1190" t="s">
        <v>165</v>
      </c>
      <c r="B1190" t="s">
        <v>55</v>
      </c>
      <c r="C1190" s="5">
        <v>0.41</v>
      </c>
      <c r="D1190" s="5">
        <v>0.33983503399999998</v>
      </c>
      <c r="E1190">
        <v>7</v>
      </c>
      <c r="F1190" s="2">
        <v>5.8917197452229297</v>
      </c>
      <c r="G1190" s="3">
        <f t="shared" si="93"/>
        <v>27.263025013466741</v>
      </c>
      <c r="H1190" s="3">
        <f t="shared" si="94"/>
        <v>4.9987452595641058</v>
      </c>
      <c r="I1190" s="3">
        <f t="shared" si="90"/>
        <v>999.74905191282119</v>
      </c>
      <c r="J1190" s="5">
        <f t="shared" si="92"/>
        <v>9.8361528581281181</v>
      </c>
      <c r="K1190" s="5">
        <f t="shared" si="91"/>
        <v>1967.2305716256237</v>
      </c>
      <c r="L1190">
        <v>5</v>
      </c>
    </row>
    <row r="1191" spans="1:12" x14ac:dyDescent="0.3">
      <c r="A1191" t="s">
        <v>165</v>
      </c>
      <c r="B1191" t="s">
        <v>55</v>
      </c>
      <c r="C1191" s="5">
        <v>0.41</v>
      </c>
      <c r="D1191" s="5">
        <v>0.33983503399999998</v>
      </c>
      <c r="E1191">
        <v>5</v>
      </c>
      <c r="F1191" s="2">
        <v>2.5477707006369426</v>
      </c>
      <c r="G1191" s="3">
        <f t="shared" si="93"/>
        <v>5.098125933854992</v>
      </c>
      <c r="H1191" s="3">
        <f t="shared" si="94"/>
        <v>0.70073285928977369</v>
      </c>
      <c r="I1191" s="3">
        <f t="shared" si="90"/>
        <v>140.14657185795474</v>
      </c>
      <c r="J1191" s="5">
        <f t="shared" si="92"/>
        <v>9.0992948720029201</v>
      </c>
      <c r="K1191" s="5">
        <f t="shared" si="91"/>
        <v>1819.858974400584</v>
      </c>
      <c r="L1191">
        <v>5</v>
      </c>
    </row>
    <row r="1192" spans="1:12" x14ac:dyDescent="0.3">
      <c r="A1192" t="s">
        <v>165</v>
      </c>
      <c r="B1192" t="s">
        <v>55</v>
      </c>
      <c r="C1192" s="5">
        <v>0.41</v>
      </c>
      <c r="D1192" s="5">
        <v>0.33983503399999998</v>
      </c>
      <c r="E1192">
        <v>5</v>
      </c>
      <c r="F1192" s="2">
        <v>2.2292993630573248</v>
      </c>
      <c r="G1192" s="3">
        <f t="shared" si="93"/>
        <v>3.9032526681077284</v>
      </c>
      <c r="H1192" s="3">
        <f t="shared" si="94"/>
        <v>0.53994833055423386</v>
      </c>
      <c r="I1192" s="3">
        <f t="shared" si="90"/>
        <v>107.98966611084677</v>
      </c>
      <c r="J1192" s="5">
        <f t="shared" si="92"/>
        <v>9.0726710738772365</v>
      </c>
      <c r="K1192" s="5">
        <f t="shared" si="91"/>
        <v>1814.5342147754473</v>
      </c>
      <c r="L1192">
        <v>5</v>
      </c>
    </row>
    <row r="1193" spans="1:12" x14ac:dyDescent="0.3">
      <c r="A1193" t="s">
        <v>165</v>
      </c>
      <c r="B1193" t="s">
        <v>55</v>
      </c>
      <c r="C1193" s="5">
        <v>0.41</v>
      </c>
      <c r="D1193" s="5">
        <v>0.33983503399999998</v>
      </c>
      <c r="E1193" s="1">
        <v>4.5</v>
      </c>
      <c r="F1193" s="2">
        <v>2.2292993630573248</v>
      </c>
      <c r="G1193" s="3">
        <f t="shared" si="93"/>
        <v>3.9032526681077284</v>
      </c>
      <c r="H1193" s="3">
        <f t="shared" si="94"/>
        <v>0.48718385988858659</v>
      </c>
      <c r="I1193" s="3">
        <f t="shared" si="90"/>
        <v>97.436771977717314</v>
      </c>
      <c r="J1193" s="5">
        <f t="shared" si="92"/>
        <v>9.0639739664895131</v>
      </c>
      <c r="K1193" s="5">
        <f t="shared" si="91"/>
        <v>1812.7947932979027</v>
      </c>
      <c r="L1193">
        <v>5</v>
      </c>
    </row>
    <row r="1194" spans="1:12" x14ac:dyDescent="0.3">
      <c r="A1194" t="s">
        <v>165</v>
      </c>
      <c r="B1194" t="s">
        <v>55</v>
      </c>
      <c r="C1194" s="5">
        <v>0.41</v>
      </c>
      <c r="D1194" s="5">
        <v>0.33983503399999998</v>
      </c>
      <c r="E1194">
        <v>4</v>
      </c>
      <c r="F1194" s="2">
        <v>2.7070063694267517</v>
      </c>
      <c r="G1194" s="3">
        <f t="shared" si="93"/>
        <v>5.7553062300159885</v>
      </c>
      <c r="H1194" s="3">
        <f t="shared" si="94"/>
        <v>0.63439886734763773</v>
      </c>
      <c r="I1194" s="3">
        <f t="shared" si="90"/>
        <v>126.87977346952755</v>
      </c>
      <c r="J1194" s="5">
        <f t="shared" si="92"/>
        <v>9.0882903687776384</v>
      </c>
      <c r="K1194" s="5">
        <f t="shared" si="91"/>
        <v>1817.6580737555275</v>
      </c>
      <c r="L1194">
        <v>5</v>
      </c>
    </row>
    <row r="1195" spans="1:12" x14ac:dyDescent="0.3">
      <c r="A1195" t="s">
        <v>165</v>
      </c>
      <c r="B1195" t="s">
        <v>166</v>
      </c>
      <c r="C1195" s="5">
        <v>0.6671667</v>
      </c>
      <c r="D1195" s="5">
        <v>0.66716666700000005</v>
      </c>
      <c r="E1195" s="1">
        <v>3.5</v>
      </c>
      <c r="F1195" s="2">
        <v>2.2611464968152863</v>
      </c>
      <c r="G1195" s="3">
        <f t="shared" si="93"/>
        <v>4.0155707550879711</v>
      </c>
      <c r="H1195" s="3">
        <f t="shared" si="94"/>
        <v>0.75705566735439278</v>
      </c>
      <c r="I1195" s="3">
        <f t="shared" si="90"/>
        <v>151.41113347087855</v>
      </c>
      <c r="J1195" s="5">
        <f t="shared" si="92"/>
        <v>9.0483315976307352</v>
      </c>
      <c r="K1195" s="5">
        <f t="shared" si="91"/>
        <v>1809.6663195261469</v>
      </c>
      <c r="L1195">
        <v>5</v>
      </c>
    </row>
    <row r="1196" spans="1:12" x14ac:dyDescent="0.3">
      <c r="A1196" t="s">
        <v>165</v>
      </c>
      <c r="B1196" t="s">
        <v>136</v>
      </c>
      <c r="C1196" s="5">
        <v>0.83069230800000005</v>
      </c>
      <c r="D1196" s="5">
        <v>0.78683697699999999</v>
      </c>
      <c r="E1196">
        <v>6</v>
      </c>
      <c r="F1196" s="2">
        <v>8.2802547770700627</v>
      </c>
      <c r="G1196" s="3">
        <f t="shared" si="93"/>
        <v>53.848955176343352</v>
      </c>
      <c r="H1196" s="3">
        <f t="shared" si="94"/>
        <v>18.962496502996935</v>
      </c>
      <c r="I1196" s="3">
        <f t="shared" si="90"/>
        <v>3792.499300599387</v>
      </c>
      <c r="J1196" s="5">
        <f t="shared" si="92"/>
        <v>10.425515002637024</v>
      </c>
      <c r="K1196" s="5">
        <f t="shared" si="91"/>
        <v>2085.1030005274047</v>
      </c>
      <c r="L1196">
        <v>5</v>
      </c>
    </row>
    <row r="1197" spans="1:12" x14ac:dyDescent="0.3">
      <c r="A1197" t="s">
        <v>165</v>
      </c>
      <c r="B1197" t="s">
        <v>51</v>
      </c>
      <c r="C1197" s="5">
        <v>0.39984676499999999</v>
      </c>
      <c r="D1197" s="5">
        <v>0.450333333</v>
      </c>
      <c r="E1197">
        <v>7</v>
      </c>
      <c r="F1197" s="2">
        <v>9.872611464968152</v>
      </c>
      <c r="G1197" s="3">
        <f t="shared" si="93"/>
        <v>76.55154722554137</v>
      </c>
      <c r="H1197" s="3">
        <f t="shared" si="94"/>
        <v>18.022348371233353</v>
      </c>
      <c r="I1197" s="3">
        <f t="shared" si="90"/>
        <v>3604.4696742466704</v>
      </c>
      <c r="J1197" s="5">
        <f t="shared" si="92"/>
        <v>11.373677199886405</v>
      </c>
      <c r="K1197" s="5">
        <f t="shared" si="91"/>
        <v>2274.7354399772807</v>
      </c>
      <c r="L1197">
        <v>5</v>
      </c>
    </row>
    <row r="1198" spans="1:12" x14ac:dyDescent="0.3">
      <c r="A1198" t="s">
        <v>165</v>
      </c>
      <c r="B1198" t="s">
        <v>152</v>
      </c>
      <c r="C1198" s="5">
        <v>0.63</v>
      </c>
      <c r="D1198" s="5">
        <v>0.629222222</v>
      </c>
      <c r="E1198" s="1">
        <v>4.5</v>
      </c>
      <c r="F1198" s="2">
        <v>2.6751592356687897</v>
      </c>
      <c r="G1198" s="3">
        <f t="shared" si="93"/>
        <v>5.6206838420751293</v>
      </c>
      <c r="H1198" s="3">
        <f t="shared" si="94"/>
        <v>1.2687315092498181</v>
      </c>
      <c r="I1198" s="3">
        <f t="shared" si="90"/>
        <v>253.74630184996363</v>
      </c>
      <c r="J1198" s="5">
        <f t="shared" si="92"/>
        <v>9.0984145117448971</v>
      </c>
      <c r="K1198" s="5">
        <f t="shared" si="91"/>
        <v>1819.6829023489795</v>
      </c>
      <c r="L1198">
        <v>5</v>
      </c>
    </row>
    <row r="1199" spans="1:12" x14ac:dyDescent="0.3">
      <c r="A1199" t="s">
        <v>165</v>
      </c>
      <c r="B1199" t="s">
        <v>152</v>
      </c>
      <c r="C1199" s="5">
        <v>0.63</v>
      </c>
      <c r="D1199" s="5">
        <v>0.629222222</v>
      </c>
      <c r="E1199" s="1">
        <v>4.5</v>
      </c>
      <c r="F1199" s="2">
        <v>1.910828025477707</v>
      </c>
      <c r="G1199" s="3">
        <f t="shared" si="93"/>
        <v>2.8676958377934336</v>
      </c>
      <c r="H1199" s="3">
        <f t="shared" si="94"/>
        <v>0.65785139529945458</v>
      </c>
      <c r="I1199" s="3">
        <f t="shared" si="90"/>
        <v>131.57027905989091</v>
      </c>
      <c r="J1199" s="5">
        <f t="shared" si="92"/>
        <v>9.0432074039514792</v>
      </c>
      <c r="K1199" s="5">
        <f t="shared" si="91"/>
        <v>1808.6414807902959</v>
      </c>
      <c r="L1199">
        <v>5</v>
      </c>
    </row>
    <row r="1200" spans="1:12" x14ac:dyDescent="0.3">
      <c r="A1200" t="s">
        <v>165</v>
      </c>
      <c r="B1200" t="s">
        <v>152</v>
      </c>
      <c r="C1200" s="5">
        <v>0.63</v>
      </c>
      <c r="D1200" s="5">
        <v>0.629222222</v>
      </c>
      <c r="E1200">
        <v>3</v>
      </c>
      <c r="F1200" s="2">
        <v>1.910828025477707</v>
      </c>
      <c r="G1200" s="3">
        <f t="shared" si="93"/>
        <v>2.8676958377934336</v>
      </c>
      <c r="H1200" s="3">
        <f t="shared" si="94"/>
        <v>0.44285620217532223</v>
      </c>
      <c r="I1200" s="3">
        <f t="shared" si="90"/>
        <v>88.571240435064439</v>
      </c>
      <c r="J1200" s="5">
        <f t="shared" si="92"/>
        <v>9.024038269300986</v>
      </c>
      <c r="K1200" s="5">
        <f t="shared" si="91"/>
        <v>1804.807653860197</v>
      </c>
      <c r="L1200">
        <v>5</v>
      </c>
    </row>
    <row r="1201" spans="1:12" x14ac:dyDescent="0.3">
      <c r="A1201" t="s">
        <v>165</v>
      </c>
      <c r="B1201" t="s">
        <v>152</v>
      </c>
      <c r="C1201" s="5">
        <v>0.63</v>
      </c>
      <c r="D1201" s="5">
        <v>0.629222222</v>
      </c>
      <c r="E1201" s="1">
        <v>2.2000000000000002</v>
      </c>
      <c r="F1201" s="2">
        <v>1.2738853503184713</v>
      </c>
      <c r="G1201" s="3">
        <f t="shared" si="93"/>
        <v>1.274531483463748</v>
      </c>
      <c r="H1201" s="3">
        <f t="shared" si="94"/>
        <v>0.14827460833491515</v>
      </c>
      <c r="I1201" s="3">
        <f t="shared" si="90"/>
        <v>29.654921666983029</v>
      </c>
      <c r="J1201" s="5">
        <f t="shared" si="92"/>
        <v>8.9981954359203211</v>
      </c>
      <c r="K1201" s="5">
        <f t="shared" si="91"/>
        <v>1799.6390871840642</v>
      </c>
      <c r="L1201">
        <v>5</v>
      </c>
    </row>
    <row r="1202" spans="1:12" x14ac:dyDescent="0.3">
      <c r="A1202" t="s">
        <v>165</v>
      </c>
      <c r="B1202" t="s">
        <v>167</v>
      </c>
      <c r="C1202" s="5">
        <v>0.62922219999999995</v>
      </c>
      <c r="D1202" s="5">
        <v>0.629222222</v>
      </c>
      <c r="E1202" s="1">
        <v>1.6</v>
      </c>
      <c r="F1202" s="2">
        <v>1.2738853503184713</v>
      </c>
      <c r="G1202" s="3">
        <f t="shared" si="93"/>
        <v>1.274531483463748</v>
      </c>
      <c r="H1202" s="3">
        <f t="shared" si="94"/>
        <v>0.10866341562308156</v>
      </c>
      <c r="I1202" s="3">
        <f t="shared" si="90"/>
        <v>21.732683124616312</v>
      </c>
      <c r="J1202" s="5">
        <f t="shared" si="92"/>
        <v>8.9947875897602341</v>
      </c>
      <c r="K1202" s="5">
        <f t="shared" si="91"/>
        <v>1798.9575179520466</v>
      </c>
      <c r="L1202">
        <v>5</v>
      </c>
    </row>
    <row r="1203" spans="1:12" x14ac:dyDescent="0.3">
      <c r="A1203" t="s">
        <v>165</v>
      </c>
      <c r="B1203" t="s">
        <v>167</v>
      </c>
      <c r="C1203" s="5">
        <v>0.62922219999999995</v>
      </c>
      <c r="D1203" s="5">
        <v>0.629222222</v>
      </c>
      <c r="E1203" s="1">
        <v>1.5</v>
      </c>
      <c r="F1203" s="2">
        <v>1.592356687898089</v>
      </c>
      <c r="G1203" s="3">
        <f t="shared" si="93"/>
        <v>1.9914554429121063</v>
      </c>
      <c r="H1203" s="3">
        <f t="shared" si="94"/>
        <v>0.15772323032758095</v>
      </c>
      <c r="I1203" s="3">
        <f t="shared" si="90"/>
        <v>31.54464606551619</v>
      </c>
      <c r="J1203" s="5">
        <f t="shared" si="92"/>
        <v>8.9990118990628414</v>
      </c>
      <c r="K1203" s="5">
        <f t="shared" si="91"/>
        <v>1799.8023798125682</v>
      </c>
      <c r="L1203">
        <v>5</v>
      </c>
    </row>
    <row r="1204" spans="1:12" x14ac:dyDescent="0.3">
      <c r="A1204" t="s">
        <v>165</v>
      </c>
      <c r="B1204" t="s">
        <v>130</v>
      </c>
      <c r="C1204" s="5">
        <v>0.84088890000000005</v>
      </c>
      <c r="D1204" s="5">
        <v>0.84088888900000003</v>
      </c>
      <c r="E1204">
        <v>10</v>
      </c>
      <c r="F1204" s="2">
        <v>10.764331210191081</v>
      </c>
      <c r="G1204" s="3">
        <f t="shared" si="93"/>
        <v>91.004734248020256</v>
      </c>
      <c r="H1204" s="3">
        <f t="shared" si="94"/>
        <v>55.590256432596128</v>
      </c>
      <c r="I1204" s="3">
        <f t="shared" si="90"/>
        <v>11118.051286519225</v>
      </c>
      <c r="J1204" s="5">
        <f t="shared" si="92"/>
        <v>13.041178924094282</v>
      </c>
      <c r="K1204" s="5">
        <f t="shared" si="91"/>
        <v>2608.2357848188562</v>
      </c>
      <c r="L1204">
        <v>5</v>
      </c>
    </row>
    <row r="1205" spans="1:12" x14ac:dyDescent="0.3">
      <c r="A1205" t="s">
        <v>165</v>
      </c>
      <c r="B1205" t="s">
        <v>130</v>
      </c>
      <c r="C1205" s="5">
        <v>0.84088890000000005</v>
      </c>
      <c r="D1205" s="5">
        <v>0.84088888900000003</v>
      </c>
      <c r="E1205">
        <v>10</v>
      </c>
      <c r="F1205" s="2">
        <v>16.560509554140125</v>
      </c>
      <c r="G1205" s="3">
        <f t="shared" si="93"/>
        <v>215.39582070537341</v>
      </c>
      <c r="H1205" s="3">
        <f t="shared" si="94"/>
        <v>128.88186300288953</v>
      </c>
      <c r="I1205" s="3">
        <f t="shared" si="90"/>
        <v>25776.372600577906</v>
      </c>
      <c r="J1205" s="5">
        <f t="shared" si="92"/>
        <v>18.584466684246824</v>
      </c>
      <c r="K1205" s="5">
        <f t="shared" si="91"/>
        <v>3716.8933368493649</v>
      </c>
      <c r="L1205">
        <v>5</v>
      </c>
    </row>
    <row r="1206" spans="1:12" x14ac:dyDescent="0.3">
      <c r="A1206" t="s">
        <v>165</v>
      </c>
      <c r="B1206" t="s">
        <v>158</v>
      </c>
      <c r="C1206" s="5">
        <v>0.65</v>
      </c>
      <c r="D1206" s="5">
        <v>0.65</v>
      </c>
      <c r="E1206">
        <v>10</v>
      </c>
      <c r="F1206" s="2">
        <v>6.7515923566878975</v>
      </c>
      <c r="G1206" s="3">
        <f t="shared" si="93"/>
        <v>35.801589370496679</v>
      </c>
      <c r="H1206" s="3">
        <f t="shared" si="94"/>
        <v>17.394799522246508</v>
      </c>
      <c r="I1206" s="3">
        <f t="shared" si="90"/>
        <v>3478.9599044493016</v>
      </c>
      <c r="J1206" s="5">
        <f t="shared" si="92"/>
        <v>10.581139977281024</v>
      </c>
      <c r="K1206" s="5">
        <f t="shared" si="91"/>
        <v>2116.2279954562046</v>
      </c>
      <c r="L1206">
        <v>5</v>
      </c>
    </row>
    <row r="1207" spans="1:12" x14ac:dyDescent="0.3">
      <c r="A1207" t="s">
        <v>165</v>
      </c>
      <c r="B1207" t="s">
        <v>158</v>
      </c>
      <c r="C1207" s="5">
        <v>0.65</v>
      </c>
      <c r="D1207" s="5">
        <v>0.65</v>
      </c>
      <c r="E1207">
        <v>9</v>
      </c>
      <c r="F1207" s="2">
        <v>6.114649681528662</v>
      </c>
      <c r="G1207" s="3">
        <f t="shared" si="93"/>
        <v>29.365205379004752</v>
      </c>
      <c r="H1207" s="3">
        <f t="shared" si="94"/>
        <v>12.934704602045969</v>
      </c>
      <c r="I1207" s="3">
        <f t="shared" si="90"/>
        <v>2586.940920409194</v>
      </c>
      <c r="J1207" s="5">
        <f t="shared" si="92"/>
        <v>10.163451632926284</v>
      </c>
      <c r="K1207" s="5">
        <f t="shared" si="91"/>
        <v>2032.6903265852568</v>
      </c>
      <c r="L1207">
        <v>5</v>
      </c>
    </row>
    <row r="1208" spans="1:12" x14ac:dyDescent="0.3">
      <c r="A1208" t="s">
        <v>165</v>
      </c>
      <c r="B1208" t="s">
        <v>158</v>
      </c>
      <c r="C1208" s="5">
        <v>0.65</v>
      </c>
      <c r="D1208" s="5">
        <v>0.65</v>
      </c>
      <c r="E1208">
        <v>8</v>
      </c>
      <c r="F1208" s="2">
        <v>10.254777070063694</v>
      </c>
      <c r="G1208" s="3">
        <f t="shared" si="93"/>
        <v>82.592826457159546</v>
      </c>
      <c r="H1208" s="3">
        <f t="shared" si="94"/>
        <v>31.634597718520414</v>
      </c>
      <c r="I1208" s="3">
        <f t="shared" si="90"/>
        <v>6326.9195437040826</v>
      </c>
      <c r="J1208" s="5">
        <f t="shared" si="92"/>
        <v>11.930192677187716</v>
      </c>
      <c r="K1208" s="5">
        <f t="shared" si="91"/>
        <v>2386.038535437543</v>
      </c>
      <c r="L1208">
        <v>5</v>
      </c>
    </row>
    <row r="1209" spans="1:12" x14ac:dyDescent="0.3">
      <c r="A1209" t="s">
        <v>165</v>
      </c>
      <c r="B1209" t="s">
        <v>158</v>
      </c>
      <c r="C1209" s="5">
        <v>0.65</v>
      </c>
      <c r="D1209" s="5">
        <v>0.65</v>
      </c>
      <c r="E1209">
        <v>8</v>
      </c>
      <c r="F1209" s="2">
        <v>14.840764331210192</v>
      </c>
      <c r="G1209" s="3">
        <f t="shared" si="93"/>
        <v>172.98259926440858</v>
      </c>
      <c r="H1209" s="3">
        <f t="shared" si="94"/>
        <v>65.090403526852967</v>
      </c>
      <c r="I1209" s="3">
        <f t="shared" si="90"/>
        <v>13018.080705370594</v>
      </c>
      <c r="J1209" s="5">
        <f t="shared" si="92"/>
        <v>15.15265200616658</v>
      </c>
      <c r="K1209" s="5">
        <f t="shared" si="91"/>
        <v>3030.5304012333158</v>
      </c>
      <c r="L1209">
        <v>5</v>
      </c>
    </row>
    <row r="1210" spans="1:12" x14ac:dyDescent="0.3">
      <c r="A1210" t="s">
        <v>165</v>
      </c>
      <c r="B1210" t="s">
        <v>158</v>
      </c>
      <c r="C1210" s="5">
        <v>0.65</v>
      </c>
      <c r="D1210" s="5">
        <v>0.65</v>
      </c>
      <c r="E1210" s="1">
        <v>7.5</v>
      </c>
      <c r="F1210" s="2">
        <v>20.700636942675157</v>
      </c>
      <c r="G1210" s="3">
        <f t="shared" si="93"/>
        <v>336.55596985214595</v>
      </c>
      <c r="H1210" s="3">
        <f t="shared" si="94"/>
        <v>117.02495761560679</v>
      </c>
      <c r="I1210" s="3">
        <f t="shared" si="90"/>
        <v>23404.99152312136</v>
      </c>
      <c r="J1210" s="5">
        <f t="shared" si="92"/>
        <v>20.234254708101744</v>
      </c>
      <c r="K1210" s="5">
        <f t="shared" si="91"/>
        <v>4046.8509416203487</v>
      </c>
      <c r="L1210">
        <v>5</v>
      </c>
    </row>
    <row r="1211" spans="1:12" x14ac:dyDescent="0.3">
      <c r="A1211" t="s">
        <v>165</v>
      </c>
      <c r="B1211" t="s">
        <v>158</v>
      </c>
      <c r="C1211" s="5">
        <v>0.65</v>
      </c>
      <c r="D1211" s="5">
        <v>0.65</v>
      </c>
      <c r="E1211">
        <v>7</v>
      </c>
      <c r="F1211" s="2">
        <v>16.082802547770701</v>
      </c>
      <c r="G1211" s="3">
        <f t="shared" si="93"/>
        <v>203.14836973146402</v>
      </c>
      <c r="H1211" s="3">
        <f t="shared" si="94"/>
        <v>66.842438387064647</v>
      </c>
      <c r="I1211" s="3">
        <f t="shared" si="90"/>
        <v>13368.487677412928</v>
      </c>
      <c r="J1211" s="5">
        <f t="shared" si="92"/>
        <v>15.322785175869203</v>
      </c>
      <c r="K1211" s="5">
        <f t="shared" si="91"/>
        <v>3064.5570351738406</v>
      </c>
      <c r="L1211">
        <v>5</v>
      </c>
    </row>
    <row r="1212" spans="1:12" x14ac:dyDescent="0.3">
      <c r="A1212" t="s">
        <v>165</v>
      </c>
      <c r="B1212" t="s">
        <v>158</v>
      </c>
      <c r="C1212" s="5">
        <v>0.65</v>
      </c>
      <c r="D1212" s="5">
        <v>0.65</v>
      </c>
      <c r="E1212">
        <v>7</v>
      </c>
      <c r="F1212" s="2">
        <v>5.2547770700636942</v>
      </c>
      <c r="G1212" s="3">
        <f t="shared" si="93"/>
        <v>21.68694977331284</v>
      </c>
      <c r="H1212" s="3">
        <f t="shared" si="94"/>
        <v>7.529327249508075</v>
      </c>
      <c r="I1212" s="3">
        <f t="shared" si="90"/>
        <v>1505.865449901615</v>
      </c>
      <c r="J1212" s="5">
        <f t="shared" si="92"/>
        <v>9.6622107103736461</v>
      </c>
      <c r="K1212" s="5">
        <f t="shared" si="91"/>
        <v>1932.442142074729</v>
      </c>
      <c r="L1212">
        <v>5</v>
      </c>
    </row>
    <row r="1213" spans="1:12" x14ac:dyDescent="0.3">
      <c r="A1213" t="s">
        <v>165</v>
      </c>
      <c r="B1213" t="s">
        <v>158</v>
      </c>
      <c r="C1213" s="5">
        <v>0.65</v>
      </c>
      <c r="D1213" s="5">
        <v>0.65</v>
      </c>
      <c r="E1213">
        <v>7</v>
      </c>
      <c r="F1213" s="2">
        <v>7.0063694267515917</v>
      </c>
      <c r="G1213" s="3">
        <f t="shared" si="93"/>
        <v>38.554577374778376</v>
      </c>
      <c r="H1213" s="3">
        <f t="shared" si="94"/>
        <v>13.201904514041781</v>
      </c>
      <c r="I1213" s="3">
        <f t="shared" si="90"/>
        <v>2640.380902808356</v>
      </c>
      <c r="J1213" s="5">
        <f t="shared" si="92"/>
        <v>10.188385707330925</v>
      </c>
      <c r="K1213" s="5">
        <f t="shared" si="91"/>
        <v>2037.6771414661848</v>
      </c>
      <c r="L1213">
        <v>5</v>
      </c>
    </row>
    <row r="1214" spans="1:12" x14ac:dyDescent="0.3">
      <c r="A1214" t="s">
        <v>165</v>
      </c>
      <c r="B1214" t="s">
        <v>158</v>
      </c>
      <c r="C1214" s="5">
        <v>0.65</v>
      </c>
      <c r="D1214" s="5">
        <v>0.65</v>
      </c>
      <c r="E1214">
        <v>7</v>
      </c>
      <c r="F1214" s="2">
        <v>11.783439490445859</v>
      </c>
      <c r="G1214" s="3">
        <f t="shared" si="93"/>
        <v>109.05210005386697</v>
      </c>
      <c r="H1214" s="3">
        <f t="shared" si="94"/>
        <v>36.421454016606162</v>
      </c>
      <c r="I1214" s="3">
        <f t="shared" si="90"/>
        <v>7284.2908033212325</v>
      </c>
      <c r="J1214" s="5">
        <f t="shared" si="92"/>
        <v>12.387511432512476</v>
      </c>
      <c r="K1214" s="5">
        <f t="shared" si="91"/>
        <v>2477.5022865024953</v>
      </c>
      <c r="L1214">
        <v>5</v>
      </c>
    </row>
    <row r="1215" spans="1:12" x14ac:dyDescent="0.3">
      <c r="A1215" t="s">
        <v>165</v>
      </c>
      <c r="B1215" t="s">
        <v>158</v>
      </c>
      <c r="C1215" s="5">
        <v>0.65</v>
      </c>
      <c r="D1215" s="5">
        <v>0.65</v>
      </c>
      <c r="E1215" s="1">
        <v>5.5</v>
      </c>
      <c r="F1215" s="2">
        <v>3.1847133757961781</v>
      </c>
      <c r="G1215" s="3">
        <f t="shared" si="93"/>
        <v>7.9658217716484252</v>
      </c>
      <c r="H1215" s="3">
        <f t="shared" si="94"/>
        <v>2.2387510998409428</v>
      </c>
      <c r="I1215" s="3">
        <f t="shared" si="90"/>
        <v>447.75021996818862</v>
      </c>
      <c r="J1215" s="5">
        <f t="shared" si="92"/>
        <v>9.1809411862550192</v>
      </c>
      <c r="K1215" s="5">
        <f t="shared" si="91"/>
        <v>1836.1882372510038</v>
      </c>
      <c r="L1215">
        <v>5</v>
      </c>
    </row>
    <row r="1216" spans="1:12" x14ac:dyDescent="0.3">
      <c r="A1216" t="s">
        <v>165</v>
      </c>
      <c r="B1216" t="s">
        <v>158</v>
      </c>
      <c r="C1216" s="5">
        <v>0.65</v>
      </c>
      <c r="D1216" s="5">
        <v>0.65</v>
      </c>
      <c r="E1216">
        <v>5</v>
      </c>
      <c r="F1216" s="2">
        <v>4.2993630573248405</v>
      </c>
      <c r="G1216" s="3">
        <f t="shared" si="93"/>
        <v>14.517710178829255</v>
      </c>
      <c r="H1216" s="3">
        <f t="shared" si="94"/>
        <v>3.6645281957150972</v>
      </c>
      <c r="I1216" s="3">
        <f t="shared" si="90"/>
        <v>732.90563914301947</v>
      </c>
      <c r="J1216" s="5">
        <f t="shared" si="92"/>
        <v>9.3091791472270682</v>
      </c>
      <c r="K1216" s="5">
        <f t="shared" si="91"/>
        <v>1861.8358294454138</v>
      </c>
      <c r="L1216">
        <v>5</v>
      </c>
    </row>
    <row r="1217" spans="1:12" x14ac:dyDescent="0.3">
      <c r="A1217" t="s">
        <v>165</v>
      </c>
      <c r="B1217" t="s">
        <v>158</v>
      </c>
      <c r="C1217" s="5">
        <v>0.65</v>
      </c>
      <c r="D1217" s="5">
        <v>0.65</v>
      </c>
      <c r="E1217">
        <v>4</v>
      </c>
      <c r="F1217" s="2">
        <v>2.2292993630573248</v>
      </c>
      <c r="G1217" s="3">
        <f t="shared" si="93"/>
        <v>3.9032526681077284</v>
      </c>
      <c r="H1217" s="3">
        <f t="shared" si="94"/>
        <v>0.81781251618026507</v>
      </c>
      <c r="I1217" s="3">
        <f t="shared" si="90"/>
        <v>163.56250323605303</v>
      </c>
      <c r="J1217" s="5">
        <f t="shared" si="92"/>
        <v>9.055276859101788</v>
      </c>
      <c r="K1217" s="5">
        <f t="shared" si="91"/>
        <v>1811.0553718203578</v>
      </c>
      <c r="L1217">
        <v>5</v>
      </c>
    </row>
    <row r="1218" spans="1:12" x14ac:dyDescent="0.3">
      <c r="A1218" t="s">
        <v>165</v>
      </c>
      <c r="B1218" t="s">
        <v>168</v>
      </c>
      <c r="C1218" s="5">
        <v>0.56572270000000002</v>
      </c>
      <c r="D1218" s="5">
        <v>0.61247410899999999</v>
      </c>
      <c r="E1218">
        <v>3</v>
      </c>
      <c r="F1218" s="2">
        <v>1.910828025477707</v>
      </c>
      <c r="G1218" s="3">
        <f t="shared" si="93"/>
        <v>2.8676958377934336</v>
      </c>
      <c r="H1218" s="3">
        <f t="shared" si="94"/>
        <v>0.43134781801443484</v>
      </c>
      <c r="I1218" s="3">
        <f t="shared" ref="I1218:I1281" si="95">(H1218*1000)/L1218</f>
        <v>86.269563602886961</v>
      </c>
      <c r="J1218" s="5">
        <f t="shared" si="92"/>
        <v>9.024038269300986</v>
      </c>
      <c r="K1218" s="5">
        <f t="shared" ref="K1218:K1281" si="96">(J1218*1000)/L1218</f>
        <v>1804.807653860197</v>
      </c>
      <c r="L1218">
        <v>5</v>
      </c>
    </row>
    <row r="1219" spans="1:12" x14ac:dyDescent="0.3">
      <c r="A1219" t="s">
        <v>165</v>
      </c>
      <c r="B1219" t="s">
        <v>17</v>
      </c>
      <c r="C1219" s="5">
        <v>0.43836446099999998</v>
      </c>
      <c r="D1219" s="5">
        <v>0.58666666700000003</v>
      </c>
      <c r="E1219" s="1">
        <v>4.5</v>
      </c>
      <c r="F1219" s="2">
        <v>3.2484076433121016</v>
      </c>
      <c r="G1219" s="3">
        <f t="shared" si="93"/>
        <v>8.2876409712230217</v>
      </c>
      <c r="H1219" s="3">
        <f t="shared" si="94"/>
        <v>1.7309373904084571</v>
      </c>
      <c r="I1219" s="3">
        <f t="shared" si="95"/>
        <v>346.18747808169144</v>
      </c>
      <c r="J1219" s="5">
        <f t="shared" ref="J1219:J1282" si="97">8.9857 + 0.0035 * F1219^2 * E1219</f>
        <v>9.1518963974197725</v>
      </c>
      <c r="K1219" s="5">
        <f t="shared" si="96"/>
        <v>1830.3792794839544</v>
      </c>
      <c r="L1219">
        <v>5</v>
      </c>
    </row>
    <row r="1220" spans="1:12" x14ac:dyDescent="0.3">
      <c r="A1220" t="s">
        <v>165</v>
      </c>
      <c r="B1220" t="s">
        <v>17</v>
      </c>
      <c r="C1220" s="5">
        <v>0.43836446099999998</v>
      </c>
      <c r="D1220" s="5">
        <v>0.58666666700000003</v>
      </c>
      <c r="E1220" s="1">
        <v>4.5</v>
      </c>
      <c r="F1220" s="2">
        <v>2.7070063694267517</v>
      </c>
      <c r="G1220" s="3">
        <f t="shared" ref="G1220:G1283" si="98">PI()*(F1220/2)^2</f>
        <v>5.7553062300159885</v>
      </c>
      <c r="H1220" s="3">
        <f t="shared" ref="H1220:H1283" si="99">0.0673 * ((D1220 * F1220^2 * E1220)^0.976)</f>
        <v>1.2126055930268294</v>
      </c>
      <c r="I1220" s="3">
        <f t="shared" si="95"/>
        <v>242.52111860536587</v>
      </c>
      <c r="J1220" s="5">
        <f t="shared" si="97"/>
        <v>9.1011141648748417</v>
      </c>
      <c r="K1220" s="5">
        <f t="shared" si="96"/>
        <v>1820.2228329749682</v>
      </c>
      <c r="L1220">
        <v>5</v>
      </c>
    </row>
    <row r="1221" spans="1:12" x14ac:dyDescent="0.3">
      <c r="A1221" t="s">
        <v>165</v>
      </c>
      <c r="B1221" t="s">
        <v>17</v>
      </c>
      <c r="C1221" s="5">
        <v>0.43836446099999998</v>
      </c>
      <c r="D1221" s="5">
        <v>0.58666666700000003</v>
      </c>
      <c r="E1221" s="1">
        <v>3.6</v>
      </c>
      <c r="F1221" s="2">
        <v>1.7834394904458597</v>
      </c>
      <c r="G1221" s="3">
        <f t="shared" si="98"/>
        <v>2.4980817075889461</v>
      </c>
      <c r="H1221" s="3">
        <f t="shared" si="99"/>
        <v>0.43188953417432668</v>
      </c>
      <c r="I1221" s="3">
        <f t="shared" si="95"/>
        <v>86.377906834865342</v>
      </c>
      <c r="J1221" s="5">
        <f t="shared" si="97"/>
        <v>9.0257762708426306</v>
      </c>
      <c r="K1221" s="5">
        <f t="shared" si="96"/>
        <v>1805.1552541685262</v>
      </c>
      <c r="L1221">
        <v>5</v>
      </c>
    </row>
    <row r="1222" spans="1:12" x14ac:dyDescent="0.3">
      <c r="A1222" t="s">
        <v>165</v>
      </c>
      <c r="B1222" t="s">
        <v>17</v>
      </c>
      <c r="C1222" s="5">
        <v>0.43836446099999998</v>
      </c>
      <c r="D1222" s="5">
        <v>0.58666666700000003</v>
      </c>
      <c r="E1222" s="1">
        <v>3.4</v>
      </c>
      <c r="F1222" s="2">
        <v>3.4713375796178343</v>
      </c>
      <c r="G1222" s="3">
        <f t="shared" si="98"/>
        <v>9.4641928468954948</v>
      </c>
      <c r="H1222" s="3">
        <f t="shared" si="99"/>
        <v>1.4987816167078667</v>
      </c>
      <c r="I1222" s="3">
        <f t="shared" si="95"/>
        <v>299.75632334157336</v>
      </c>
      <c r="J1222" s="5">
        <f t="shared" si="97"/>
        <v>9.1290971966408367</v>
      </c>
      <c r="K1222" s="5">
        <f t="shared" si="96"/>
        <v>1825.8194393281672</v>
      </c>
      <c r="L1222">
        <v>5</v>
      </c>
    </row>
    <row r="1223" spans="1:12" x14ac:dyDescent="0.3">
      <c r="A1223" t="s">
        <v>169</v>
      </c>
      <c r="B1223" t="s">
        <v>55</v>
      </c>
      <c r="C1223" s="5">
        <v>0.41</v>
      </c>
      <c r="D1223" s="5">
        <v>0.33983503399999998</v>
      </c>
      <c r="E1223">
        <v>8</v>
      </c>
      <c r="F1223" s="5">
        <v>7.6751592356687901</v>
      </c>
      <c r="G1223" s="3">
        <f t="shared" si="98"/>
        <v>46.266289431911233</v>
      </c>
      <c r="H1223" s="3">
        <f t="shared" si="99"/>
        <v>9.5419953108969739</v>
      </c>
      <c r="I1223" s="3">
        <f t="shared" si="95"/>
        <v>1908.3990621793951</v>
      </c>
      <c r="J1223" s="5">
        <f t="shared" si="97"/>
        <v>10.635125940200414</v>
      </c>
      <c r="K1223" s="5">
        <f t="shared" si="96"/>
        <v>2127.0251880400829</v>
      </c>
      <c r="L1223">
        <v>5</v>
      </c>
    </row>
    <row r="1224" spans="1:12" x14ac:dyDescent="0.3">
      <c r="A1224" t="s">
        <v>169</v>
      </c>
      <c r="B1224" t="s">
        <v>108</v>
      </c>
      <c r="C1224" s="5">
        <v>0.6</v>
      </c>
      <c r="D1224" s="5">
        <v>0.51040266700000003</v>
      </c>
      <c r="E1224" s="1">
        <v>7.5</v>
      </c>
      <c r="F1224" s="5">
        <v>23.089171974522291</v>
      </c>
      <c r="G1224" s="3">
        <f t="shared" si="98"/>
        <v>418.70350687227034</v>
      </c>
      <c r="H1224" s="3">
        <f t="shared" si="99"/>
        <v>114.38550599755081</v>
      </c>
      <c r="I1224" s="3">
        <f t="shared" si="95"/>
        <v>22877.101199510162</v>
      </c>
      <c r="J1224" s="5">
        <f t="shared" si="97"/>
        <v>22.979833889812973</v>
      </c>
      <c r="K1224" s="5">
        <f t="shared" si="96"/>
        <v>4595.9667779625943</v>
      </c>
      <c r="L1224">
        <v>5</v>
      </c>
    </row>
    <row r="1225" spans="1:12" x14ac:dyDescent="0.3">
      <c r="A1225" t="s">
        <v>169</v>
      </c>
      <c r="B1225" t="s">
        <v>32</v>
      </c>
      <c r="C1225" s="5">
        <v>0.39790071399999999</v>
      </c>
      <c r="D1225" s="5">
        <v>0.50565277799999997</v>
      </c>
      <c r="E1225" s="1">
        <v>6.3</v>
      </c>
      <c r="F1225" s="5">
        <v>9.3949044585987256</v>
      </c>
      <c r="G1225" s="3">
        <f t="shared" si="98"/>
        <v>69.322563967770421</v>
      </c>
      <c r="H1225" s="3">
        <f t="shared" si="99"/>
        <v>16.527885009768802</v>
      </c>
      <c r="I1225" s="3">
        <f t="shared" si="95"/>
        <v>3305.5770019537604</v>
      </c>
      <c r="J1225" s="5">
        <f t="shared" si="97"/>
        <v>10.93192626678567</v>
      </c>
      <c r="K1225" s="5">
        <f t="shared" si="96"/>
        <v>2186.3852533571339</v>
      </c>
      <c r="L1225">
        <v>5</v>
      </c>
    </row>
    <row r="1226" spans="1:12" x14ac:dyDescent="0.3">
      <c r="A1226" t="s">
        <v>169</v>
      </c>
      <c r="B1226" t="s">
        <v>32</v>
      </c>
      <c r="C1226" s="5">
        <v>0.39790071399999999</v>
      </c>
      <c r="D1226" s="5">
        <v>0.50565277799999997</v>
      </c>
      <c r="E1226" s="1">
        <v>5.5</v>
      </c>
      <c r="F1226" s="5">
        <v>8.4713375796178347</v>
      </c>
      <c r="G1226" s="3">
        <f t="shared" si="98"/>
        <v>56.362968527475616</v>
      </c>
      <c r="H1226" s="3">
        <f t="shared" si="99"/>
        <v>11.82854348613442</v>
      </c>
      <c r="I1226" s="3">
        <f t="shared" si="95"/>
        <v>2365.7086972268839</v>
      </c>
      <c r="J1226" s="5">
        <f t="shared" si="97"/>
        <v>10.367148537466022</v>
      </c>
      <c r="K1226" s="5">
        <f t="shared" si="96"/>
        <v>2073.4297074932047</v>
      </c>
      <c r="L1226">
        <v>5</v>
      </c>
    </row>
    <row r="1227" spans="1:12" x14ac:dyDescent="0.3">
      <c r="A1227" t="s">
        <v>169</v>
      </c>
      <c r="B1227" t="s">
        <v>65</v>
      </c>
      <c r="C1227" s="5">
        <v>0.55560299999999996</v>
      </c>
      <c r="D1227" s="5">
        <v>0.55961111100000005</v>
      </c>
      <c r="E1227" s="1">
        <v>6.5</v>
      </c>
      <c r="F1227" s="5">
        <v>9.0764331210191074</v>
      </c>
      <c r="G1227" s="3">
        <f t="shared" si="98"/>
        <v>64.702387340214344</v>
      </c>
      <c r="H1227" s="3">
        <f t="shared" si="99"/>
        <v>17.587578581352645</v>
      </c>
      <c r="I1227" s="3">
        <f t="shared" si="95"/>
        <v>3517.5157162705291</v>
      </c>
      <c r="J1227" s="5">
        <f t="shared" si="97"/>
        <v>10.859882269057568</v>
      </c>
      <c r="K1227" s="5">
        <f t="shared" si="96"/>
        <v>2171.9764538115137</v>
      </c>
      <c r="L1227">
        <v>5</v>
      </c>
    </row>
    <row r="1228" spans="1:12" x14ac:dyDescent="0.3">
      <c r="A1228" t="s">
        <v>169</v>
      </c>
      <c r="B1228" t="s">
        <v>65</v>
      </c>
      <c r="C1228" s="5">
        <v>0.55560299999999996</v>
      </c>
      <c r="D1228" s="5">
        <v>0.55961111100000005</v>
      </c>
      <c r="E1228" s="1">
        <v>3.5</v>
      </c>
      <c r="F1228" s="5">
        <v>4.936305732484076</v>
      </c>
      <c r="G1228" s="3">
        <f t="shared" si="98"/>
        <v>19.137886806385342</v>
      </c>
      <c r="H1228" s="3">
        <f t="shared" si="99"/>
        <v>2.9274085314021656</v>
      </c>
      <c r="I1228" s="3">
        <f t="shared" si="95"/>
        <v>585.48170628043306</v>
      </c>
      <c r="J1228" s="5">
        <f t="shared" si="97"/>
        <v>9.2841971499858005</v>
      </c>
      <c r="K1228" s="5">
        <f t="shared" si="96"/>
        <v>1856.8394299971601</v>
      </c>
      <c r="L1228">
        <v>5</v>
      </c>
    </row>
    <row r="1229" spans="1:12" x14ac:dyDescent="0.3">
      <c r="A1229" t="s">
        <v>169</v>
      </c>
      <c r="B1229" t="s">
        <v>36</v>
      </c>
      <c r="C1229" s="5">
        <v>0.56193137999999998</v>
      </c>
      <c r="D1229" s="5">
        <v>0.57808694400000005</v>
      </c>
      <c r="E1229">
        <v>6</v>
      </c>
      <c r="F1229" s="5">
        <v>3.9490445859872612</v>
      </c>
      <c r="G1229" s="3">
        <f t="shared" si="98"/>
        <v>12.248247556086621</v>
      </c>
      <c r="H1229" s="3">
        <f t="shared" si="99"/>
        <v>3.3078702498071046</v>
      </c>
      <c r="I1229" s="3">
        <f t="shared" si="95"/>
        <v>661.574049961421</v>
      </c>
      <c r="J1229" s="5">
        <f t="shared" si="97"/>
        <v>9.3131940159844202</v>
      </c>
      <c r="K1229" s="5">
        <f t="shared" si="96"/>
        <v>1862.6388031968841</v>
      </c>
      <c r="L1229">
        <v>5</v>
      </c>
    </row>
    <row r="1230" spans="1:12" x14ac:dyDescent="0.3">
      <c r="A1230" t="s">
        <v>169</v>
      </c>
      <c r="B1230" t="s">
        <v>36</v>
      </c>
      <c r="C1230" s="5">
        <v>0.56193137999999998</v>
      </c>
      <c r="D1230" s="5">
        <v>0.57808694400000005</v>
      </c>
      <c r="E1230" s="1">
        <v>5.5</v>
      </c>
      <c r="F1230" s="5">
        <v>21.496815286624201</v>
      </c>
      <c r="G1230" s="3">
        <f t="shared" si="98"/>
        <v>362.94275447073136</v>
      </c>
      <c r="H1230" s="3">
        <f t="shared" si="99"/>
        <v>83.005843241502248</v>
      </c>
      <c r="I1230" s="3">
        <f t="shared" si="95"/>
        <v>16601.168648300452</v>
      </c>
      <c r="J1230" s="5">
        <f t="shared" si="97"/>
        <v>17.88137654874437</v>
      </c>
      <c r="K1230" s="5">
        <f t="shared" si="96"/>
        <v>3576.275309748874</v>
      </c>
      <c r="L1230">
        <v>5</v>
      </c>
    </row>
    <row r="1231" spans="1:12" x14ac:dyDescent="0.3">
      <c r="A1231" t="s">
        <v>169</v>
      </c>
      <c r="B1231" t="s">
        <v>152</v>
      </c>
      <c r="C1231" s="5">
        <v>0.63</v>
      </c>
      <c r="D1231" s="5">
        <v>0.629222222</v>
      </c>
      <c r="E1231" s="1">
        <v>2.2000000000000002</v>
      </c>
      <c r="F1231" s="5">
        <v>4.5859872611464967</v>
      </c>
      <c r="G1231" s="3">
        <f t="shared" si="98"/>
        <v>16.517928025690178</v>
      </c>
      <c r="H1231" s="3">
        <f t="shared" si="99"/>
        <v>1.807046245323944</v>
      </c>
      <c r="I1231" s="3">
        <f t="shared" si="95"/>
        <v>361.40924906478881</v>
      </c>
      <c r="J1231" s="5">
        <f t="shared" si="97"/>
        <v>9.1476408495273631</v>
      </c>
      <c r="K1231" s="5">
        <f t="shared" si="96"/>
        <v>1829.5281699054726</v>
      </c>
      <c r="L1231">
        <v>5</v>
      </c>
    </row>
    <row r="1232" spans="1:12" x14ac:dyDescent="0.3">
      <c r="A1232" t="s">
        <v>169</v>
      </c>
      <c r="B1232" t="s">
        <v>152</v>
      </c>
      <c r="C1232" s="5">
        <v>0.63</v>
      </c>
      <c r="D1232" s="5">
        <v>0.629222222</v>
      </c>
      <c r="E1232" s="1">
        <v>1.3</v>
      </c>
      <c r="F1232" s="5">
        <v>1.1146496815286624</v>
      </c>
      <c r="G1232" s="3">
        <f t="shared" si="98"/>
        <v>0.9758131670269321</v>
      </c>
      <c r="H1232" s="3">
        <f t="shared" si="99"/>
        <v>6.8370802963854158E-2</v>
      </c>
      <c r="I1232" s="3">
        <f t="shared" si="95"/>
        <v>13.674160592770832</v>
      </c>
      <c r="J1232" s="5">
        <f t="shared" si="97"/>
        <v>8.9913531198020191</v>
      </c>
      <c r="K1232" s="5">
        <f t="shared" si="96"/>
        <v>1798.2706239604038</v>
      </c>
      <c r="L1232">
        <v>5</v>
      </c>
    </row>
    <row r="1233" spans="1:12" x14ac:dyDescent="0.3">
      <c r="A1233" t="s">
        <v>169</v>
      </c>
      <c r="B1233" t="s">
        <v>52</v>
      </c>
      <c r="C1233" s="5">
        <v>0.61</v>
      </c>
      <c r="D1233" s="5">
        <v>0.84088888900000003</v>
      </c>
      <c r="E1233" s="1">
        <v>6.5</v>
      </c>
      <c r="F1233" s="5">
        <v>53.025477707006367</v>
      </c>
      <c r="G1233" s="3">
        <f t="shared" si="98"/>
        <v>2208.3050260908058</v>
      </c>
      <c r="H1233" s="3">
        <f t="shared" si="99"/>
        <v>820.64873958729186</v>
      </c>
      <c r="I1233" s="3">
        <f t="shared" si="95"/>
        <v>164129.74791745836</v>
      </c>
      <c r="J1233" s="5">
        <f t="shared" si="97"/>
        <v>72.951904257779205</v>
      </c>
      <c r="K1233" s="5">
        <f t="shared" si="96"/>
        <v>14590.380851555839</v>
      </c>
      <c r="L1233">
        <v>5</v>
      </c>
    </row>
    <row r="1234" spans="1:12" x14ac:dyDescent="0.3">
      <c r="A1234" t="s">
        <v>169</v>
      </c>
      <c r="B1234" t="s">
        <v>130</v>
      </c>
      <c r="C1234" s="5">
        <v>0.84088890000000005</v>
      </c>
      <c r="D1234" s="5">
        <v>0.84088888900000003</v>
      </c>
      <c r="E1234">
        <v>10</v>
      </c>
      <c r="F1234" s="5">
        <v>33.312101910828019</v>
      </c>
      <c r="G1234" s="3">
        <f t="shared" si="98"/>
        <v>871.55330535088876</v>
      </c>
      <c r="H1234" s="3">
        <f t="shared" si="99"/>
        <v>504.28857224954567</v>
      </c>
      <c r="I1234" s="3">
        <f t="shared" si="95"/>
        <v>100857.71444990914</v>
      </c>
      <c r="J1234" s="5">
        <f t="shared" si="97"/>
        <v>47.825064680108717</v>
      </c>
      <c r="K1234" s="5">
        <f t="shared" si="96"/>
        <v>9565.0129360217434</v>
      </c>
      <c r="L1234">
        <v>5</v>
      </c>
    </row>
    <row r="1235" spans="1:12" x14ac:dyDescent="0.3">
      <c r="A1235" t="s">
        <v>169</v>
      </c>
      <c r="B1235" t="s">
        <v>130</v>
      </c>
      <c r="C1235" s="5">
        <v>0.84088890000000005</v>
      </c>
      <c r="D1235" s="5">
        <v>0.84088888900000003</v>
      </c>
      <c r="E1235">
        <v>9</v>
      </c>
      <c r="F1235" s="5">
        <v>5.5732484076433115</v>
      </c>
      <c r="G1235" s="3">
        <f t="shared" si="98"/>
        <v>24.395329175673304</v>
      </c>
      <c r="H1235" s="3">
        <f t="shared" si="99"/>
        <v>13.877276409368095</v>
      </c>
      <c r="I1235" s="3">
        <f t="shared" si="95"/>
        <v>2775.4552818736188</v>
      </c>
      <c r="J1235" s="5">
        <f t="shared" si="97"/>
        <v>9.9641245811189094</v>
      </c>
      <c r="K1235" s="5">
        <f t="shared" si="96"/>
        <v>1992.8249162237819</v>
      </c>
      <c r="L1235">
        <v>5</v>
      </c>
    </row>
    <row r="1236" spans="1:12" x14ac:dyDescent="0.3">
      <c r="A1236" t="s">
        <v>169</v>
      </c>
      <c r="B1236" t="s">
        <v>130</v>
      </c>
      <c r="C1236" s="5">
        <v>0.84088890000000005</v>
      </c>
      <c r="D1236" s="5">
        <v>0.84088888900000003</v>
      </c>
      <c r="E1236">
        <v>9</v>
      </c>
      <c r="F1236" s="5">
        <v>13.248407643312103</v>
      </c>
      <c r="G1236" s="3">
        <f t="shared" si="98"/>
        <v>137.85332525143903</v>
      </c>
      <c r="H1236" s="3">
        <f t="shared" si="99"/>
        <v>75.225338222172667</v>
      </c>
      <c r="I1236" s="3">
        <f t="shared" si="95"/>
        <v>15045.067644434534</v>
      </c>
      <c r="J1236" s="5">
        <f t="shared" si="97"/>
        <v>14.514589610126173</v>
      </c>
      <c r="K1236" s="5">
        <f t="shared" si="96"/>
        <v>2902.9179220252345</v>
      </c>
      <c r="L1236">
        <v>5</v>
      </c>
    </row>
    <row r="1237" spans="1:12" x14ac:dyDescent="0.3">
      <c r="A1237" t="s">
        <v>169</v>
      </c>
      <c r="B1237" t="s">
        <v>170</v>
      </c>
      <c r="C1237" s="5">
        <v>0.78713326400000005</v>
      </c>
      <c r="D1237" s="5">
        <v>0.8155</v>
      </c>
      <c r="E1237" s="1">
        <v>3.5</v>
      </c>
      <c r="F1237" s="5">
        <v>6.6878980891719744</v>
      </c>
      <c r="G1237" s="3">
        <f t="shared" si="98"/>
        <v>35.12927401296956</v>
      </c>
      <c r="H1237" s="3">
        <f t="shared" si="99"/>
        <v>7.6478727980528429</v>
      </c>
      <c r="I1237" s="3">
        <f t="shared" si="95"/>
        <v>1529.5745596105685</v>
      </c>
      <c r="J1237" s="5">
        <f t="shared" si="97"/>
        <v>9.5336177654265892</v>
      </c>
      <c r="K1237" s="5">
        <f t="shared" si="96"/>
        <v>1906.7235530853177</v>
      </c>
      <c r="L1237">
        <v>5</v>
      </c>
    </row>
    <row r="1238" spans="1:12" x14ac:dyDescent="0.3">
      <c r="A1238" t="s">
        <v>169</v>
      </c>
      <c r="B1238" t="s">
        <v>113</v>
      </c>
      <c r="C1238" s="5">
        <v>0.56023871300000005</v>
      </c>
      <c r="D1238" s="5">
        <v>0.74103703700000001</v>
      </c>
      <c r="E1238">
        <v>7</v>
      </c>
      <c r="F1238" s="5">
        <v>14.29936305732484</v>
      </c>
      <c r="G1238" s="3">
        <f t="shared" si="98"/>
        <v>160.59176349860942</v>
      </c>
      <c r="H1238" s="3">
        <f t="shared" si="99"/>
        <v>60.391065554207593</v>
      </c>
      <c r="I1238" s="3">
        <f t="shared" si="95"/>
        <v>12078.213110841518</v>
      </c>
      <c r="J1238" s="5">
        <f t="shared" si="97"/>
        <v>13.995258704207066</v>
      </c>
      <c r="K1238" s="5">
        <f t="shared" si="96"/>
        <v>2799.0517408414134</v>
      </c>
      <c r="L1238">
        <v>5</v>
      </c>
    </row>
    <row r="1239" spans="1:12" x14ac:dyDescent="0.3">
      <c r="A1239" t="s">
        <v>171</v>
      </c>
      <c r="B1239" t="s">
        <v>70</v>
      </c>
      <c r="C1239" s="5">
        <v>0.86</v>
      </c>
      <c r="D1239" s="5">
        <v>0.65666666699999998</v>
      </c>
      <c r="E1239">
        <v>7</v>
      </c>
      <c r="F1239" s="2">
        <v>9.2356687898089174</v>
      </c>
      <c r="G1239" s="3">
        <f t="shared" si="98"/>
        <v>66.992561099563275</v>
      </c>
      <c r="H1239" s="3">
        <f t="shared" si="99"/>
        <v>22.864076391671723</v>
      </c>
      <c r="I1239" s="3">
        <f t="shared" si="95"/>
        <v>4572.8152783343448</v>
      </c>
      <c r="J1239" s="5">
        <f t="shared" si="97"/>
        <v>11.075490660878737</v>
      </c>
      <c r="K1239" s="5">
        <f t="shared" si="96"/>
        <v>2215.0981321757472</v>
      </c>
      <c r="L1239">
        <v>5</v>
      </c>
    </row>
    <row r="1240" spans="1:12" x14ac:dyDescent="0.3">
      <c r="A1240" t="s">
        <v>171</v>
      </c>
      <c r="B1240" t="s">
        <v>70</v>
      </c>
      <c r="C1240" s="5">
        <v>0.86</v>
      </c>
      <c r="D1240" s="5">
        <v>0.65666666699999998</v>
      </c>
      <c r="E1240">
        <v>6</v>
      </c>
      <c r="F1240" s="2">
        <v>6.8471337579617835</v>
      </c>
      <c r="G1240" s="3">
        <f t="shared" si="98"/>
        <v>36.822011139444854</v>
      </c>
      <c r="H1240" s="3">
        <f t="shared" si="99"/>
        <v>10.968129706042994</v>
      </c>
      <c r="I1240" s="3">
        <f t="shared" si="95"/>
        <v>2193.6259412085988</v>
      </c>
      <c r="J1240" s="5">
        <f t="shared" si="97"/>
        <v>9.9702480546878167</v>
      </c>
      <c r="K1240" s="5">
        <f t="shared" si="96"/>
        <v>1994.0496109375631</v>
      </c>
      <c r="L1240">
        <v>5</v>
      </c>
    </row>
    <row r="1241" spans="1:12" x14ac:dyDescent="0.3">
      <c r="A1241" t="s">
        <v>171</v>
      </c>
      <c r="B1241" t="s">
        <v>70</v>
      </c>
      <c r="C1241" s="5">
        <v>0.86</v>
      </c>
      <c r="D1241" s="5">
        <v>0.65666666699999998</v>
      </c>
      <c r="E1241">
        <v>5</v>
      </c>
      <c r="F1241" s="2">
        <v>7.1656050955414008</v>
      </c>
      <c r="G1241" s="3">
        <f t="shared" si="98"/>
        <v>40.326972718970154</v>
      </c>
      <c r="H1241" s="3">
        <f t="shared" si="99"/>
        <v>10.032105325792706</v>
      </c>
      <c r="I1241" s="3">
        <f t="shared" si="95"/>
        <v>2006.4210651585413</v>
      </c>
      <c r="J1241" s="5">
        <f t="shared" si="97"/>
        <v>9.884253186741855</v>
      </c>
      <c r="K1241" s="5">
        <f t="shared" si="96"/>
        <v>1976.850637348371</v>
      </c>
      <c r="L1241">
        <v>5</v>
      </c>
    </row>
    <row r="1242" spans="1:12" x14ac:dyDescent="0.3">
      <c r="A1242" t="s">
        <v>171</v>
      </c>
      <c r="B1242" t="s">
        <v>70</v>
      </c>
      <c r="C1242" s="5">
        <v>0.86</v>
      </c>
      <c r="D1242" s="5">
        <v>0.65666666699999998</v>
      </c>
      <c r="E1242" s="1">
        <v>4.5</v>
      </c>
      <c r="F1242" s="2">
        <v>9.2356687898089174</v>
      </c>
      <c r="G1242" s="3">
        <f t="shared" si="98"/>
        <v>66.992561099563275</v>
      </c>
      <c r="H1242" s="3">
        <f t="shared" si="99"/>
        <v>14.855025063025295</v>
      </c>
      <c r="I1242" s="3">
        <f t="shared" si="95"/>
        <v>2971.0050126050587</v>
      </c>
      <c r="J1242" s="5">
        <f t="shared" si="97"/>
        <v>10.329136853422046</v>
      </c>
      <c r="K1242" s="5">
        <f t="shared" si="96"/>
        <v>2065.8273706844093</v>
      </c>
      <c r="L1242">
        <v>5</v>
      </c>
    </row>
    <row r="1243" spans="1:12" x14ac:dyDescent="0.3">
      <c r="A1243" t="s">
        <v>171</v>
      </c>
      <c r="B1243" t="s">
        <v>21</v>
      </c>
      <c r="C1243" s="5">
        <v>0.80908761900000004</v>
      </c>
      <c r="D1243" s="5">
        <v>0.87473809499999999</v>
      </c>
      <c r="E1243">
        <v>8</v>
      </c>
      <c r="F1243" s="2">
        <v>16.560509554140125</v>
      </c>
      <c r="G1243" s="3">
        <f t="shared" si="98"/>
        <v>215.39582070537341</v>
      </c>
      <c r="H1243" s="3">
        <f t="shared" si="99"/>
        <v>107.72976508608947</v>
      </c>
      <c r="I1243" s="3">
        <f t="shared" si="95"/>
        <v>21545.953017217897</v>
      </c>
      <c r="J1243" s="5">
        <f t="shared" si="97"/>
        <v>16.664713347397459</v>
      </c>
      <c r="K1243" s="5">
        <f t="shared" si="96"/>
        <v>3332.942669479492</v>
      </c>
      <c r="L1243">
        <v>5</v>
      </c>
    </row>
    <row r="1244" spans="1:12" x14ac:dyDescent="0.3">
      <c r="A1244" t="s">
        <v>171</v>
      </c>
      <c r="B1244" t="s">
        <v>55</v>
      </c>
      <c r="C1244" s="5">
        <v>0.41</v>
      </c>
      <c r="D1244" s="5">
        <v>0.33983503399999998</v>
      </c>
      <c r="E1244">
        <v>8</v>
      </c>
      <c r="F1244" s="2">
        <v>15.286624203821656</v>
      </c>
      <c r="G1244" s="3">
        <f t="shared" si="98"/>
        <v>183.53253361877975</v>
      </c>
      <c r="H1244" s="3">
        <f t="shared" si="99"/>
        <v>36.620546999700032</v>
      </c>
      <c r="I1244" s="3">
        <f t="shared" si="95"/>
        <v>7324.1093999400064</v>
      </c>
      <c r="J1244" s="5">
        <f t="shared" si="97"/>
        <v>15.52876462736825</v>
      </c>
      <c r="K1244" s="5">
        <f t="shared" si="96"/>
        <v>3105.7529254736501</v>
      </c>
      <c r="L1244">
        <v>5</v>
      </c>
    </row>
    <row r="1245" spans="1:12" x14ac:dyDescent="0.3">
      <c r="A1245" t="s">
        <v>171</v>
      </c>
      <c r="B1245" t="s">
        <v>12</v>
      </c>
      <c r="C1245" s="5">
        <v>0.708787469</v>
      </c>
      <c r="D1245" s="5">
        <v>0.80167708299999996</v>
      </c>
      <c r="E1245">
        <v>2</v>
      </c>
      <c r="F1245" s="2">
        <v>4.0999999999999996</v>
      </c>
      <c r="G1245" s="3">
        <f t="shared" si="98"/>
        <v>13.202543126711104</v>
      </c>
      <c r="H1245" s="3">
        <f t="shared" si="99"/>
        <v>1.6760150339120039</v>
      </c>
      <c r="I1245" s="3">
        <f t="shared" si="95"/>
        <v>335.20300678240079</v>
      </c>
      <c r="J1245" s="5">
        <f t="shared" si="97"/>
        <v>9.10337</v>
      </c>
      <c r="K1245" s="5">
        <f t="shared" si="96"/>
        <v>1820.6740000000002</v>
      </c>
      <c r="L1245">
        <v>5</v>
      </c>
    </row>
    <row r="1246" spans="1:12" x14ac:dyDescent="0.3">
      <c r="A1246" t="s">
        <v>171</v>
      </c>
      <c r="B1246" t="s">
        <v>152</v>
      </c>
      <c r="C1246" s="5">
        <v>0.63</v>
      </c>
      <c r="D1246" s="5">
        <v>0.629222222</v>
      </c>
      <c r="E1246" s="1">
        <v>2.6</v>
      </c>
      <c r="F1246" s="2">
        <v>2.3885350318471334</v>
      </c>
      <c r="G1246" s="3">
        <f t="shared" si="98"/>
        <v>4.480774746552239</v>
      </c>
      <c r="H1246" s="3">
        <f t="shared" si="99"/>
        <v>0.59535323762348202</v>
      </c>
      <c r="I1246" s="3">
        <f t="shared" si="95"/>
        <v>119.07064752469641</v>
      </c>
      <c r="J1246" s="5">
        <f t="shared" si="97"/>
        <v>9.0376164063450837</v>
      </c>
      <c r="K1246" s="5">
        <f t="shared" si="96"/>
        <v>1807.5232812690167</v>
      </c>
      <c r="L1246">
        <v>5</v>
      </c>
    </row>
    <row r="1247" spans="1:12" x14ac:dyDescent="0.3">
      <c r="A1247" t="s">
        <v>171</v>
      </c>
      <c r="B1247" t="s">
        <v>152</v>
      </c>
      <c r="C1247" s="5">
        <v>0.63</v>
      </c>
      <c r="D1247" s="5">
        <v>0.629222222</v>
      </c>
      <c r="E1247" s="1">
        <v>2.2000000000000002</v>
      </c>
      <c r="F1247" s="2">
        <v>1.910828025477707</v>
      </c>
      <c r="G1247" s="3">
        <f t="shared" si="98"/>
        <v>2.8676958377934336</v>
      </c>
      <c r="H1247" s="3">
        <f t="shared" si="99"/>
        <v>0.32718766562432566</v>
      </c>
      <c r="I1247" s="3">
        <f t="shared" si="95"/>
        <v>65.437533124865141</v>
      </c>
      <c r="J1247" s="5">
        <f t="shared" si="97"/>
        <v>9.013814730820723</v>
      </c>
      <c r="K1247" s="5">
        <f t="shared" si="96"/>
        <v>1802.7629461641445</v>
      </c>
      <c r="L1247">
        <v>5</v>
      </c>
    </row>
    <row r="1248" spans="1:12" x14ac:dyDescent="0.3">
      <c r="A1248" t="s">
        <v>171</v>
      </c>
      <c r="B1248" t="s">
        <v>152</v>
      </c>
      <c r="C1248" s="5">
        <v>0.63</v>
      </c>
      <c r="D1248" s="5">
        <v>0.629222222</v>
      </c>
      <c r="E1248" s="1">
        <v>1.45</v>
      </c>
      <c r="F1248" s="2">
        <v>0.46178343949044581</v>
      </c>
      <c r="G1248" s="3">
        <f t="shared" si="98"/>
        <v>0.16748140274890813</v>
      </c>
      <c r="H1248" s="3">
        <f t="shared" si="99"/>
        <v>1.361841788557773E-2</v>
      </c>
      <c r="I1248" s="3">
        <f t="shared" si="95"/>
        <v>2.7236835771155459</v>
      </c>
      <c r="J1248" s="5">
        <f t="shared" si="97"/>
        <v>8.9867822130208115</v>
      </c>
      <c r="K1248" s="5">
        <f t="shared" si="96"/>
        <v>1797.3564426041623</v>
      </c>
      <c r="L1248">
        <v>5</v>
      </c>
    </row>
    <row r="1249" spans="1:12" x14ac:dyDescent="0.3">
      <c r="A1249" t="s">
        <v>171</v>
      </c>
      <c r="B1249" t="s">
        <v>152</v>
      </c>
      <c r="C1249" s="5">
        <v>0.63</v>
      </c>
      <c r="D1249" s="5">
        <v>0.629222222</v>
      </c>
      <c r="E1249" s="1">
        <v>2.2000000000000002</v>
      </c>
      <c r="F1249" s="2">
        <v>1.592356687898089</v>
      </c>
      <c r="G1249" s="3">
        <f t="shared" si="98"/>
        <v>1.9914554429121063</v>
      </c>
      <c r="H1249" s="3">
        <f t="shared" si="99"/>
        <v>0.22921082848168559</v>
      </c>
      <c r="I1249" s="3">
        <f t="shared" si="95"/>
        <v>45.842165696337119</v>
      </c>
      <c r="J1249" s="5">
        <f t="shared" si="97"/>
        <v>9.0052241186255024</v>
      </c>
      <c r="K1249" s="5">
        <f t="shared" si="96"/>
        <v>1801.0448237251007</v>
      </c>
      <c r="L1249">
        <v>5</v>
      </c>
    </row>
    <row r="1250" spans="1:12" x14ac:dyDescent="0.3">
      <c r="A1250" t="s">
        <v>171</v>
      </c>
      <c r="B1250" t="s">
        <v>34</v>
      </c>
      <c r="C1250" s="5">
        <v>0.590536375</v>
      </c>
      <c r="D1250" s="5">
        <v>0.61247410899999999</v>
      </c>
      <c r="E1250">
        <v>9</v>
      </c>
      <c r="F1250" s="2">
        <v>43.630573248407643</v>
      </c>
      <c r="G1250" s="3">
        <f t="shared" si="98"/>
        <v>1495.1050883206933</v>
      </c>
      <c r="H1250" s="3">
        <f t="shared" si="99"/>
        <v>565.49042587832514</v>
      </c>
      <c r="I1250" s="3">
        <f t="shared" si="95"/>
        <v>113098.08517566502</v>
      </c>
      <c r="J1250" s="5">
        <f t="shared" si="97"/>
        <v>68.949948042516937</v>
      </c>
      <c r="K1250" s="5">
        <f t="shared" si="96"/>
        <v>13789.989608503387</v>
      </c>
      <c r="L1250">
        <v>5</v>
      </c>
    </row>
    <row r="1251" spans="1:12" x14ac:dyDescent="0.3">
      <c r="A1251" t="s">
        <v>171</v>
      </c>
      <c r="B1251" t="s">
        <v>17</v>
      </c>
      <c r="C1251" s="5">
        <v>0.43836446099999998</v>
      </c>
      <c r="D1251" s="5">
        <v>0.58666666700000003</v>
      </c>
      <c r="E1251" s="1">
        <v>4.5</v>
      </c>
      <c r="F1251" s="2">
        <v>3.5031847133757958</v>
      </c>
      <c r="G1251" s="3">
        <f t="shared" si="98"/>
        <v>9.6386443436945939</v>
      </c>
      <c r="H1251" s="3">
        <f t="shared" si="99"/>
        <v>2.0058217926455892</v>
      </c>
      <c r="I1251" s="3">
        <f t="shared" si="95"/>
        <v>401.16435852911786</v>
      </c>
      <c r="J1251" s="5">
        <f t="shared" si="97"/>
        <v>9.1789887743924705</v>
      </c>
      <c r="K1251" s="5">
        <f t="shared" si="96"/>
        <v>1835.7977548784941</v>
      </c>
      <c r="L1251">
        <v>5</v>
      </c>
    </row>
    <row r="1252" spans="1:12" x14ac:dyDescent="0.3">
      <c r="A1252" t="s">
        <v>171</v>
      </c>
      <c r="B1252" t="s">
        <v>17</v>
      </c>
      <c r="C1252" s="5">
        <v>0.43836446099999998</v>
      </c>
      <c r="D1252" s="5">
        <v>0.58666666700000003</v>
      </c>
      <c r="E1252" s="1">
        <v>1.8</v>
      </c>
      <c r="F1252" s="2">
        <v>1.1146496815286624</v>
      </c>
      <c r="G1252" s="3">
        <f t="shared" si="98"/>
        <v>0.9758131670269321</v>
      </c>
      <c r="H1252" s="3">
        <f t="shared" si="99"/>
        <v>8.7725367887138847E-2</v>
      </c>
      <c r="I1252" s="3">
        <f t="shared" si="95"/>
        <v>17.545073577427768</v>
      </c>
      <c r="J1252" s="5">
        <f t="shared" si="97"/>
        <v>8.9935273966489504</v>
      </c>
      <c r="K1252" s="5">
        <f t="shared" si="96"/>
        <v>1798.7054793297903</v>
      </c>
      <c r="L1252">
        <v>5</v>
      </c>
    </row>
    <row r="1253" spans="1:12" x14ac:dyDescent="0.3">
      <c r="A1253" t="s">
        <v>171</v>
      </c>
      <c r="B1253" t="s">
        <v>144</v>
      </c>
      <c r="C1253" s="5">
        <v>0.41185709999999998</v>
      </c>
      <c r="D1253" s="5">
        <v>0.41185714299999998</v>
      </c>
      <c r="E1253">
        <v>6</v>
      </c>
      <c r="F1253" s="2">
        <v>37.484076433121011</v>
      </c>
      <c r="G1253" s="3">
        <f t="shared" si="98"/>
        <v>1103.528390909594</v>
      </c>
      <c r="H1253" s="3">
        <f t="shared" si="99"/>
        <v>192.14644381618061</v>
      </c>
      <c r="I1253" s="3">
        <f t="shared" si="95"/>
        <v>38429.288763236123</v>
      </c>
      <c r="J1253" s="5">
        <f t="shared" si="97"/>
        <v>38.491875706925221</v>
      </c>
      <c r="K1253" s="5">
        <f t="shared" si="96"/>
        <v>7698.375141385045</v>
      </c>
      <c r="L1253">
        <v>5</v>
      </c>
    </row>
    <row r="1254" spans="1:12" x14ac:dyDescent="0.3">
      <c r="A1254" t="s">
        <v>172</v>
      </c>
      <c r="B1254" t="s">
        <v>70</v>
      </c>
      <c r="C1254" s="5">
        <v>0.86</v>
      </c>
      <c r="D1254" s="5">
        <v>0.65666666699999998</v>
      </c>
      <c r="E1254">
        <v>7</v>
      </c>
      <c r="F1254" s="2">
        <v>10.445859872611464</v>
      </c>
      <c r="G1254" s="3">
        <f t="shared" si="98"/>
        <v>85.699496948102421</v>
      </c>
      <c r="H1254" s="3">
        <f t="shared" si="99"/>
        <v>29.076257980882808</v>
      </c>
      <c r="I1254" s="3">
        <f t="shared" si="95"/>
        <v>5815.2515961765621</v>
      </c>
      <c r="J1254" s="5">
        <f t="shared" si="97"/>
        <v>11.659041717716743</v>
      </c>
      <c r="K1254" s="5">
        <f t="shared" si="96"/>
        <v>2331.8083435433487</v>
      </c>
      <c r="L1254">
        <v>5</v>
      </c>
    </row>
    <row r="1255" spans="1:12" x14ac:dyDescent="0.3">
      <c r="A1255" t="s">
        <v>172</v>
      </c>
      <c r="B1255" t="s">
        <v>148</v>
      </c>
      <c r="C1255" s="5">
        <v>0.57550000000000001</v>
      </c>
      <c r="D1255" s="5">
        <v>0.57550000000000001</v>
      </c>
      <c r="E1255" s="1">
        <v>1.9</v>
      </c>
      <c r="F1255" s="2">
        <v>1.8789808917197452</v>
      </c>
      <c r="G1255" s="3">
        <f t="shared" si="98"/>
        <v>2.7729025587108174</v>
      </c>
      <c r="H1255" s="3">
        <f t="shared" si="99"/>
        <v>0.25152390821075521</v>
      </c>
      <c r="I1255" s="3">
        <f t="shared" si="95"/>
        <v>50.304781642151042</v>
      </c>
      <c r="J1255" s="5">
        <f t="shared" si="97"/>
        <v>9.009178285123129</v>
      </c>
      <c r="K1255" s="5">
        <f t="shared" si="96"/>
        <v>1801.8356570246258</v>
      </c>
      <c r="L1255">
        <v>5</v>
      </c>
    </row>
    <row r="1256" spans="1:12" x14ac:dyDescent="0.3">
      <c r="A1256" t="s">
        <v>172</v>
      </c>
      <c r="B1256" t="s">
        <v>148</v>
      </c>
      <c r="C1256" s="5">
        <v>0.57550000000000001</v>
      </c>
      <c r="D1256" s="5">
        <v>0.57550000000000001</v>
      </c>
      <c r="E1256" s="1">
        <v>1.8</v>
      </c>
      <c r="F1256" s="2">
        <v>1.4649681528662419</v>
      </c>
      <c r="G1256" s="3">
        <f t="shared" si="98"/>
        <v>1.6855678868808071</v>
      </c>
      <c r="H1256" s="3">
        <f t="shared" si="99"/>
        <v>0.14677831025721508</v>
      </c>
      <c r="I1256" s="3">
        <f t="shared" si="95"/>
        <v>29.355662051443016</v>
      </c>
      <c r="J1256" s="5">
        <f t="shared" si="97"/>
        <v>8.9992206296401474</v>
      </c>
      <c r="K1256" s="5">
        <f t="shared" si="96"/>
        <v>1799.8441259280294</v>
      </c>
      <c r="L1256">
        <v>5</v>
      </c>
    </row>
    <row r="1257" spans="1:12" x14ac:dyDescent="0.3">
      <c r="A1257" t="s">
        <v>172</v>
      </c>
      <c r="B1257" t="s">
        <v>148</v>
      </c>
      <c r="C1257" s="5">
        <v>0.57550000000000001</v>
      </c>
      <c r="D1257" s="5">
        <v>0.57550000000000001</v>
      </c>
      <c r="E1257" s="1">
        <v>2.5</v>
      </c>
      <c r="F1257" s="2">
        <v>1.910828025477707</v>
      </c>
      <c r="G1257" s="3">
        <f t="shared" si="98"/>
        <v>2.8676958377934336</v>
      </c>
      <c r="H1257" s="3">
        <f t="shared" si="99"/>
        <v>0.33974519284911719</v>
      </c>
      <c r="I1257" s="3">
        <f t="shared" si="95"/>
        <v>67.949038569823443</v>
      </c>
      <c r="J1257" s="5">
        <f t="shared" si="97"/>
        <v>9.017648557750821</v>
      </c>
      <c r="K1257" s="5">
        <f t="shared" si="96"/>
        <v>1803.5297115501642</v>
      </c>
      <c r="L1257">
        <v>5</v>
      </c>
    </row>
    <row r="1258" spans="1:12" x14ac:dyDescent="0.3">
      <c r="A1258" t="s">
        <v>172</v>
      </c>
      <c r="B1258" t="s">
        <v>55</v>
      </c>
      <c r="C1258" s="5">
        <v>0.41</v>
      </c>
      <c r="D1258" s="5">
        <v>0.33983503399999998</v>
      </c>
      <c r="E1258">
        <v>7</v>
      </c>
      <c r="F1258" s="5">
        <v>12.929936305732484</v>
      </c>
      <c r="G1258" s="3">
        <f t="shared" si="98"/>
        <v>131.30541975514402</v>
      </c>
      <c r="H1258" s="3">
        <f t="shared" si="99"/>
        <v>23.183799326320926</v>
      </c>
      <c r="I1258" s="3">
        <f t="shared" si="95"/>
        <v>4636.7598652641846</v>
      </c>
      <c r="J1258" s="5">
        <f t="shared" si="97"/>
        <v>13.081689695322325</v>
      </c>
      <c r="K1258" s="5">
        <f t="shared" si="96"/>
        <v>2616.337939064465</v>
      </c>
      <c r="L1258">
        <v>5</v>
      </c>
    </row>
    <row r="1259" spans="1:12" x14ac:dyDescent="0.3">
      <c r="A1259" t="s">
        <v>172</v>
      </c>
      <c r="B1259" t="s">
        <v>55</v>
      </c>
      <c r="C1259" s="5">
        <v>0.41</v>
      </c>
      <c r="D1259" s="5">
        <v>0.33983503399999998</v>
      </c>
      <c r="E1259">
        <v>2</v>
      </c>
      <c r="F1259" s="5">
        <v>2.0382165605095541</v>
      </c>
      <c r="G1259" s="3">
        <f t="shared" si="98"/>
        <v>3.2628005976671957</v>
      </c>
      <c r="H1259" s="3">
        <f t="shared" si="99"/>
        <v>0.18535089582712658</v>
      </c>
      <c r="I1259" s="3">
        <f t="shared" si="95"/>
        <v>37.070179165425316</v>
      </c>
      <c r="J1259" s="5">
        <f t="shared" si="97"/>
        <v>9.0147802872327478</v>
      </c>
      <c r="K1259" s="5">
        <f t="shared" si="96"/>
        <v>1802.9560574465497</v>
      </c>
      <c r="L1259">
        <v>5</v>
      </c>
    </row>
    <row r="1260" spans="1:12" x14ac:dyDescent="0.3">
      <c r="A1260" t="s">
        <v>172</v>
      </c>
      <c r="B1260" t="s">
        <v>55</v>
      </c>
      <c r="C1260" s="5">
        <v>0.41</v>
      </c>
      <c r="D1260" s="5">
        <v>0.33983503399999998</v>
      </c>
      <c r="E1260">
        <v>7</v>
      </c>
      <c r="F1260" s="5">
        <v>6.0509554140127388</v>
      </c>
      <c r="G1260" s="3">
        <f t="shared" si="98"/>
        <v>28.756616595650822</v>
      </c>
      <c r="H1260" s="3">
        <f t="shared" si="99"/>
        <v>5.2658540816063697</v>
      </c>
      <c r="I1260" s="3">
        <f t="shared" si="95"/>
        <v>1053.1708163212738</v>
      </c>
      <c r="J1260" s="5">
        <f t="shared" si="97"/>
        <v>9.8827445048480662</v>
      </c>
      <c r="K1260" s="5">
        <f t="shared" si="96"/>
        <v>1976.5489009696132</v>
      </c>
      <c r="L1260">
        <v>5</v>
      </c>
    </row>
    <row r="1261" spans="1:12" x14ac:dyDescent="0.3">
      <c r="A1261" t="s">
        <v>172</v>
      </c>
      <c r="B1261" t="s">
        <v>55</v>
      </c>
      <c r="C1261" s="5">
        <v>0.41</v>
      </c>
      <c r="D1261" s="5">
        <v>0.33983503399999998</v>
      </c>
      <c r="E1261" s="1">
        <v>5.5</v>
      </c>
      <c r="F1261" s="5">
        <v>2.8025477707006372</v>
      </c>
      <c r="G1261" s="3">
        <f t="shared" si="98"/>
        <v>6.1687323799645428</v>
      </c>
      <c r="H1261" s="3">
        <f t="shared" si="99"/>
        <v>0.92629701679231569</v>
      </c>
      <c r="I1261" s="3">
        <f t="shared" si="95"/>
        <v>185.25940335846315</v>
      </c>
      <c r="J1261" s="5">
        <f t="shared" si="97"/>
        <v>9.1368947746358877</v>
      </c>
      <c r="K1261" s="5">
        <f t="shared" si="96"/>
        <v>1827.3789549271776</v>
      </c>
      <c r="L1261">
        <v>5</v>
      </c>
    </row>
    <row r="1262" spans="1:12" x14ac:dyDescent="0.3">
      <c r="A1262" t="s">
        <v>172</v>
      </c>
      <c r="B1262" t="s">
        <v>9</v>
      </c>
      <c r="C1262" s="5">
        <v>0.766138345</v>
      </c>
      <c r="D1262" s="5">
        <v>0.90500000000000003</v>
      </c>
      <c r="E1262" s="1">
        <v>2.7</v>
      </c>
      <c r="F1262" s="5">
        <v>12.197452229299362</v>
      </c>
      <c r="G1262" s="3">
        <f t="shared" si="98"/>
        <v>116.84984298613358</v>
      </c>
      <c r="H1262" s="3">
        <f t="shared" si="99"/>
        <v>21.237942717401907</v>
      </c>
      <c r="I1262" s="3">
        <f t="shared" si="95"/>
        <v>4247.5885434803813</v>
      </c>
      <c r="J1262" s="5">
        <f t="shared" si="97"/>
        <v>10.391650596373077</v>
      </c>
      <c r="K1262" s="5">
        <f t="shared" si="96"/>
        <v>2078.3301192746158</v>
      </c>
      <c r="L1262">
        <v>5</v>
      </c>
    </row>
    <row r="1263" spans="1:12" x14ac:dyDescent="0.3">
      <c r="A1263" t="s">
        <v>172</v>
      </c>
      <c r="B1263" t="s">
        <v>166</v>
      </c>
      <c r="C1263" s="5">
        <v>0.6671667</v>
      </c>
      <c r="D1263" s="5">
        <v>0.66716666700000005</v>
      </c>
      <c r="E1263" s="1">
        <v>1.75</v>
      </c>
      <c r="F1263" s="5">
        <v>3.9808917197452227</v>
      </c>
      <c r="G1263" s="3">
        <f t="shared" si="98"/>
        <v>12.446596518200664</v>
      </c>
      <c r="H1263" s="3">
        <f t="shared" si="99"/>
        <v>1.1610063307581844</v>
      </c>
      <c r="I1263" s="3">
        <f t="shared" si="95"/>
        <v>232.20126615163684</v>
      </c>
      <c r="J1263" s="5">
        <f t="shared" si="97"/>
        <v>9.0827659306665574</v>
      </c>
      <c r="K1263" s="5">
        <f t="shared" si="96"/>
        <v>1816.5531861333116</v>
      </c>
      <c r="L1263">
        <v>5</v>
      </c>
    </row>
    <row r="1264" spans="1:12" x14ac:dyDescent="0.3">
      <c r="A1264" t="s">
        <v>172</v>
      </c>
      <c r="B1264" t="s">
        <v>136</v>
      </c>
      <c r="C1264" s="5">
        <v>0.83069230800000005</v>
      </c>
      <c r="D1264" s="5">
        <v>0.78683697699999999</v>
      </c>
      <c r="E1264" s="1">
        <v>4.7</v>
      </c>
      <c r="F1264" s="5">
        <v>4.7133757961783438</v>
      </c>
      <c r="G1264" s="3">
        <f t="shared" si="98"/>
        <v>17.448336008618714</v>
      </c>
      <c r="H1264" s="3">
        <f t="shared" si="99"/>
        <v>4.9740517102818611</v>
      </c>
      <c r="I1264" s="3">
        <f t="shared" si="95"/>
        <v>994.81034205637229</v>
      </c>
      <c r="J1264" s="5">
        <f t="shared" si="97"/>
        <v>9.3511517424641966</v>
      </c>
      <c r="K1264" s="5">
        <f t="shared" si="96"/>
        <v>1870.2303484928393</v>
      </c>
      <c r="L1264">
        <v>5</v>
      </c>
    </row>
    <row r="1265" spans="1:12" x14ac:dyDescent="0.3">
      <c r="A1265" t="s">
        <v>172</v>
      </c>
      <c r="B1265" t="s">
        <v>65</v>
      </c>
      <c r="C1265" s="5">
        <v>0.55560299999999996</v>
      </c>
      <c r="D1265" s="5">
        <v>0.55961111100000005</v>
      </c>
      <c r="E1265">
        <v>2</v>
      </c>
      <c r="F1265" s="5">
        <v>3.2165605095541401</v>
      </c>
      <c r="G1265" s="3">
        <f t="shared" si="98"/>
        <v>8.1259347892585598</v>
      </c>
      <c r="H1265" s="3">
        <f t="shared" si="99"/>
        <v>0.73482859063580785</v>
      </c>
      <c r="I1265" s="3">
        <f t="shared" si="95"/>
        <v>146.96571812716155</v>
      </c>
      <c r="J1265" s="5">
        <f t="shared" si="97"/>
        <v>9.0581238305813621</v>
      </c>
      <c r="K1265" s="5">
        <f t="shared" si="96"/>
        <v>1811.6247661162724</v>
      </c>
      <c r="L1265">
        <v>5</v>
      </c>
    </row>
    <row r="1266" spans="1:12" x14ac:dyDescent="0.3">
      <c r="A1266" t="s">
        <v>172</v>
      </c>
      <c r="B1266" t="s">
        <v>36</v>
      </c>
      <c r="C1266" s="5">
        <v>0.56193137999999998</v>
      </c>
      <c r="D1266" s="5">
        <v>0.57808694400000005</v>
      </c>
      <c r="E1266" s="1">
        <v>7.5</v>
      </c>
      <c r="F1266" s="5">
        <v>10.796178343949043</v>
      </c>
      <c r="G1266" s="3">
        <f t="shared" si="98"/>
        <v>91.544020381960863</v>
      </c>
      <c r="H1266" s="3">
        <f t="shared" si="99"/>
        <v>29.290266306681225</v>
      </c>
      <c r="I1266" s="3">
        <f t="shared" si="95"/>
        <v>5858.0532613362448</v>
      </c>
      <c r="J1266" s="5">
        <f t="shared" si="97"/>
        <v>12.0453335044018</v>
      </c>
      <c r="K1266" s="5">
        <f t="shared" si="96"/>
        <v>2409.0667008803603</v>
      </c>
      <c r="L1266">
        <v>5</v>
      </c>
    </row>
    <row r="1267" spans="1:12" x14ac:dyDescent="0.3">
      <c r="A1267" t="s">
        <v>172</v>
      </c>
      <c r="B1267" t="s">
        <v>36</v>
      </c>
      <c r="C1267" s="5">
        <v>0.56193137999999998</v>
      </c>
      <c r="D1267" s="5">
        <v>0.57808694400000005</v>
      </c>
      <c r="E1267" s="1">
        <v>6.8</v>
      </c>
      <c r="F1267" s="5">
        <v>9.7452229299363058</v>
      </c>
      <c r="G1267" s="3">
        <f t="shared" si="98"/>
        <v>74.588768741007215</v>
      </c>
      <c r="H1267" s="3">
        <f t="shared" si="99"/>
        <v>21.795690869320023</v>
      </c>
      <c r="I1267" s="3">
        <f t="shared" si="95"/>
        <v>4359.1381738640048</v>
      </c>
      <c r="J1267" s="5">
        <f t="shared" si="97"/>
        <v>11.24597100490892</v>
      </c>
      <c r="K1267" s="5">
        <f t="shared" si="96"/>
        <v>2249.194200981784</v>
      </c>
      <c r="L1267">
        <v>5</v>
      </c>
    </row>
    <row r="1268" spans="1:12" x14ac:dyDescent="0.3">
      <c r="A1268" t="s">
        <v>172</v>
      </c>
      <c r="B1268" t="s">
        <v>36</v>
      </c>
      <c r="C1268" s="5">
        <v>0.56193137999999998</v>
      </c>
      <c r="D1268" s="5">
        <v>0.57808694400000005</v>
      </c>
      <c r="E1268" s="1">
        <v>2.8</v>
      </c>
      <c r="F1268" s="5">
        <v>4.4585987261146496</v>
      </c>
      <c r="G1268" s="3">
        <f t="shared" si="98"/>
        <v>15.613010672430914</v>
      </c>
      <c r="H1268" s="3">
        <f t="shared" si="99"/>
        <v>1.992424532763361</v>
      </c>
      <c r="I1268" s="3">
        <f t="shared" si="95"/>
        <v>398.48490655267221</v>
      </c>
      <c r="J1268" s="5">
        <f t="shared" si="97"/>
        <v>9.1805152054850083</v>
      </c>
      <c r="K1268" s="5">
        <f t="shared" si="96"/>
        <v>1836.1030410970016</v>
      </c>
      <c r="L1268">
        <v>5</v>
      </c>
    </row>
    <row r="1269" spans="1:12" x14ac:dyDescent="0.3">
      <c r="A1269" t="s">
        <v>172</v>
      </c>
      <c r="B1269" t="s">
        <v>36</v>
      </c>
      <c r="C1269" s="5">
        <v>0.56193137999999998</v>
      </c>
      <c r="D1269" s="5">
        <v>0.57808694400000005</v>
      </c>
      <c r="E1269" s="1">
        <v>2.5</v>
      </c>
      <c r="F1269" s="5">
        <v>2.2292993630573248</v>
      </c>
      <c r="G1269" s="3">
        <f t="shared" si="98"/>
        <v>3.9032526681077284</v>
      </c>
      <c r="H1269" s="3">
        <f t="shared" si="99"/>
        <v>0.46103568185226823</v>
      </c>
      <c r="I1269" s="3">
        <f t="shared" si="95"/>
        <v>92.20713637045364</v>
      </c>
      <c r="J1269" s="5">
        <f t="shared" si="97"/>
        <v>9.029185536938618</v>
      </c>
      <c r="K1269" s="5">
        <f t="shared" si="96"/>
        <v>1805.8371073877236</v>
      </c>
      <c r="L1269">
        <v>5</v>
      </c>
    </row>
    <row r="1270" spans="1:12" x14ac:dyDescent="0.3">
      <c r="A1270" t="s">
        <v>172</v>
      </c>
      <c r="B1270" t="s">
        <v>152</v>
      </c>
      <c r="C1270" s="5">
        <v>0.63</v>
      </c>
      <c r="D1270" s="5">
        <v>0.629222222</v>
      </c>
      <c r="E1270" s="1">
        <v>1.8</v>
      </c>
      <c r="F1270" s="5">
        <v>1.2738853503184713</v>
      </c>
      <c r="G1270" s="3">
        <f t="shared" si="98"/>
        <v>1.274531483463748</v>
      </c>
      <c r="H1270" s="3">
        <f t="shared" si="99"/>
        <v>0.12190126544869569</v>
      </c>
      <c r="I1270" s="3">
        <f t="shared" si="95"/>
        <v>24.380253089739135</v>
      </c>
      <c r="J1270" s="5">
        <f t="shared" si="97"/>
        <v>8.9959235384802625</v>
      </c>
      <c r="K1270" s="5">
        <f t="shared" si="96"/>
        <v>1799.1847076960526</v>
      </c>
      <c r="L1270">
        <v>5</v>
      </c>
    </row>
    <row r="1271" spans="1:12" x14ac:dyDescent="0.3">
      <c r="A1271" t="s">
        <v>172</v>
      </c>
      <c r="B1271" t="s">
        <v>152</v>
      </c>
      <c r="C1271" s="5">
        <v>0.63</v>
      </c>
      <c r="D1271" s="5">
        <v>0.629222222</v>
      </c>
      <c r="E1271" s="1">
        <v>1.6</v>
      </c>
      <c r="F1271" s="5">
        <v>1.2738853503184713</v>
      </c>
      <c r="G1271" s="3">
        <f t="shared" si="98"/>
        <v>1.274531483463748</v>
      </c>
      <c r="H1271" s="3">
        <f t="shared" si="99"/>
        <v>0.10866341562308156</v>
      </c>
      <c r="I1271" s="3">
        <f t="shared" si="95"/>
        <v>21.732683124616312</v>
      </c>
      <c r="J1271" s="5">
        <f t="shared" si="97"/>
        <v>8.9947875897602341</v>
      </c>
      <c r="K1271" s="5">
        <f t="shared" si="96"/>
        <v>1798.9575179520466</v>
      </c>
      <c r="L1271">
        <v>5</v>
      </c>
    </row>
    <row r="1272" spans="1:12" x14ac:dyDescent="0.3">
      <c r="A1272" t="s">
        <v>172</v>
      </c>
      <c r="B1272" t="s">
        <v>167</v>
      </c>
      <c r="C1272" s="5">
        <v>0.62922219999999995</v>
      </c>
      <c r="D1272" s="5">
        <v>0.629222222</v>
      </c>
      <c r="E1272" s="1">
        <v>1.5</v>
      </c>
      <c r="F1272" s="5">
        <v>1.592356687898089</v>
      </c>
      <c r="G1272" s="3">
        <f t="shared" si="98"/>
        <v>1.9914554429121063</v>
      </c>
      <c r="H1272" s="3">
        <f t="shared" si="99"/>
        <v>0.15772323032758095</v>
      </c>
      <c r="I1272" s="3">
        <f t="shared" si="95"/>
        <v>31.54464606551619</v>
      </c>
      <c r="J1272" s="5">
        <f t="shared" si="97"/>
        <v>8.9990118990628414</v>
      </c>
      <c r="K1272" s="5">
        <f t="shared" si="96"/>
        <v>1799.8023798125682</v>
      </c>
      <c r="L1272">
        <v>5</v>
      </c>
    </row>
    <row r="1273" spans="1:12" x14ac:dyDescent="0.3">
      <c r="A1273" t="s">
        <v>172</v>
      </c>
      <c r="B1273" t="s">
        <v>167</v>
      </c>
      <c r="C1273" s="5">
        <v>0.62922219999999995</v>
      </c>
      <c r="D1273" s="5">
        <v>0.629222222</v>
      </c>
      <c r="E1273" s="1">
        <v>1.4</v>
      </c>
      <c r="F1273" s="5">
        <v>1.1146496815286624</v>
      </c>
      <c r="G1273" s="3">
        <f t="shared" si="98"/>
        <v>0.9758131670269321</v>
      </c>
      <c r="H1273" s="3">
        <f t="shared" si="99"/>
        <v>7.3499254041162004E-2</v>
      </c>
      <c r="I1273" s="3">
        <f t="shared" si="95"/>
        <v>14.699850808232402</v>
      </c>
      <c r="J1273" s="5">
        <f t="shared" si="97"/>
        <v>8.9917879751714054</v>
      </c>
      <c r="K1273" s="5">
        <f t="shared" si="96"/>
        <v>1798.3575950342813</v>
      </c>
      <c r="L1273">
        <v>5</v>
      </c>
    </row>
    <row r="1274" spans="1:12" x14ac:dyDescent="0.3">
      <c r="A1274" t="s">
        <v>172</v>
      </c>
      <c r="B1274" t="s">
        <v>167</v>
      </c>
      <c r="C1274" s="5">
        <v>0.62922219999999995</v>
      </c>
      <c r="D1274" s="5">
        <v>0.629222222</v>
      </c>
      <c r="E1274" s="1">
        <v>1.4</v>
      </c>
      <c r="F1274" s="5">
        <v>1.2738853503184713</v>
      </c>
      <c r="G1274" s="3">
        <f t="shared" si="98"/>
        <v>1.274531483463748</v>
      </c>
      <c r="H1274" s="3">
        <f t="shared" si="99"/>
        <v>9.5385686973164518E-2</v>
      </c>
      <c r="I1274" s="3">
        <f t="shared" si="95"/>
        <v>19.077137394632906</v>
      </c>
      <c r="J1274" s="5">
        <f t="shared" si="97"/>
        <v>8.9936516410402039</v>
      </c>
      <c r="K1274" s="5">
        <f t="shared" si="96"/>
        <v>1798.7303282080406</v>
      </c>
      <c r="L1274">
        <v>5</v>
      </c>
    </row>
    <row r="1275" spans="1:12" x14ac:dyDescent="0.3">
      <c r="A1275" t="s">
        <v>172</v>
      </c>
      <c r="B1275" t="s">
        <v>167</v>
      </c>
      <c r="C1275" s="5">
        <v>0.62922219999999995</v>
      </c>
      <c r="D1275" s="5">
        <v>0.629222222</v>
      </c>
      <c r="E1275" s="1">
        <v>1.6</v>
      </c>
      <c r="F1275" s="5">
        <v>1.8471337579617833</v>
      </c>
      <c r="G1275" s="3">
        <f t="shared" si="98"/>
        <v>2.6797024439825301</v>
      </c>
      <c r="H1275" s="3">
        <f t="shared" si="99"/>
        <v>0.22442627051515415</v>
      </c>
      <c r="I1275" s="3">
        <f t="shared" si="95"/>
        <v>44.885254103030832</v>
      </c>
      <c r="J1275" s="5">
        <f t="shared" si="97"/>
        <v>9.0048066574708905</v>
      </c>
      <c r="K1275" s="5">
        <f t="shared" si="96"/>
        <v>1800.961331494178</v>
      </c>
      <c r="L1275">
        <v>5</v>
      </c>
    </row>
    <row r="1276" spans="1:12" x14ac:dyDescent="0.3">
      <c r="A1276" t="s">
        <v>172</v>
      </c>
      <c r="B1276" t="s">
        <v>167</v>
      </c>
      <c r="C1276" s="5">
        <v>0.62922219999999995</v>
      </c>
      <c r="D1276" s="5">
        <v>0.629222222</v>
      </c>
      <c r="E1276" s="1">
        <v>1.5</v>
      </c>
      <c r="F1276" s="5">
        <v>1.592356687898089</v>
      </c>
      <c r="G1276" s="3">
        <f t="shared" si="98"/>
        <v>1.9914554429121063</v>
      </c>
      <c r="H1276" s="3">
        <f t="shared" si="99"/>
        <v>0.15772323032758095</v>
      </c>
      <c r="I1276" s="3">
        <f t="shared" si="95"/>
        <v>31.54464606551619</v>
      </c>
      <c r="J1276" s="5">
        <f t="shared" si="97"/>
        <v>8.9990118990628414</v>
      </c>
      <c r="K1276" s="5">
        <f t="shared" si="96"/>
        <v>1799.8023798125682</v>
      </c>
      <c r="L1276">
        <v>5</v>
      </c>
    </row>
    <row r="1277" spans="1:12" x14ac:dyDescent="0.3">
      <c r="A1277" t="s">
        <v>172</v>
      </c>
      <c r="B1277" t="s">
        <v>130</v>
      </c>
      <c r="C1277" s="5">
        <v>0.84088890000000005</v>
      </c>
      <c r="D1277" s="5">
        <v>0.84088888900000003</v>
      </c>
      <c r="E1277" s="1">
        <v>9.5</v>
      </c>
      <c r="F1277" s="5">
        <v>14.012738853503183</v>
      </c>
      <c r="G1277" s="3">
        <f t="shared" si="98"/>
        <v>154.2183094991135</v>
      </c>
      <c r="H1277" s="3">
        <f t="shared" si="99"/>
        <v>88.477153443796368</v>
      </c>
      <c r="I1277" s="3">
        <f t="shared" si="95"/>
        <v>17695.430688759276</v>
      </c>
      <c r="J1277" s="5">
        <f t="shared" si="97"/>
        <v>15.514565268367882</v>
      </c>
      <c r="K1277" s="5">
        <f t="shared" si="96"/>
        <v>3102.9130536735765</v>
      </c>
      <c r="L1277">
        <v>5</v>
      </c>
    </row>
    <row r="1278" spans="1:12" x14ac:dyDescent="0.3">
      <c r="A1278" t="s">
        <v>172</v>
      </c>
      <c r="B1278" t="s">
        <v>130</v>
      </c>
      <c r="C1278" s="5">
        <v>0.84088890000000005</v>
      </c>
      <c r="D1278" s="5">
        <v>0.84088888900000003</v>
      </c>
      <c r="E1278">
        <v>9</v>
      </c>
      <c r="F1278" s="5">
        <v>22.547770700636946</v>
      </c>
      <c r="G1278" s="3">
        <f t="shared" si="98"/>
        <v>399.29796845435783</v>
      </c>
      <c r="H1278" s="3">
        <f t="shared" si="99"/>
        <v>212.40213933308027</v>
      </c>
      <c r="I1278" s="3">
        <f t="shared" si="95"/>
        <v>42480.427866616054</v>
      </c>
      <c r="J1278" s="5">
        <f t="shared" si="97"/>
        <v>25.000361852407814</v>
      </c>
      <c r="K1278" s="5">
        <f t="shared" si="96"/>
        <v>5000.0723704815628</v>
      </c>
      <c r="L1278">
        <v>5</v>
      </c>
    </row>
    <row r="1279" spans="1:12" x14ac:dyDescent="0.3">
      <c r="A1279" t="s">
        <v>172</v>
      </c>
      <c r="B1279" t="s">
        <v>173</v>
      </c>
      <c r="C1279" s="5">
        <v>0.685322871</v>
      </c>
      <c r="D1279" s="5">
        <v>0.8155</v>
      </c>
      <c r="E1279" s="1">
        <v>6.5</v>
      </c>
      <c r="F1279" s="5">
        <v>3.3439490445859872</v>
      </c>
      <c r="G1279" s="3">
        <f t="shared" si="98"/>
        <v>8.7823185032423901</v>
      </c>
      <c r="H1279" s="3">
        <f t="shared" si="99"/>
        <v>3.6167886342608542</v>
      </c>
      <c r="I1279" s="3">
        <f t="shared" si="95"/>
        <v>723.3577268521708</v>
      </c>
      <c r="J1279" s="5">
        <f t="shared" si="97"/>
        <v>9.2400903910909165</v>
      </c>
      <c r="K1279" s="5">
        <f t="shared" si="96"/>
        <v>1848.0180782181833</v>
      </c>
      <c r="L1279">
        <v>5</v>
      </c>
    </row>
    <row r="1280" spans="1:12" x14ac:dyDescent="0.3">
      <c r="A1280" t="s">
        <v>172</v>
      </c>
      <c r="B1280" t="s">
        <v>173</v>
      </c>
      <c r="C1280" s="5">
        <v>0.685322871</v>
      </c>
      <c r="D1280" s="5">
        <v>0.8155</v>
      </c>
      <c r="E1280" s="1">
        <v>1.5</v>
      </c>
      <c r="F1280" s="5">
        <v>9.6815286624203818</v>
      </c>
      <c r="G1280" s="3">
        <f t="shared" si="98"/>
        <v>73.616938484866097</v>
      </c>
      <c r="H1280" s="3">
        <f t="shared" si="99"/>
        <v>6.8864038074802005</v>
      </c>
      <c r="I1280" s="3">
        <f t="shared" si="95"/>
        <v>1377.28076149604</v>
      </c>
      <c r="J1280" s="5">
        <f t="shared" si="97"/>
        <v>9.4777929855166541</v>
      </c>
      <c r="K1280" s="5">
        <f t="shared" si="96"/>
        <v>1895.5585971033311</v>
      </c>
      <c r="L1280">
        <v>5</v>
      </c>
    </row>
    <row r="1281" spans="1:12" x14ac:dyDescent="0.3">
      <c r="A1281" t="s">
        <v>172</v>
      </c>
      <c r="B1281" t="s">
        <v>173</v>
      </c>
      <c r="C1281" s="5">
        <v>0.685322871</v>
      </c>
      <c r="D1281" s="5">
        <v>0.8155</v>
      </c>
      <c r="E1281">
        <v>4</v>
      </c>
      <c r="F1281" s="5">
        <v>1.2738853503184713</v>
      </c>
      <c r="G1281" s="3">
        <f t="shared" si="98"/>
        <v>1.274531483463748</v>
      </c>
      <c r="H1281" s="3">
        <f t="shared" si="99"/>
        <v>0.34228655152806114</v>
      </c>
      <c r="I1281" s="3">
        <f t="shared" si="95"/>
        <v>68.457310305612225</v>
      </c>
      <c r="J1281" s="5">
        <f t="shared" si="97"/>
        <v>9.008418974400584</v>
      </c>
      <c r="K1281" s="5">
        <f t="shared" si="96"/>
        <v>1801.6837948801167</v>
      </c>
      <c r="L1281">
        <v>5</v>
      </c>
    </row>
    <row r="1282" spans="1:12" x14ac:dyDescent="0.3">
      <c r="A1282" t="s">
        <v>172</v>
      </c>
      <c r="B1282" t="s">
        <v>113</v>
      </c>
      <c r="C1282" s="5">
        <v>0.56023871300000005</v>
      </c>
      <c r="D1282" s="5">
        <v>0.74103703700000001</v>
      </c>
      <c r="E1282" s="1">
        <v>6.5</v>
      </c>
      <c r="F1282" s="5">
        <v>0.95541401273885351</v>
      </c>
      <c r="G1282" s="3">
        <f t="shared" si="98"/>
        <v>0.71692395944835841</v>
      </c>
      <c r="H1282" s="3">
        <f t="shared" si="99"/>
        <v>0.28557242737582328</v>
      </c>
      <c r="I1282" s="3">
        <f t="shared" ref="I1282:I1315" si="100">(H1282*1000)/L1282</f>
        <v>57.114485475164656</v>
      </c>
      <c r="J1282" s="5">
        <f t="shared" si="97"/>
        <v>9.0064665625380336</v>
      </c>
      <c r="K1282" s="5">
        <f t="shared" ref="K1282:K1315" si="101">(J1282*1000)/L1282</f>
        <v>1801.2933125076065</v>
      </c>
      <c r="L1282">
        <v>5</v>
      </c>
    </row>
    <row r="1283" spans="1:12" x14ac:dyDescent="0.3">
      <c r="A1283" t="s">
        <v>172</v>
      </c>
      <c r="B1283" t="s">
        <v>113</v>
      </c>
      <c r="C1283" s="5">
        <v>0.56023871300000005</v>
      </c>
      <c r="D1283" s="5">
        <v>0.74103703700000001</v>
      </c>
      <c r="E1283">
        <v>3</v>
      </c>
      <c r="F1283" s="5">
        <v>13.726114649681529</v>
      </c>
      <c r="G1283" s="3">
        <f t="shared" si="98"/>
        <v>147.97390181231836</v>
      </c>
      <c r="H1283" s="3">
        <f t="shared" si="99"/>
        <v>24.386087273871166</v>
      </c>
      <c r="I1283" s="3">
        <f t="shared" si="100"/>
        <v>4877.2174547742334</v>
      </c>
      <c r="J1283" s="5">
        <f t="shared" ref="J1283:J1315" si="102">8.9857 + 0.0035 * F1283^2 * E1283</f>
        <v>10.96396534545012</v>
      </c>
      <c r="K1283" s="5">
        <f t="shared" si="101"/>
        <v>2192.7930690900239</v>
      </c>
      <c r="L1283">
        <v>5</v>
      </c>
    </row>
    <row r="1284" spans="1:12" x14ac:dyDescent="0.3">
      <c r="A1284" t="s">
        <v>172</v>
      </c>
      <c r="B1284" t="s">
        <v>174</v>
      </c>
      <c r="C1284" s="5">
        <v>0.56572270000000002</v>
      </c>
      <c r="D1284" s="5">
        <v>0.61247410899999999</v>
      </c>
      <c r="E1284" s="1">
        <v>0.77</v>
      </c>
      <c r="F1284" s="5">
        <v>2.6751592356687897</v>
      </c>
      <c r="G1284" s="3">
        <f t="shared" ref="G1284:G1315" si="103">PI()*(F1284/2)^2</f>
        <v>5.6206838420751293</v>
      </c>
      <c r="H1284" s="3">
        <f t="shared" ref="H1284:H1315" si="104">0.0673 * ((D1284 * F1284^2 * E1284)^0.976)</f>
        <v>0.22060438171896973</v>
      </c>
      <c r="I1284" s="3">
        <f t="shared" si="100"/>
        <v>44.120876343793945</v>
      </c>
      <c r="J1284" s="5">
        <f t="shared" si="102"/>
        <v>9.0049867053430148</v>
      </c>
      <c r="K1284" s="5">
        <f t="shared" si="101"/>
        <v>1800.997341068603</v>
      </c>
      <c r="L1284">
        <v>5</v>
      </c>
    </row>
    <row r="1285" spans="1:12" x14ac:dyDescent="0.3">
      <c r="A1285" t="s">
        <v>172</v>
      </c>
      <c r="B1285" t="s">
        <v>114</v>
      </c>
      <c r="C1285" s="5">
        <v>0.432770245</v>
      </c>
      <c r="D1285" s="5">
        <v>0.61247410899999999</v>
      </c>
      <c r="E1285">
        <v>7</v>
      </c>
      <c r="F1285" s="5">
        <v>4.6178343949044587</v>
      </c>
      <c r="G1285" s="3">
        <f t="shared" si="103"/>
        <v>16.748140274890819</v>
      </c>
      <c r="H1285" s="3">
        <f t="shared" si="104"/>
        <v>5.5209275440164678</v>
      </c>
      <c r="I1285" s="3">
        <f t="shared" si="100"/>
        <v>1104.1855088032935</v>
      </c>
      <c r="J1285" s="5">
        <f t="shared" si="102"/>
        <v>9.5081476652196848</v>
      </c>
      <c r="K1285" s="5">
        <f t="shared" si="101"/>
        <v>1901.629533043937</v>
      </c>
      <c r="L1285">
        <v>5</v>
      </c>
    </row>
    <row r="1286" spans="1:12" x14ac:dyDescent="0.3">
      <c r="A1286" t="s">
        <v>172</v>
      </c>
      <c r="B1286" t="s">
        <v>41</v>
      </c>
      <c r="C1286" s="5">
        <v>1.1200000000000001</v>
      </c>
      <c r="D1286" s="5">
        <v>0.85527777800000004</v>
      </c>
      <c r="E1286" s="1">
        <v>2.9</v>
      </c>
      <c r="F1286" s="5">
        <v>2.1974522292993632</v>
      </c>
      <c r="G1286" s="3">
        <f t="shared" si="103"/>
        <v>3.7925277454818165</v>
      </c>
      <c r="H1286" s="3">
        <f t="shared" si="104"/>
        <v>0.75941448746507434</v>
      </c>
      <c r="I1286" s="3">
        <f t="shared" si="100"/>
        <v>151.88289749301487</v>
      </c>
      <c r="J1286" s="5">
        <f t="shared" si="102"/>
        <v>9.0347122824455344</v>
      </c>
      <c r="K1286" s="5">
        <f t="shared" si="101"/>
        <v>1806.9424564891069</v>
      </c>
      <c r="L1286">
        <v>5</v>
      </c>
    </row>
    <row r="1287" spans="1:12" x14ac:dyDescent="0.3">
      <c r="A1287" t="s">
        <v>172</v>
      </c>
      <c r="B1287" t="s">
        <v>42</v>
      </c>
      <c r="C1287" s="5">
        <v>0.40238543599999999</v>
      </c>
      <c r="D1287" s="5">
        <v>0.40883333300000002</v>
      </c>
      <c r="E1287">
        <v>11</v>
      </c>
      <c r="F1287" s="5">
        <v>17.866242038216559</v>
      </c>
      <c r="G1287" s="3">
        <f t="shared" si="103"/>
        <v>250.7011393794964</v>
      </c>
      <c r="H1287" s="3">
        <f t="shared" si="104"/>
        <v>81.143239733390544</v>
      </c>
      <c r="I1287" s="3">
        <f t="shared" si="100"/>
        <v>16228.647946678107</v>
      </c>
      <c r="J1287" s="5">
        <f t="shared" si="102"/>
        <v>21.275000275873261</v>
      </c>
      <c r="K1287" s="5">
        <f t="shared" si="101"/>
        <v>4255.0000551746516</v>
      </c>
      <c r="L1287">
        <v>5</v>
      </c>
    </row>
    <row r="1288" spans="1:12" x14ac:dyDescent="0.3">
      <c r="A1288" t="s">
        <v>172</v>
      </c>
      <c r="B1288" t="s">
        <v>18</v>
      </c>
      <c r="C1288" s="5">
        <v>0.76500000000000001</v>
      </c>
      <c r="D1288" s="5">
        <v>0.61247410899999999</v>
      </c>
      <c r="E1288">
        <v>8</v>
      </c>
      <c r="F1288" s="5">
        <v>6.8471337579617835</v>
      </c>
      <c r="G1288" s="3">
        <f t="shared" si="103"/>
        <v>36.822011139444854</v>
      </c>
      <c r="H1288" s="3">
        <f t="shared" si="104"/>
        <v>13.568808749647841</v>
      </c>
      <c r="I1288" s="3">
        <f t="shared" si="100"/>
        <v>2713.7617499295684</v>
      </c>
      <c r="J1288" s="5">
        <f t="shared" si="102"/>
        <v>10.298430739583756</v>
      </c>
      <c r="K1288" s="5">
        <f t="shared" si="101"/>
        <v>2059.686147916751</v>
      </c>
      <c r="L1288">
        <v>5</v>
      </c>
    </row>
    <row r="1289" spans="1:12" x14ac:dyDescent="0.3">
      <c r="A1289" t="s">
        <v>175</v>
      </c>
      <c r="B1289" t="s">
        <v>70</v>
      </c>
      <c r="C1289" s="5">
        <v>0.86</v>
      </c>
      <c r="D1289" s="5">
        <v>0.65666666699999998</v>
      </c>
      <c r="E1289">
        <v>6</v>
      </c>
      <c r="F1289" s="2">
        <v>6.3694267515923562</v>
      </c>
      <c r="G1289" s="3">
        <f t="shared" si="103"/>
        <v>31.863287086593701</v>
      </c>
      <c r="H1289" s="3">
        <f t="shared" si="104"/>
        <v>9.524084840388932</v>
      </c>
      <c r="I1289" s="3">
        <f t="shared" si="100"/>
        <v>1904.8169680777864</v>
      </c>
      <c r="J1289" s="5">
        <f t="shared" si="102"/>
        <v>9.837661540021907</v>
      </c>
      <c r="K1289" s="5">
        <f t="shared" si="101"/>
        <v>1967.5323080043813</v>
      </c>
      <c r="L1289">
        <v>5</v>
      </c>
    </row>
    <row r="1290" spans="1:12" x14ac:dyDescent="0.3">
      <c r="A1290" t="s">
        <v>175</v>
      </c>
      <c r="B1290" t="s">
        <v>148</v>
      </c>
      <c r="C1290" s="5">
        <v>0.57550000000000001</v>
      </c>
      <c r="D1290" s="5">
        <v>0.57550000000000001</v>
      </c>
      <c r="E1290">
        <v>4</v>
      </c>
      <c r="F1290" s="2">
        <v>1.4331210191082802</v>
      </c>
      <c r="G1290" s="3">
        <f t="shared" si="103"/>
        <v>1.6130789087588062</v>
      </c>
      <c r="H1290" s="3">
        <f t="shared" si="104"/>
        <v>0.30654483969036017</v>
      </c>
      <c r="I1290" s="3">
        <f t="shared" si="100"/>
        <v>61.30896793807203</v>
      </c>
      <c r="J1290" s="5">
        <f t="shared" si="102"/>
        <v>9.0144537019757394</v>
      </c>
      <c r="K1290" s="5">
        <f t="shared" si="101"/>
        <v>1802.8907403951478</v>
      </c>
      <c r="L1290">
        <v>5</v>
      </c>
    </row>
    <row r="1291" spans="1:12" x14ac:dyDescent="0.3">
      <c r="A1291" t="s">
        <v>175</v>
      </c>
      <c r="B1291" t="s">
        <v>55</v>
      </c>
      <c r="C1291" s="5">
        <v>0.41</v>
      </c>
      <c r="D1291" s="5">
        <v>0.33983503399999998</v>
      </c>
      <c r="E1291">
        <v>7</v>
      </c>
      <c r="F1291" s="2">
        <v>7.8025477707006363</v>
      </c>
      <c r="G1291" s="3">
        <f t="shared" si="103"/>
        <v>47.814845184319672</v>
      </c>
      <c r="H1291" s="3">
        <f t="shared" si="104"/>
        <v>8.649559452367015</v>
      </c>
      <c r="I1291" s="3">
        <f t="shared" si="100"/>
        <v>1729.911890473403</v>
      </c>
      <c r="J1291" s="5">
        <f t="shared" si="102"/>
        <v>10.477253916994604</v>
      </c>
      <c r="K1291" s="5">
        <f t="shared" si="101"/>
        <v>2095.4507833989205</v>
      </c>
      <c r="L1291">
        <v>5</v>
      </c>
    </row>
    <row r="1292" spans="1:12" x14ac:dyDescent="0.3">
      <c r="A1292" t="s">
        <v>175</v>
      </c>
      <c r="B1292" t="s">
        <v>55</v>
      </c>
      <c r="C1292" s="5">
        <v>0.41</v>
      </c>
      <c r="D1292" s="5">
        <v>0.33983503399999998</v>
      </c>
      <c r="E1292">
        <v>6</v>
      </c>
      <c r="F1292" s="2">
        <v>4.4585987261146496</v>
      </c>
      <c r="G1292" s="3">
        <f t="shared" si="103"/>
        <v>15.613010672430914</v>
      </c>
      <c r="H1292" s="3">
        <f t="shared" si="104"/>
        <v>2.4959946516170342</v>
      </c>
      <c r="I1292" s="3">
        <f t="shared" si="100"/>
        <v>499.1989303234069</v>
      </c>
      <c r="J1292" s="5">
        <f t="shared" si="102"/>
        <v>9.4031611546107339</v>
      </c>
      <c r="K1292" s="5">
        <f t="shared" si="101"/>
        <v>1880.6322309221468</v>
      </c>
      <c r="L1292">
        <v>5</v>
      </c>
    </row>
    <row r="1293" spans="1:12" x14ac:dyDescent="0.3">
      <c r="A1293" t="s">
        <v>175</v>
      </c>
      <c r="B1293" t="s">
        <v>64</v>
      </c>
      <c r="C1293" s="5">
        <v>0.31264018999999998</v>
      </c>
      <c r="D1293" s="5">
        <v>0.356821212</v>
      </c>
      <c r="E1293" s="1">
        <v>4.5</v>
      </c>
      <c r="F1293" s="2">
        <v>3.8216560509554141</v>
      </c>
      <c r="G1293" s="3">
        <f t="shared" si="103"/>
        <v>11.470783351173734</v>
      </c>
      <c r="H1293" s="3">
        <f t="shared" si="104"/>
        <v>1.4631789515860378</v>
      </c>
      <c r="I1293" s="3">
        <f t="shared" si="100"/>
        <v>292.63579031720758</v>
      </c>
      <c r="J1293" s="5">
        <f t="shared" si="102"/>
        <v>9.2157296158059143</v>
      </c>
      <c r="K1293" s="5">
        <f t="shared" si="101"/>
        <v>1843.145923161183</v>
      </c>
      <c r="L1293">
        <v>5</v>
      </c>
    </row>
    <row r="1294" spans="1:12" x14ac:dyDescent="0.3">
      <c r="A1294" t="s">
        <v>175</v>
      </c>
      <c r="B1294" t="s">
        <v>65</v>
      </c>
      <c r="C1294" s="5">
        <v>0.55560299999999996</v>
      </c>
      <c r="D1294" s="5">
        <v>0.55961111100000005</v>
      </c>
      <c r="E1294">
        <v>4</v>
      </c>
      <c r="F1294" s="2">
        <v>3.0254777070063694</v>
      </c>
      <c r="G1294" s="3">
        <f t="shared" si="103"/>
        <v>7.1891541489127055</v>
      </c>
      <c r="H1294" s="3">
        <f t="shared" si="104"/>
        <v>1.282544601902972</v>
      </c>
      <c r="I1294" s="3">
        <f t="shared" si="100"/>
        <v>256.50892038059442</v>
      </c>
      <c r="J1294" s="5">
        <f t="shared" si="102"/>
        <v>9.1138492149782948</v>
      </c>
      <c r="K1294" s="5">
        <f t="shared" si="101"/>
        <v>1822.7698429956588</v>
      </c>
      <c r="L1294">
        <v>5</v>
      </c>
    </row>
    <row r="1295" spans="1:12" x14ac:dyDescent="0.3">
      <c r="A1295" t="s">
        <v>175</v>
      </c>
      <c r="B1295" t="s">
        <v>52</v>
      </c>
      <c r="C1295" s="5">
        <v>0.61</v>
      </c>
      <c r="D1295" s="5">
        <v>0.84088888900000003</v>
      </c>
      <c r="E1295">
        <v>7</v>
      </c>
      <c r="F1295" s="2">
        <v>54.140127388535028</v>
      </c>
      <c r="G1295" s="3">
        <f t="shared" si="103"/>
        <v>2302.1224920063951</v>
      </c>
      <c r="H1295" s="3">
        <f t="shared" si="104"/>
        <v>918.76672942652704</v>
      </c>
      <c r="I1295" s="3">
        <f t="shared" si="100"/>
        <v>183753.3458853054</v>
      </c>
      <c r="J1295" s="5">
        <f t="shared" si="102"/>
        <v>80.798958144346614</v>
      </c>
      <c r="K1295" s="5">
        <f t="shared" si="101"/>
        <v>16159.791628869323</v>
      </c>
      <c r="L1295">
        <v>5</v>
      </c>
    </row>
    <row r="1296" spans="1:12" x14ac:dyDescent="0.3">
      <c r="A1296" t="s">
        <v>175</v>
      </c>
      <c r="B1296" t="s">
        <v>130</v>
      </c>
      <c r="C1296" s="5">
        <v>0.84088890000000005</v>
      </c>
      <c r="D1296" s="5">
        <v>0.84088888900000003</v>
      </c>
      <c r="E1296">
        <v>10</v>
      </c>
      <c r="F1296" s="2">
        <v>22.770700636942674</v>
      </c>
      <c r="G1296" s="3">
        <f t="shared" si="103"/>
        <v>407.23272352109666</v>
      </c>
      <c r="H1296" s="3">
        <f t="shared" si="104"/>
        <v>239.9709506930632</v>
      </c>
      <c r="I1296" s="3">
        <f t="shared" si="100"/>
        <v>47994.190138612641</v>
      </c>
      <c r="J1296" s="5">
        <f t="shared" si="102"/>
        <v>27.133368262404154</v>
      </c>
      <c r="K1296" s="5">
        <f t="shared" si="101"/>
        <v>5426.6736524808312</v>
      </c>
      <c r="L1296">
        <v>5</v>
      </c>
    </row>
    <row r="1297" spans="1:12" x14ac:dyDescent="0.3">
      <c r="A1297" t="s">
        <v>175</v>
      </c>
      <c r="B1297" t="s">
        <v>130</v>
      </c>
      <c r="C1297" s="5">
        <v>0.84088890000000005</v>
      </c>
      <c r="D1297" s="5">
        <v>0.84088888900000003</v>
      </c>
      <c r="E1297">
        <v>9</v>
      </c>
      <c r="F1297" s="2">
        <v>17.515923566878982</v>
      </c>
      <c r="G1297" s="3">
        <f t="shared" si="103"/>
        <v>240.96610859236495</v>
      </c>
      <c r="H1297" s="3">
        <f t="shared" si="104"/>
        <v>129.74240305742865</v>
      </c>
      <c r="I1297" s="3">
        <f t="shared" si="100"/>
        <v>25948.480611485727</v>
      </c>
      <c r="J1297" s="5">
        <f t="shared" si="102"/>
        <v>18.650138719623513</v>
      </c>
      <c r="K1297" s="5">
        <f t="shared" si="101"/>
        <v>3730.0277439247025</v>
      </c>
      <c r="L1297">
        <v>5</v>
      </c>
    </row>
    <row r="1298" spans="1:12" x14ac:dyDescent="0.3">
      <c r="A1298" t="s">
        <v>175</v>
      </c>
      <c r="B1298" t="s">
        <v>42</v>
      </c>
      <c r="C1298" s="5">
        <v>0.40238543599999999</v>
      </c>
      <c r="D1298" s="5">
        <v>0.40883333300000002</v>
      </c>
      <c r="E1298">
        <v>8</v>
      </c>
      <c r="F1298" s="2">
        <v>14.171974522292993</v>
      </c>
      <c r="G1298" s="3">
        <f t="shared" si="103"/>
        <v>157.74318563306795</v>
      </c>
      <c r="H1298" s="3">
        <f t="shared" si="104"/>
        <v>37.834861303535497</v>
      </c>
      <c r="I1298" s="3">
        <f t="shared" si="100"/>
        <v>7566.9722607070989</v>
      </c>
      <c r="J1298" s="5">
        <f t="shared" si="102"/>
        <v>14.609356132094607</v>
      </c>
      <c r="K1298" s="5">
        <f t="shared" si="101"/>
        <v>2921.8712264189212</v>
      </c>
      <c r="L1298">
        <v>5</v>
      </c>
    </row>
    <row r="1299" spans="1:12" x14ac:dyDescent="0.3">
      <c r="A1299" t="s">
        <v>175</v>
      </c>
      <c r="B1299" t="s">
        <v>44</v>
      </c>
      <c r="C1299" s="5">
        <v>0.57917600000000002</v>
      </c>
      <c r="D1299" s="5">
        <v>0.60285714300000004</v>
      </c>
      <c r="E1299">
        <v>10</v>
      </c>
      <c r="F1299" s="2">
        <v>60.35031847133758</v>
      </c>
      <c r="G1299" s="3">
        <f t="shared" si="103"/>
        <v>2860.5465127533794</v>
      </c>
      <c r="H1299" s="3">
        <f t="shared" si="104"/>
        <v>1162.4943283170128</v>
      </c>
      <c r="I1299" s="3">
        <f t="shared" si="100"/>
        <v>232498.86566340257</v>
      </c>
      <c r="J1299" s="5">
        <f t="shared" si="102"/>
        <v>136.46133288571545</v>
      </c>
      <c r="K1299" s="5">
        <f t="shared" si="101"/>
        <v>27292.266577143087</v>
      </c>
      <c r="L1299">
        <v>5</v>
      </c>
    </row>
    <row r="1300" spans="1:12" x14ac:dyDescent="0.3">
      <c r="A1300" t="s">
        <v>175</v>
      </c>
      <c r="B1300" t="s">
        <v>144</v>
      </c>
      <c r="C1300" s="5">
        <v>0.41185709999999998</v>
      </c>
      <c r="D1300" s="5">
        <v>0.41185714299999998</v>
      </c>
      <c r="E1300" s="1">
        <v>3.5</v>
      </c>
      <c r="F1300" s="2">
        <v>5.7324840764331206</v>
      </c>
      <c r="G1300" s="3">
        <f t="shared" si="103"/>
        <v>25.809262540140899</v>
      </c>
      <c r="H1300" s="3">
        <f t="shared" si="104"/>
        <v>2.9060522364301917</v>
      </c>
      <c r="I1300" s="3">
        <f t="shared" si="100"/>
        <v>581.2104472860384</v>
      </c>
      <c r="J1300" s="5">
        <f t="shared" si="102"/>
        <v>9.3882518276603513</v>
      </c>
      <c r="K1300" s="5">
        <f t="shared" si="101"/>
        <v>1877.6503655320703</v>
      </c>
      <c r="L1300">
        <v>5</v>
      </c>
    </row>
    <row r="1301" spans="1:12" x14ac:dyDescent="0.3">
      <c r="A1301" t="s">
        <v>176</v>
      </c>
      <c r="B1301" t="s">
        <v>148</v>
      </c>
      <c r="C1301" s="5">
        <v>0.57550000000000001</v>
      </c>
      <c r="D1301" s="5">
        <v>0.57550000000000001</v>
      </c>
      <c r="E1301" s="1">
        <v>2.6</v>
      </c>
      <c r="F1301" s="2">
        <v>3.6624203821656049</v>
      </c>
      <c r="G1301" s="3">
        <f t="shared" si="103"/>
        <v>10.534799293005044</v>
      </c>
      <c r="H1301" s="3">
        <f t="shared" si="104"/>
        <v>1.2569233761223622</v>
      </c>
      <c r="I1301" s="3">
        <f t="shared" si="100"/>
        <v>251.38467522447246</v>
      </c>
      <c r="J1301" s="5">
        <f t="shared" si="102"/>
        <v>9.107761239806889</v>
      </c>
      <c r="K1301" s="5">
        <f t="shared" si="101"/>
        <v>1821.5522479613778</v>
      </c>
      <c r="L1301">
        <v>5</v>
      </c>
    </row>
    <row r="1302" spans="1:12" x14ac:dyDescent="0.3">
      <c r="A1302" t="s">
        <v>176</v>
      </c>
      <c r="B1302" t="s">
        <v>55</v>
      </c>
      <c r="C1302" s="5">
        <v>0.41</v>
      </c>
      <c r="D1302" s="5">
        <v>0.33983503399999998</v>
      </c>
      <c r="E1302" s="1">
        <v>9.5</v>
      </c>
      <c r="F1302" s="2">
        <v>5.5732484076433115</v>
      </c>
      <c r="G1302" s="3">
        <f t="shared" si="103"/>
        <v>24.395329175673304</v>
      </c>
      <c r="H1302" s="3">
        <f t="shared" si="104"/>
        <v>6.0421932890731549</v>
      </c>
      <c r="I1302" s="3">
        <f t="shared" si="100"/>
        <v>1208.4386578146309</v>
      </c>
      <c r="J1302" s="5">
        <f t="shared" si="102"/>
        <v>10.018481502292182</v>
      </c>
      <c r="K1302" s="5">
        <f t="shared" si="101"/>
        <v>2003.6963004584366</v>
      </c>
      <c r="L1302">
        <v>5</v>
      </c>
    </row>
    <row r="1303" spans="1:12" x14ac:dyDescent="0.3">
      <c r="A1303" t="s">
        <v>176</v>
      </c>
      <c r="B1303" t="s">
        <v>157</v>
      </c>
      <c r="C1303" s="5">
        <v>0.52800000000000002</v>
      </c>
      <c r="D1303" s="5">
        <v>0.51040266700000003</v>
      </c>
      <c r="E1303">
        <v>10</v>
      </c>
      <c r="F1303" s="2">
        <v>26.624203821656049</v>
      </c>
      <c r="G1303" s="3">
        <f t="shared" si="103"/>
        <v>556.72809729179983</v>
      </c>
      <c r="H1303" s="3">
        <f t="shared" si="104"/>
        <v>200.02213997003778</v>
      </c>
      <c r="I1303" s="3">
        <f t="shared" si="100"/>
        <v>40004.427994007558</v>
      </c>
      <c r="J1303" s="5">
        <f t="shared" si="102"/>
        <v>33.795388019797961</v>
      </c>
      <c r="K1303" s="5">
        <f t="shared" si="101"/>
        <v>6759.0776039595921</v>
      </c>
      <c r="L1303">
        <v>5</v>
      </c>
    </row>
    <row r="1304" spans="1:12" x14ac:dyDescent="0.3">
      <c r="A1304" t="s">
        <v>176</v>
      </c>
      <c r="B1304" t="s">
        <v>65</v>
      </c>
      <c r="C1304" s="5">
        <v>0.55560299999999996</v>
      </c>
      <c r="D1304" s="5">
        <v>0.55961111100000005</v>
      </c>
      <c r="E1304">
        <v>7</v>
      </c>
      <c r="F1304" s="2">
        <v>7.484076433121019</v>
      </c>
      <c r="G1304" s="3">
        <f t="shared" si="103"/>
        <v>43.991250733928432</v>
      </c>
      <c r="H1304" s="3">
        <f t="shared" si="104"/>
        <v>12.974349786474242</v>
      </c>
      <c r="I1304" s="3">
        <f t="shared" si="100"/>
        <v>2594.8699572948485</v>
      </c>
      <c r="J1304" s="5">
        <f t="shared" si="102"/>
        <v>10.357979301391538</v>
      </c>
      <c r="K1304" s="5">
        <f t="shared" si="101"/>
        <v>2071.5958602783076</v>
      </c>
      <c r="L1304">
        <v>5</v>
      </c>
    </row>
    <row r="1305" spans="1:12" x14ac:dyDescent="0.3">
      <c r="A1305" t="s">
        <v>176</v>
      </c>
      <c r="B1305" t="s">
        <v>65</v>
      </c>
      <c r="C1305" s="5">
        <v>0.55560299999999996</v>
      </c>
      <c r="D1305" s="5">
        <v>0.55961111100000005</v>
      </c>
      <c r="E1305" s="1">
        <v>7.5</v>
      </c>
      <c r="F1305" s="2">
        <v>18.789808917197451</v>
      </c>
      <c r="G1305" s="3">
        <f t="shared" si="103"/>
        <v>277.29025587108168</v>
      </c>
      <c r="H1305" s="3">
        <f t="shared" si="104"/>
        <v>83.696706343855766</v>
      </c>
      <c r="I1305" s="3">
        <f t="shared" si="100"/>
        <v>16739.341268771153</v>
      </c>
      <c r="J1305" s="5">
        <f t="shared" si="102"/>
        <v>18.253444127550814</v>
      </c>
      <c r="K1305" s="5">
        <f t="shared" si="101"/>
        <v>3650.688825510163</v>
      </c>
      <c r="L1305">
        <v>5</v>
      </c>
    </row>
    <row r="1306" spans="1:12" x14ac:dyDescent="0.3">
      <c r="A1306" t="s">
        <v>176</v>
      </c>
      <c r="B1306" t="s">
        <v>51</v>
      </c>
      <c r="C1306" s="5">
        <v>0.39984676499999999</v>
      </c>
      <c r="D1306" s="5">
        <v>0.450333333</v>
      </c>
      <c r="E1306" s="1">
        <v>4.5</v>
      </c>
      <c r="F1306" s="2">
        <v>13.057324840764331</v>
      </c>
      <c r="G1306" s="3">
        <f t="shared" si="103"/>
        <v>133.90546398141004</v>
      </c>
      <c r="H1306" s="3">
        <f t="shared" si="104"/>
        <v>20.209109109672049</v>
      </c>
      <c r="I1306" s="3">
        <f t="shared" si="100"/>
        <v>4041.8218219344099</v>
      </c>
      <c r="J1306" s="5">
        <f t="shared" si="102"/>
        <v>11.670976278956548</v>
      </c>
      <c r="K1306" s="5">
        <f t="shared" si="101"/>
        <v>2334.1952557913096</v>
      </c>
      <c r="L1306">
        <v>5</v>
      </c>
    </row>
    <row r="1307" spans="1:12" x14ac:dyDescent="0.3">
      <c r="A1307" t="s">
        <v>176</v>
      </c>
      <c r="B1307" t="s">
        <v>73</v>
      </c>
      <c r="C1307" s="5">
        <v>0.43538739399999998</v>
      </c>
      <c r="D1307" s="5">
        <v>0.568333333</v>
      </c>
      <c r="E1307" s="1">
        <v>6.5</v>
      </c>
      <c r="F1307" s="2">
        <v>9.5541401273885338</v>
      </c>
      <c r="G1307" s="3">
        <f t="shared" si="103"/>
        <v>71.692395944835823</v>
      </c>
      <c r="H1307" s="3">
        <f t="shared" si="104"/>
        <v>19.735365308796691</v>
      </c>
      <c r="I1307" s="3">
        <f t="shared" si="100"/>
        <v>3947.0730617593385</v>
      </c>
      <c r="J1307" s="5">
        <f t="shared" si="102"/>
        <v>11.062356253803399</v>
      </c>
      <c r="K1307" s="5">
        <f t="shared" si="101"/>
        <v>2212.4712507606796</v>
      </c>
      <c r="L1307">
        <v>5</v>
      </c>
    </row>
    <row r="1308" spans="1:12" x14ac:dyDescent="0.3">
      <c r="A1308" t="s">
        <v>176</v>
      </c>
      <c r="B1308" t="s">
        <v>26</v>
      </c>
      <c r="C1308" s="5">
        <v>0.63400000000000001</v>
      </c>
      <c r="D1308" s="5">
        <v>0.73247777800000002</v>
      </c>
      <c r="E1308">
        <v>8</v>
      </c>
      <c r="F1308" s="2">
        <v>16.401273885350317</v>
      </c>
      <c r="G1308" s="3">
        <f t="shared" si="103"/>
        <v>211.27350793854535</v>
      </c>
      <c r="H1308" s="3">
        <f t="shared" si="104"/>
        <v>88.901955983393961</v>
      </c>
      <c r="I1308" s="3">
        <f t="shared" si="100"/>
        <v>17780.391196678793</v>
      </c>
      <c r="J1308" s="5">
        <f t="shared" si="102"/>
        <v>16.51774998174368</v>
      </c>
      <c r="K1308" s="5">
        <f t="shared" si="101"/>
        <v>3303.5499963487359</v>
      </c>
      <c r="L1308">
        <v>5</v>
      </c>
    </row>
    <row r="1309" spans="1:12" x14ac:dyDescent="0.3">
      <c r="A1309" t="s">
        <v>176</v>
      </c>
      <c r="B1309" t="s">
        <v>52</v>
      </c>
      <c r="C1309" s="5">
        <v>0.61</v>
      </c>
      <c r="D1309" s="5">
        <v>0.84088888900000003</v>
      </c>
      <c r="E1309">
        <v>5</v>
      </c>
      <c r="F1309" s="2">
        <v>35.031847133757964</v>
      </c>
      <c r="G1309" s="3">
        <f t="shared" si="103"/>
        <v>963.86443436945979</v>
      </c>
      <c r="H1309" s="3">
        <f t="shared" si="104"/>
        <v>282.84370932589047</v>
      </c>
      <c r="I1309" s="3">
        <f t="shared" si="100"/>
        <v>56568.74186517809</v>
      </c>
      <c r="J1309" s="5">
        <f t="shared" si="102"/>
        <v>30.462230488052256</v>
      </c>
      <c r="K1309" s="5">
        <f t="shared" si="101"/>
        <v>6092.446097610451</v>
      </c>
      <c r="L1309">
        <v>5</v>
      </c>
    </row>
    <row r="1310" spans="1:12" x14ac:dyDescent="0.3">
      <c r="A1310" t="s">
        <v>176</v>
      </c>
      <c r="B1310" t="s">
        <v>170</v>
      </c>
      <c r="C1310" s="5">
        <v>0.78713326400000005</v>
      </c>
      <c r="D1310" s="5">
        <v>0.8155</v>
      </c>
      <c r="E1310" s="1">
        <v>4.5</v>
      </c>
      <c r="F1310" s="2">
        <v>2.6114649681528661</v>
      </c>
      <c r="G1310" s="3">
        <f t="shared" si="103"/>
        <v>5.3562185592564013</v>
      </c>
      <c r="H1310" s="3">
        <f t="shared" si="104"/>
        <v>1.5590435063461465</v>
      </c>
      <c r="I1310" s="3">
        <f t="shared" si="100"/>
        <v>311.80870126922935</v>
      </c>
      <c r="J1310" s="5">
        <f t="shared" si="102"/>
        <v>9.093111051158262</v>
      </c>
      <c r="K1310" s="5">
        <f t="shared" si="101"/>
        <v>1818.6222102316526</v>
      </c>
      <c r="L1310">
        <v>5</v>
      </c>
    </row>
    <row r="1311" spans="1:12" x14ac:dyDescent="0.3">
      <c r="A1311" t="s">
        <v>176</v>
      </c>
      <c r="B1311" t="s">
        <v>170</v>
      </c>
      <c r="C1311" s="5">
        <v>0.78713326400000005</v>
      </c>
      <c r="D1311" s="5">
        <v>0.8155</v>
      </c>
      <c r="E1311" s="1">
        <v>3.5</v>
      </c>
      <c r="F1311" s="2">
        <v>3.0254777070063694</v>
      </c>
      <c r="G1311" s="3">
        <f t="shared" si="103"/>
        <v>7.1891541489127055</v>
      </c>
      <c r="H1311" s="3">
        <f t="shared" si="104"/>
        <v>1.625867201670252</v>
      </c>
      <c r="I1311" s="3">
        <f t="shared" si="100"/>
        <v>325.17344033405038</v>
      </c>
      <c r="J1311" s="5">
        <f t="shared" si="102"/>
        <v>9.0978305631060081</v>
      </c>
      <c r="K1311" s="5">
        <f t="shared" si="101"/>
        <v>1819.5661126212017</v>
      </c>
      <c r="L1311">
        <v>5</v>
      </c>
    </row>
    <row r="1312" spans="1:12" x14ac:dyDescent="0.3">
      <c r="A1312" t="s">
        <v>176</v>
      </c>
      <c r="B1312" t="s">
        <v>113</v>
      </c>
      <c r="C1312" s="5">
        <v>0.56023871300000005</v>
      </c>
      <c r="D1312" s="5">
        <v>0.74103703700000001</v>
      </c>
      <c r="E1312" s="1">
        <v>2.7</v>
      </c>
      <c r="F1312" s="2">
        <v>2.3885350318471334</v>
      </c>
      <c r="G1312" s="3">
        <f t="shared" si="103"/>
        <v>4.480774746552239</v>
      </c>
      <c r="H1312" s="3">
        <f t="shared" si="104"/>
        <v>0.72460740469812723</v>
      </c>
      <c r="I1312" s="3">
        <f t="shared" si="100"/>
        <v>144.92148093962544</v>
      </c>
      <c r="J1312" s="5">
        <f t="shared" si="102"/>
        <v>9.039613191204511</v>
      </c>
      <c r="K1312" s="5">
        <f t="shared" si="101"/>
        <v>1807.9226382409022</v>
      </c>
      <c r="L1312">
        <v>5</v>
      </c>
    </row>
    <row r="1313" spans="1:12" x14ac:dyDescent="0.3">
      <c r="A1313" t="s">
        <v>176</v>
      </c>
      <c r="B1313" t="s">
        <v>41</v>
      </c>
      <c r="C1313" s="5">
        <v>1.1200000000000001</v>
      </c>
      <c r="D1313" s="5">
        <v>0.85527777800000004</v>
      </c>
      <c r="E1313" s="1">
        <v>2.2000000000000002</v>
      </c>
      <c r="F1313" s="2">
        <v>2.0700636942675157</v>
      </c>
      <c r="G1313" s="3">
        <f t="shared" si="103"/>
        <v>3.3655596985214595</v>
      </c>
      <c r="H1313" s="3">
        <f t="shared" si="104"/>
        <v>0.51612680602676175</v>
      </c>
      <c r="I1313" s="3">
        <f t="shared" si="100"/>
        <v>103.22536120535236</v>
      </c>
      <c r="J1313" s="5">
        <f t="shared" si="102"/>
        <v>9.0186957604770974</v>
      </c>
      <c r="K1313" s="5">
        <f t="shared" si="101"/>
        <v>1803.7391520954195</v>
      </c>
      <c r="L1313">
        <v>5</v>
      </c>
    </row>
    <row r="1314" spans="1:12" x14ac:dyDescent="0.3">
      <c r="A1314" t="s">
        <v>176</v>
      </c>
      <c r="B1314" t="s">
        <v>17</v>
      </c>
      <c r="C1314" s="5">
        <v>0.43836446099999998</v>
      </c>
      <c r="D1314" s="5">
        <v>0.58666666700000003</v>
      </c>
      <c r="E1314" s="1">
        <v>5.5</v>
      </c>
      <c r="F1314" s="2">
        <v>9.4585987261146496</v>
      </c>
      <c r="G1314" s="3">
        <f t="shared" si="103"/>
        <v>70.26571726553361</v>
      </c>
      <c r="H1314" s="3">
        <f t="shared" si="104"/>
        <v>16.957935716296792</v>
      </c>
      <c r="I1314" s="3">
        <f t="shared" si="100"/>
        <v>3391.5871432593581</v>
      </c>
      <c r="J1314" s="5">
        <f t="shared" si="102"/>
        <v>10.707902979836909</v>
      </c>
      <c r="K1314" s="5">
        <f t="shared" si="101"/>
        <v>2141.5805959673817</v>
      </c>
      <c r="L1314">
        <v>5</v>
      </c>
    </row>
    <row r="1315" spans="1:12" x14ac:dyDescent="0.3">
      <c r="A1315" t="s">
        <v>176</v>
      </c>
      <c r="B1315" t="s">
        <v>42</v>
      </c>
      <c r="C1315" s="5">
        <v>0.40238543599999999</v>
      </c>
      <c r="D1315" s="5">
        <v>0.40883333300000002</v>
      </c>
      <c r="E1315">
        <v>7</v>
      </c>
      <c r="F1315" s="2">
        <v>15.38216560509554</v>
      </c>
      <c r="G1315" s="3">
        <f t="shared" si="103"/>
        <v>185.83385952860897</v>
      </c>
      <c r="H1315" s="3">
        <f t="shared" si="104"/>
        <v>38.972481879759755</v>
      </c>
      <c r="I1315" s="3">
        <f t="shared" si="100"/>
        <v>7794.4963759519505</v>
      </c>
      <c r="J1315" s="5">
        <f t="shared" si="102"/>
        <v>14.782669958213315</v>
      </c>
      <c r="K1315" s="5">
        <f t="shared" si="101"/>
        <v>2956.5339916426628</v>
      </c>
      <c r="L1315">
        <v>5</v>
      </c>
    </row>
  </sheetData>
  <autoFilter ref="A1:L1315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0"/>
  <sheetViews>
    <sheetView tabSelected="1" workbookViewId="0">
      <selection activeCell="B4" sqref="B4"/>
    </sheetView>
  </sheetViews>
  <sheetFormatPr defaultRowHeight="14.4" x14ac:dyDescent="0.3"/>
  <cols>
    <col min="1" max="1" width="26.109375" bestFit="1" customWidth="1"/>
    <col min="2" max="2" width="22.6640625" bestFit="1" customWidth="1"/>
  </cols>
  <sheetData>
    <row r="3" spans="1:2" x14ac:dyDescent="0.3">
      <c r="A3" s="11" t="s">
        <v>182</v>
      </c>
      <c r="B3" t="s">
        <v>184</v>
      </c>
    </row>
    <row r="4" spans="1:2" x14ac:dyDescent="0.3">
      <c r="A4" s="13" t="s">
        <v>64</v>
      </c>
      <c r="B4" s="12">
        <v>0.15945195523428177</v>
      </c>
    </row>
    <row r="5" spans="1:2" x14ac:dyDescent="0.3">
      <c r="A5" s="13" t="s">
        <v>117</v>
      </c>
      <c r="B5" s="12">
        <v>0.24961720185908834</v>
      </c>
    </row>
    <row r="6" spans="1:2" x14ac:dyDescent="0.3">
      <c r="A6" s="13" t="s">
        <v>61</v>
      </c>
      <c r="B6" s="12">
        <v>0.32871991385288585</v>
      </c>
    </row>
    <row r="7" spans="1:2" x14ac:dyDescent="0.3">
      <c r="A7" s="13" t="s">
        <v>114</v>
      </c>
      <c r="B7" s="12">
        <v>0.40632548779638905</v>
      </c>
    </row>
    <row r="8" spans="1:2" x14ac:dyDescent="0.3">
      <c r="A8" s="13" t="s">
        <v>9</v>
      </c>
      <c r="B8" s="12">
        <v>0.45980878130641722</v>
      </c>
    </row>
    <row r="9" spans="1:2" x14ac:dyDescent="0.3">
      <c r="A9" s="13" t="s">
        <v>17</v>
      </c>
      <c r="B9" s="12">
        <v>0.51071197522960332</v>
      </c>
    </row>
    <row r="10" spans="1:2" x14ac:dyDescent="0.3">
      <c r="A10" s="13" t="s">
        <v>34</v>
      </c>
      <c r="B10" s="12">
        <v>0.55848283421428546</v>
      </c>
    </row>
    <row r="11" spans="1:2" x14ac:dyDescent="0.3">
      <c r="A11" s="13" t="s">
        <v>44</v>
      </c>
      <c r="B11" s="12">
        <v>0.60489311334704621</v>
      </c>
    </row>
    <row r="12" spans="1:2" x14ac:dyDescent="0.3">
      <c r="A12" s="13" t="s">
        <v>22</v>
      </c>
      <c r="B12" s="12">
        <v>0.649314044659553</v>
      </c>
    </row>
    <row r="13" spans="1:2" x14ac:dyDescent="0.3">
      <c r="A13" s="13" t="s">
        <v>80</v>
      </c>
      <c r="B13" s="12">
        <v>0.69299165918531158</v>
      </c>
    </row>
    <row r="14" spans="1:2" x14ac:dyDescent="0.3">
      <c r="A14" s="13" t="s">
        <v>89</v>
      </c>
      <c r="B14" s="12">
        <v>0.73366199206777949</v>
      </c>
    </row>
    <row r="15" spans="1:2" x14ac:dyDescent="0.3">
      <c r="A15" s="13" t="s">
        <v>21</v>
      </c>
      <c r="B15" s="12">
        <v>0.76897954370193489</v>
      </c>
    </row>
    <row r="16" spans="1:2" x14ac:dyDescent="0.3">
      <c r="A16" s="13" t="s">
        <v>68</v>
      </c>
      <c r="B16" s="12">
        <v>0.80215318164295257</v>
      </c>
    </row>
    <row r="17" spans="1:2" x14ac:dyDescent="0.3">
      <c r="A17" s="13" t="s">
        <v>70</v>
      </c>
      <c r="B17" s="12">
        <v>0.82851291563438512</v>
      </c>
    </row>
    <row r="18" spans="1:2" x14ac:dyDescent="0.3">
      <c r="A18" s="13" t="s">
        <v>146</v>
      </c>
      <c r="B18" s="12">
        <v>0.85288830393737214</v>
      </c>
    </row>
    <row r="19" spans="1:2" x14ac:dyDescent="0.3">
      <c r="A19" s="13" t="s">
        <v>55</v>
      </c>
      <c r="B19" s="12">
        <v>0.87330500512708531</v>
      </c>
    </row>
    <row r="20" spans="1:2" x14ac:dyDescent="0.3">
      <c r="A20" s="13" t="s">
        <v>42</v>
      </c>
      <c r="B20" s="12">
        <v>0.89094252188397671</v>
      </c>
    </row>
    <row r="21" spans="1:2" x14ac:dyDescent="0.3">
      <c r="A21" s="13" t="s">
        <v>136</v>
      </c>
      <c r="B21" s="12">
        <v>0.90435023598357167</v>
      </c>
    </row>
    <row r="22" spans="1:2" x14ac:dyDescent="0.3">
      <c r="A22" s="10" t="s">
        <v>11</v>
      </c>
      <c r="B22" s="12">
        <v>0.91767391426878309</v>
      </c>
    </row>
    <row r="23" spans="1:2" x14ac:dyDescent="0.3">
      <c r="A23" s="10" t="s">
        <v>32</v>
      </c>
      <c r="B23" s="12">
        <v>0.9302467725695337</v>
      </c>
    </row>
    <row r="24" spans="1:2" x14ac:dyDescent="0.3">
      <c r="A24" s="10" t="s">
        <v>121</v>
      </c>
      <c r="B24" s="12">
        <v>0.94244096949237832</v>
      </c>
    </row>
    <row r="25" spans="1:2" x14ac:dyDescent="0.3">
      <c r="A25" s="10" t="s">
        <v>13</v>
      </c>
      <c r="B25" s="12">
        <v>0.94987413735986015</v>
      </c>
    </row>
    <row r="26" spans="1:2" x14ac:dyDescent="0.3">
      <c r="A26" s="10" t="s">
        <v>26</v>
      </c>
      <c r="B26" s="12">
        <v>0.9566515257472431</v>
      </c>
    </row>
    <row r="27" spans="1:2" x14ac:dyDescent="0.3">
      <c r="A27" s="10" t="s">
        <v>113</v>
      </c>
      <c r="B27" s="12">
        <v>0.96314229198199697</v>
      </c>
    </row>
    <row r="28" spans="1:2" x14ac:dyDescent="0.3">
      <c r="A28" s="10" t="s">
        <v>12</v>
      </c>
      <c r="B28" s="12">
        <v>0.9687711909061405</v>
      </c>
    </row>
    <row r="29" spans="1:2" x14ac:dyDescent="0.3">
      <c r="A29" s="10" t="s">
        <v>41</v>
      </c>
      <c r="B29" s="12">
        <v>0.97372980416794042</v>
      </c>
    </row>
    <row r="30" spans="1:2" x14ac:dyDescent="0.3">
      <c r="A30" s="10" t="s">
        <v>83</v>
      </c>
      <c r="B30" s="12">
        <v>0.97770599874254427</v>
      </c>
    </row>
    <row r="31" spans="1:2" x14ac:dyDescent="0.3">
      <c r="A31" s="10" t="s">
        <v>15</v>
      </c>
      <c r="B31" s="12">
        <v>0.98157964961507305</v>
      </c>
    </row>
    <row r="32" spans="1:2" x14ac:dyDescent="0.3">
      <c r="A32" s="10" t="s">
        <v>10</v>
      </c>
      <c r="B32" s="12">
        <v>0.98467797005727919</v>
      </c>
    </row>
    <row r="33" spans="1:2" x14ac:dyDescent="0.3">
      <c r="A33" s="10" t="s">
        <v>138</v>
      </c>
      <c r="B33" s="12">
        <v>0.98731159245447242</v>
      </c>
    </row>
    <row r="34" spans="1:2" x14ac:dyDescent="0.3">
      <c r="A34" s="10" t="s">
        <v>39</v>
      </c>
      <c r="B34" s="12">
        <v>0.98983316709915437</v>
      </c>
    </row>
    <row r="35" spans="1:2" x14ac:dyDescent="0.3">
      <c r="A35" s="10" t="s">
        <v>28</v>
      </c>
      <c r="B35" s="12">
        <v>0.99146636313464087</v>
      </c>
    </row>
    <row r="36" spans="1:2" x14ac:dyDescent="0.3">
      <c r="A36" s="10" t="s">
        <v>155</v>
      </c>
      <c r="B36" s="12">
        <v>0.99304153444114829</v>
      </c>
    </row>
    <row r="37" spans="1:2" x14ac:dyDescent="0.3">
      <c r="A37" s="10" t="s">
        <v>48</v>
      </c>
      <c r="B37" s="12">
        <v>0.99446664179339961</v>
      </c>
    </row>
    <row r="38" spans="1:2" x14ac:dyDescent="0.3">
      <c r="A38" s="10" t="s">
        <v>40</v>
      </c>
      <c r="B38" s="12">
        <v>0.99588774744020414</v>
      </c>
    </row>
    <row r="39" spans="1:2" x14ac:dyDescent="0.3">
      <c r="A39" s="10" t="s">
        <v>152</v>
      </c>
      <c r="B39" s="12">
        <v>0.9968126416116021</v>
      </c>
    </row>
    <row r="40" spans="1:2" x14ac:dyDescent="0.3">
      <c r="A40" s="10" t="s">
        <v>33</v>
      </c>
      <c r="B40" s="12">
        <v>0.99746291874671145</v>
      </c>
    </row>
    <row r="41" spans="1:2" x14ac:dyDescent="0.3">
      <c r="A41" s="10" t="s">
        <v>53</v>
      </c>
      <c r="B41" s="12">
        <v>0.9980481681683101</v>
      </c>
    </row>
    <row r="42" spans="1:2" x14ac:dyDescent="0.3">
      <c r="A42" s="10" t="s">
        <v>119</v>
      </c>
      <c r="B42" s="12">
        <v>0.99849836003107817</v>
      </c>
    </row>
    <row r="43" spans="1:2" x14ac:dyDescent="0.3">
      <c r="A43" s="10" t="s">
        <v>16</v>
      </c>
      <c r="B43" s="12">
        <v>0.99889052716486726</v>
      </c>
    </row>
    <row r="44" spans="1:2" x14ac:dyDescent="0.3">
      <c r="A44" s="10" t="s">
        <v>47</v>
      </c>
      <c r="B44" s="12">
        <v>0.99922867127512416</v>
      </c>
    </row>
    <row r="45" spans="1:2" x14ac:dyDescent="0.3">
      <c r="A45" s="10" t="s">
        <v>143</v>
      </c>
      <c r="B45" s="12">
        <v>0.99947077445465715</v>
      </c>
    </row>
    <row r="46" spans="1:2" x14ac:dyDescent="0.3">
      <c r="A46" s="10" t="s">
        <v>56</v>
      </c>
      <c r="B46" s="12">
        <v>0.99967085972699854</v>
      </c>
    </row>
    <row r="47" spans="1:2" x14ac:dyDescent="0.3">
      <c r="A47" s="10" t="s">
        <v>144</v>
      </c>
      <c r="B47" s="12">
        <v>0.99981542133626511</v>
      </c>
    </row>
    <row r="48" spans="1:2" x14ac:dyDescent="0.3">
      <c r="A48" s="10" t="s">
        <v>148</v>
      </c>
      <c r="B48" s="12">
        <v>0.99992796930195715</v>
      </c>
    </row>
    <row r="49" spans="1:2" x14ac:dyDescent="0.3">
      <c r="A49" s="10" t="s">
        <v>88</v>
      </c>
      <c r="B49" s="12">
        <v>1</v>
      </c>
    </row>
    <row r="50" spans="1:2" x14ac:dyDescent="0.3">
      <c r="A50" s="10" t="s">
        <v>183</v>
      </c>
      <c r="B50" s="1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8"/>
  <sheetViews>
    <sheetView workbookViewId="0">
      <selection activeCell="A4" sqref="A4:B21"/>
    </sheetView>
  </sheetViews>
  <sheetFormatPr defaultRowHeight="14.4" x14ac:dyDescent="0.3"/>
  <cols>
    <col min="1" max="1" width="25.5546875" customWidth="1"/>
    <col min="2" max="2" width="22.6640625" bestFit="1" customWidth="1"/>
  </cols>
  <sheetData>
    <row r="3" spans="1:2" x14ac:dyDescent="0.3">
      <c r="A3" s="11" t="s">
        <v>182</v>
      </c>
      <c r="B3" t="s">
        <v>184</v>
      </c>
    </row>
    <row r="4" spans="1:2" x14ac:dyDescent="0.3">
      <c r="A4" s="13" t="s">
        <v>34</v>
      </c>
      <c r="B4" s="12">
        <v>0.254525385910855</v>
      </c>
    </row>
    <row r="5" spans="1:2" x14ac:dyDescent="0.3">
      <c r="A5" s="13" t="s">
        <v>13</v>
      </c>
      <c r="B5" s="12">
        <v>0.40517278563195219</v>
      </c>
    </row>
    <row r="6" spans="1:2" x14ac:dyDescent="0.3">
      <c r="A6" s="13" t="s">
        <v>115</v>
      </c>
      <c r="B6" s="12">
        <v>0.51455873585806078</v>
      </c>
    </row>
    <row r="7" spans="1:2" x14ac:dyDescent="0.3">
      <c r="A7" s="13" t="s">
        <v>51</v>
      </c>
      <c r="B7" s="12">
        <v>0.62188174778304894</v>
      </c>
    </row>
    <row r="8" spans="1:2" x14ac:dyDescent="0.3">
      <c r="A8" s="13" t="s">
        <v>21</v>
      </c>
      <c r="B8" s="12">
        <v>0.72910407956386569</v>
      </c>
    </row>
    <row r="9" spans="1:2" x14ac:dyDescent="0.3">
      <c r="A9" s="13" t="s">
        <v>108</v>
      </c>
      <c r="B9" s="12">
        <v>0.79925474070600178</v>
      </c>
    </row>
    <row r="10" spans="1:2" x14ac:dyDescent="0.3">
      <c r="A10" s="13" t="s">
        <v>117</v>
      </c>
      <c r="B10" s="12">
        <v>0.83047948911596337</v>
      </c>
    </row>
    <row r="11" spans="1:2" x14ac:dyDescent="0.3">
      <c r="A11" s="13" t="s">
        <v>23</v>
      </c>
      <c r="B11" s="12">
        <v>0.85391441203885599</v>
      </c>
    </row>
    <row r="12" spans="1:2" x14ac:dyDescent="0.3">
      <c r="A12" s="13" t="s">
        <v>68</v>
      </c>
      <c r="B12" s="12">
        <v>0.8742730050698243</v>
      </c>
    </row>
    <row r="13" spans="1:2" x14ac:dyDescent="0.3">
      <c r="A13" s="13" t="s">
        <v>104</v>
      </c>
      <c r="B13" s="12">
        <v>0.89340788853813335</v>
      </c>
    </row>
    <row r="14" spans="1:2" x14ac:dyDescent="0.3">
      <c r="A14" s="13" t="s">
        <v>114</v>
      </c>
      <c r="B14" s="12">
        <v>0.91227889459366041</v>
      </c>
    </row>
    <row r="15" spans="1:2" x14ac:dyDescent="0.3">
      <c r="A15" s="10" t="s">
        <v>22</v>
      </c>
      <c r="B15" s="12">
        <v>0.93099693978091969</v>
      </c>
    </row>
    <row r="16" spans="1:2" x14ac:dyDescent="0.3">
      <c r="A16" s="10" t="s">
        <v>102</v>
      </c>
      <c r="B16" s="12">
        <v>0.94504116104383717</v>
      </c>
    </row>
    <row r="17" spans="1:2" x14ac:dyDescent="0.3">
      <c r="A17" s="10" t="s">
        <v>61</v>
      </c>
      <c r="B17" s="12">
        <v>0.95883810341918496</v>
      </c>
    </row>
    <row r="18" spans="1:2" x14ac:dyDescent="0.3">
      <c r="A18" s="10" t="s">
        <v>110</v>
      </c>
      <c r="B18" s="12">
        <v>0.96775443077637369</v>
      </c>
    </row>
    <row r="19" spans="1:2" x14ac:dyDescent="0.3">
      <c r="A19" s="10" t="s">
        <v>42</v>
      </c>
      <c r="B19" s="12">
        <v>0.97392347032389448</v>
      </c>
    </row>
    <row r="20" spans="1:2" x14ac:dyDescent="0.3">
      <c r="A20" s="10" t="s">
        <v>64</v>
      </c>
      <c r="B20" s="12">
        <v>0.97956450238094095</v>
      </c>
    </row>
    <row r="21" spans="1:2" x14ac:dyDescent="0.3">
      <c r="A21" s="10" t="s">
        <v>112</v>
      </c>
      <c r="B21" s="12">
        <v>0.98340567529772238</v>
      </c>
    </row>
    <row r="22" spans="1:2" x14ac:dyDescent="0.3">
      <c r="A22" s="10" t="s">
        <v>46</v>
      </c>
      <c r="B22" s="12">
        <v>0.98686099426302543</v>
      </c>
    </row>
    <row r="23" spans="1:2" x14ac:dyDescent="0.3">
      <c r="A23" s="10" t="s">
        <v>57</v>
      </c>
      <c r="B23" s="12">
        <v>0.98932216688424124</v>
      </c>
    </row>
    <row r="24" spans="1:2" x14ac:dyDescent="0.3">
      <c r="A24" s="10" t="s">
        <v>111</v>
      </c>
      <c r="B24" s="12">
        <v>0.99170515571742601</v>
      </c>
    </row>
    <row r="25" spans="1:2" x14ac:dyDescent="0.3">
      <c r="A25" s="10" t="s">
        <v>80</v>
      </c>
      <c r="B25" s="12">
        <v>0.99406607947176329</v>
      </c>
    </row>
    <row r="26" spans="1:2" x14ac:dyDescent="0.3">
      <c r="A26" s="10" t="s">
        <v>70</v>
      </c>
      <c r="B26" s="12">
        <v>0.99534443753551638</v>
      </c>
    </row>
    <row r="27" spans="1:2" x14ac:dyDescent="0.3">
      <c r="A27" s="10" t="s">
        <v>123</v>
      </c>
      <c r="B27" s="12">
        <v>0.99645108742067623</v>
      </c>
    </row>
    <row r="28" spans="1:2" x14ac:dyDescent="0.3">
      <c r="A28" s="10" t="s">
        <v>113</v>
      </c>
      <c r="B28" s="12">
        <v>0.9975316707262224</v>
      </c>
    </row>
    <row r="29" spans="1:2" x14ac:dyDescent="0.3">
      <c r="A29" s="10" t="s">
        <v>119</v>
      </c>
      <c r="B29" s="12">
        <v>0.99832831941793532</v>
      </c>
    </row>
    <row r="30" spans="1:2" x14ac:dyDescent="0.3">
      <c r="A30" s="10" t="s">
        <v>121</v>
      </c>
      <c r="B30" s="12">
        <v>0.99874286211953378</v>
      </c>
    </row>
    <row r="31" spans="1:2" x14ac:dyDescent="0.3">
      <c r="A31" s="10" t="s">
        <v>85</v>
      </c>
      <c r="B31" s="12">
        <v>0.99904378205298616</v>
      </c>
    </row>
    <row r="32" spans="1:2" x14ac:dyDescent="0.3">
      <c r="A32" s="10" t="s">
        <v>27</v>
      </c>
      <c r="B32" s="12">
        <v>0.99932521447902067</v>
      </c>
    </row>
    <row r="33" spans="1:2" x14ac:dyDescent="0.3">
      <c r="A33" s="10" t="s">
        <v>89</v>
      </c>
      <c r="B33" s="12">
        <v>0.99956078195558828</v>
      </c>
    </row>
    <row r="34" spans="1:2" x14ac:dyDescent="0.3">
      <c r="A34" s="10" t="s">
        <v>55</v>
      </c>
      <c r="B34" s="12">
        <v>0.99969618038252006</v>
      </c>
    </row>
    <row r="35" spans="1:2" x14ac:dyDescent="0.3">
      <c r="A35" s="10" t="s">
        <v>67</v>
      </c>
      <c r="B35" s="12">
        <v>0.99983157880945184</v>
      </c>
    </row>
    <row r="36" spans="1:2" x14ac:dyDescent="0.3">
      <c r="A36" s="10" t="s">
        <v>73</v>
      </c>
      <c r="B36" s="12">
        <v>0.99992037335161987</v>
      </c>
    </row>
    <row r="37" spans="1:2" x14ac:dyDescent="0.3">
      <c r="A37" s="10" t="s">
        <v>120</v>
      </c>
      <c r="B37" s="12">
        <v>0.99999999999999978</v>
      </c>
    </row>
    <row r="38" spans="1:2" x14ac:dyDescent="0.3">
      <c r="A38" s="10" t="s">
        <v>183</v>
      </c>
      <c r="B38" s="1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3"/>
  <sheetViews>
    <sheetView workbookViewId="0">
      <selection activeCell="B6" sqref="B6"/>
    </sheetView>
  </sheetViews>
  <sheetFormatPr defaultRowHeight="14.4" x14ac:dyDescent="0.3"/>
  <cols>
    <col min="1" max="1" width="26.109375" bestFit="1" customWidth="1"/>
    <col min="2" max="2" width="23" bestFit="1" customWidth="1"/>
    <col min="3" max="3" width="21.77734375" bestFit="1" customWidth="1"/>
    <col min="4" max="4" width="23.21875" bestFit="1" customWidth="1"/>
  </cols>
  <sheetData>
    <row r="3" spans="1:4" x14ac:dyDescent="0.3">
      <c r="A3" s="11" t="s">
        <v>182</v>
      </c>
      <c r="B3" t="s">
        <v>187</v>
      </c>
      <c r="C3" t="s">
        <v>186</v>
      </c>
      <c r="D3" t="s">
        <v>188</v>
      </c>
    </row>
    <row r="4" spans="1:4" x14ac:dyDescent="0.3">
      <c r="A4" s="10" t="s">
        <v>70</v>
      </c>
      <c r="B4" s="1">
        <v>2751.401503297428</v>
      </c>
      <c r="C4" s="1">
        <v>420.23355297172293</v>
      </c>
      <c r="D4" s="1">
        <v>160.94533611186688</v>
      </c>
    </row>
    <row r="5" spans="1:4" x14ac:dyDescent="0.3">
      <c r="A5" s="10" t="s">
        <v>46</v>
      </c>
      <c r="B5" s="1">
        <v>3139.5902958561055</v>
      </c>
      <c r="C5" s="1">
        <v>160.42077212503548</v>
      </c>
      <c r="D5" s="1">
        <v>190.50081834407817</v>
      </c>
    </row>
    <row r="6" spans="1:4" x14ac:dyDescent="0.3">
      <c r="A6" s="10" t="s">
        <v>21</v>
      </c>
      <c r="B6" s="1">
        <v>6838.6403851807481</v>
      </c>
      <c r="C6" s="1">
        <v>2003.4864314479291</v>
      </c>
      <c r="D6" s="1">
        <v>652.85478167254769</v>
      </c>
    </row>
    <row r="7" spans="1:4" x14ac:dyDescent="0.3">
      <c r="A7" s="10" t="s">
        <v>63</v>
      </c>
      <c r="B7" s="1">
        <v>2205.3913938699334</v>
      </c>
      <c r="C7" s="1">
        <v>19.767121935981173</v>
      </c>
      <c r="D7" s="1">
        <v>35.736667923057745</v>
      </c>
    </row>
    <row r="8" spans="1:4" x14ac:dyDescent="0.3">
      <c r="A8" s="10" t="s">
        <v>67</v>
      </c>
      <c r="B8" s="1">
        <v>1728.1319912137842</v>
      </c>
      <c r="C8" s="1">
        <v>20.448662769280702</v>
      </c>
      <c r="D8" s="1">
        <v>49.852104102418771</v>
      </c>
    </row>
    <row r="9" spans="1:4" x14ac:dyDescent="0.3">
      <c r="A9" s="10" t="s">
        <v>47</v>
      </c>
      <c r="B9" s="1">
        <v>2185.1306646652333</v>
      </c>
      <c r="C9" s="1">
        <v>28.054703351048722</v>
      </c>
      <c r="D9" s="1">
        <v>22.109138327210204</v>
      </c>
    </row>
    <row r="10" spans="1:4" x14ac:dyDescent="0.3">
      <c r="A10" s="10" t="s">
        <v>87</v>
      </c>
      <c r="B10" s="1">
        <v>3217.4799682542903</v>
      </c>
      <c r="C10" s="1">
        <v>227.21417705992124</v>
      </c>
      <c r="D10" s="1">
        <v>285.8490003099331</v>
      </c>
    </row>
    <row r="11" spans="1:4" x14ac:dyDescent="0.3">
      <c r="A11" s="10" t="s">
        <v>148</v>
      </c>
      <c r="B11" s="1">
        <v>1881.842228217507</v>
      </c>
      <c r="C11" s="1">
        <v>54.193865960079521</v>
      </c>
      <c r="D11" s="1">
        <v>3.9924698719501914</v>
      </c>
    </row>
    <row r="12" spans="1:4" x14ac:dyDescent="0.3">
      <c r="A12" s="10" t="s">
        <v>59</v>
      </c>
      <c r="B12" s="1">
        <v>2613.2503529554947</v>
      </c>
      <c r="C12" s="1">
        <v>10.45300141182198</v>
      </c>
      <c r="D12" s="1">
        <v>47.037380979406777</v>
      </c>
    </row>
    <row r="13" spans="1:4" x14ac:dyDescent="0.3">
      <c r="A13" s="10" t="s">
        <v>8</v>
      </c>
      <c r="B13" s="1">
        <v>1267.8916849614034</v>
      </c>
      <c r="C13" s="1">
        <v>111.57446827660351</v>
      </c>
      <c r="D13" s="1">
        <v>56.651258859047715</v>
      </c>
    </row>
    <row r="14" spans="1:4" x14ac:dyDescent="0.3">
      <c r="A14" s="10" t="s">
        <v>31</v>
      </c>
      <c r="B14" s="1">
        <v>2266.271992778612</v>
      </c>
      <c r="C14" s="1">
        <v>18.130175942228895</v>
      </c>
      <c r="D14" s="1">
        <v>228.0017336590071</v>
      </c>
    </row>
    <row r="15" spans="1:4" x14ac:dyDescent="0.3">
      <c r="A15" s="10" t="s">
        <v>55</v>
      </c>
      <c r="B15" s="1">
        <v>2245.3087548424319</v>
      </c>
      <c r="C15" s="1">
        <v>503.78804849081104</v>
      </c>
      <c r="D15" s="1">
        <v>69.582532986744695</v>
      </c>
    </row>
    <row r="16" spans="1:4" x14ac:dyDescent="0.3">
      <c r="A16" s="10" t="s">
        <v>85</v>
      </c>
      <c r="B16" s="1">
        <v>1539.7611517612036</v>
      </c>
      <c r="C16" s="1">
        <v>39.881611665787659</v>
      </c>
      <c r="D16" s="1">
        <v>49.755319367893236</v>
      </c>
    </row>
    <row r="17" spans="1:4" x14ac:dyDescent="0.3">
      <c r="A17" s="10" t="s">
        <v>64</v>
      </c>
      <c r="B17" s="1">
        <v>3820.6359178863167</v>
      </c>
      <c r="C17" s="1">
        <v>681.76111987099557</v>
      </c>
      <c r="D17" s="1">
        <v>257.32842194687402</v>
      </c>
    </row>
    <row r="18" spans="1:4" x14ac:dyDescent="0.3">
      <c r="A18" s="10" t="s">
        <v>9</v>
      </c>
      <c r="B18" s="1">
        <v>2681.7438489419219</v>
      </c>
      <c r="C18" s="1">
        <v>273.41361079151284</v>
      </c>
      <c r="D18" s="1">
        <v>147.35318727804531</v>
      </c>
    </row>
    <row r="19" spans="1:4" x14ac:dyDescent="0.3">
      <c r="A19" s="10" t="s">
        <v>94</v>
      </c>
      <c r="B19" s="1">
        <v>1327.704249375518</v>
      </c>
      <c r="C19" s="1">
        <v>9.2939297456286258</v>
      </c>
      <c r="D19" s="1">
        <v>10.171557820217876</v>
      </c>
    </row>
    <row r="20" spans="1:4" x14ac:dyDescent="0.3">
      <c r="A20" s="10" t="s">
        <v>119</v>
      </c>
      <c r="B20" s="1">
        <v>2080.0681444818588</v>
      </c>
      <c r="C20" s="1">
        <v>31.201022167227883</v>
      </c>
      <c r="D20" s="1">
        <v>47.482935943834327</v>
      </c>
    </row>
    <row r="21" spans="1:4" x14ac:dyDescent="0.3">
      <c r="A21" s="10" t="s">
        <v>110</v>
      </c>
      <c r="B21" s="1">
        <v>6212.5521274291041</v>
      </c>
      <c r="C21" s="1">
        <v>62.125521274291039</v>
      </c>
      <c r="D21" s="1">
        <v>696.86424894721847</v>
      </c>
    </row>
    <row r="22" spans="1:4" x14ac:dyDescent="0.3">
      <c r="A22" s="10" t="s">
        <v>166</v>
      </c>
      <c r="B22" s="1">
        <v>1813.1097528297291</v>
      </c>
      <c r="C22" s="1">
        <v>18.131097528297293</v>
      </c>
      <c r="D22" s="1">
        <v>8.2310836366443176</v>
      </c>
    </row>
    <row r="23" spans="1:4" x14ac:dyDescent="0.3">
      <c r="A23" s="10" t="s">
        <v>111</v>
      </c>
      <c r="B23" s="1">
        <v>3457.0798285934516</v>
      </c>
      <c r="C23" s="1">
        <v>17.285399142967258</v>
      </c>
      <c r="D23" s="1">
        <v>372.48962649359208</v>
      </c>
    </row>
    <row r="24" spans="1:4" x14ac:dyDescent="0.3">
      <c r="A24" s="10" t="s">
        <v>80</v>
      </c>
      <c r="B24" s="1">
        <v>2241.5903028612188</v>
      </c>
      <c r="C24" s="1">
        <v>453.70900151121737</v>
      </c>
      <c r="D24" s="1">
        <v>81.112000104364512</v>
      </c>
    </row>
    <row r="25" spans="1:4" x14ac:dyDescent="0.3">
      <c r="A25" s="10" t="s">
        <v>91</v>
      </c>
      <c r="B25" s="1">
        <v>3484.078885611123</v>
      </c>
      <c r="C25" s="1">
        <v>38.922383812730743</v>
      </c>
      <c r="D25" s="1">
        <v>249.93562390724105</v>
      </c>
    </row>
    <row r="26" spans="1:4" x14ac:dyDescent="0.3">
      <c r="A26" s="10" t="s">
        <v>39</v>
      </c>
      <c r="B26" s="1">
        <v>1917.5499343702243</v>
      </c>
      <c r="C26" s="1">
        <v>59.728779648261586</v>
      </c>
      <c r="D26" s="1">
        <v>69.658854410230177</v>
      </c>
    </row>
    <row r="27" spans="1:4" x14ac:dyDescent="0.3">
      <c r="A27" s="10" t="s">
        <v>108</v>
      </c>
      <c r="B27" s="1">
        <v>12940.152359208847</v>
      </c>
      <c r="C27" s="1">
        <v>422.88079818146775</v>
      </c>
      <c r="D27" s="1">
        <v>1897.3483335035589</v>
      </c>
    </row>
    <row r="28" spans="1:4" x14ac:dyDescent="0.3">
      <c r="A28" s="10" t="s">
        <v>157</v>
      </c>
      <c r="B28" s="1">
        <v>3496.3500761356104</v>
      </c>
      <c r="C28" s="1">
        <v>52.445251142034152</v>
      </c>
      <c r="D28" s="1">
        <v>193.23649770100187</v>
      </c>
    </row>
    <row r="29" spans="1:4" x14ac:dyDescent="0.3">
      <c r="A29" s="10" t="s">
        <v>120</v>
      </c>
      <c r="B29" s="1">
        <v>1841.5129968761407</v>
      </c>
      <c r="C29" s="1">
        <v>9.2075649843807046</v>
      </c>
      <c r="D29" s="1">
        <v>12.446596518200664</v>
      </c>
    </row>
    <row r="30" spans="1:4" x14ac:dyDescent="0.3">
      <c r="A30" s="10" t="s">
        <v>82</v>
      </c>
      <c r="B30" s="1">
        <v>1873.9144711753011</v>
      </c>
      <c r="C30" s="1">
        <v>22.486973654103615</v>
      </c>
      <c r="D30" s="1">
        <v>125.86994126925968</v>
      </c>
    </row>
    <row r="31" spans="1:4" x14ac:dyDescent="0.3">
      <c r="A31" s="10" t="s">
        <v>136</v>
      </c>
      <c r="B31" s="1">
        <v>2445.6392965569935</v>
      </c>
      <c r="C31" s="1">
        <v>69.53640150918902</v>
      </c>
      <c r="D31" s="1">
        <v>100.84783468385386</v>
      </c>
    </row>
    <row r="32" spans="1:4" x14ac:dyDescent="0.3">
      <c r="A32" s="10" t="s">
        <v>32</v>
      </c>
      <c r="B32" s="1">
        <v>2170.5133025576529</v>
      </c>
      <c r="C32" s="1">
        <v>157.2798042374944</v>
      </c>
      <c r="D32" s="1">
        <v>94.982620538573144</v>
      </c>
    </row>
    <row r="33" spans="1:4" x14ac:dyDescent="0.3">
      <c r="A33" s="10" t="s">
        <v>161</v>
      </c>
      <c r="B33" s="1">
        <v>1834.6973045559657</v>
      </c>
      <c r="C33" s="1">
        <v>9.1734865227798288</v>
      </c>
      <c r="D33" s="1">
        <v>10.534799293005044</v>
      </c>
    </row>
    <row r="34" spans="1:4" x14ac:dyDescent="0.3">
      <c r="A34" s="10" t="s">
        <v>40</v>
      </c>
      <c r="B34" s="1">
        <v>1995.227380140989</v>
      </c>
      <c r="C34" s="1">
        <v>65.701282662582656</v>
      </c>
      <c r="D34" s="1">
        <v>25.17484173475604</v>
      </c>
    </row>
    <row r="35" spans="1:4" x14ac:dyDescent="0.3">
      <c r="A35" s="10" t="s">
        <v>10</v>
      </c>
      <c r="B35" s="1">
        <v>1771.2336760554679</v>
      </c>
      <c r="C35" s="1">
        <v>222.28151723592549</v>
      </c>
      <c r="D35" s="1">
        <v>41.269257017879262</v>
      </c>
    </row>
    <row r="36" spans="1:4" x14ac:dyDescent="0.3">
      <c r="A36" s="10" t="s">
        <v>48</v>
      </c>
      <c r="B36" s="1">
        <v>1854.4495777445491</v>
      </c>
      <c r="C36" s="1">
        <v>92.029353318593039</v>
      </c>
      <c r="D36" s="1">
        <v>53.209653724603164</v>
      </c>
    </row>
    <row r="37" spans="1:4" x14ac:dyDescent="0.3">
      <c r="A37" s="10" t="s">
        <v>121</v>
      </c>
      <c r="B37" s="1">
        <v>2476.8156130066127</v>
      </c>
      <c r="C37" s="1">
        <v>94.866536115055368</v>
      </c>
      <c r="D37" s="1">
        <v>61.141665008287482</v>
      </c>
    </row>
    <row r="38" spans="1:4" x14ac:dyDescent="0.3">
      <c r="A38" s="10" t="s">
        <v>65</v>
      </c>
      <c r="B38" s="1">
        <v>2407.6760235309807</v>
      </c>
      <c r="C38" s="1">
        <v>133.39843223051645</v>
      </c>
      <c r="D38" s="1">
        <v>102.50332555883323</v>
      </c>
    </row>
    <row r="39" spans="1:4" x14ac:dyDescent="0.3">
      <c r="A39" s="10" t="s">
        <v>56</v>
      </c>
      <c r="B39" s="1">
        <v>2035.3504706202059</v>
      </c>
      <c r="C39" s="1">
        <v>85.026096340622331</v>
      </c>
      <c r="D39" s="1">
        <v>23.19921678209489</v>
      </c>
    </row>
    <row r="40" spans="1:4" x14ac:dyDescent="0.3">
      <c r="A40" s="10" t="s">
        <v>11</v>
      </c>
      <c r="B40" s="1">
        <v>1814.0331738660793</v>
      </c>
      <c r="C40" s="1">
        <v>197.29264669966327</v>
      </c>
      <c r="D40" s="1">
        <v>35.878220575939928</v>
      </c>
    </row>
    <row r="41" spans="1:4" x14ac:dyDescent="0.3">
      <c r="A41" s="10" t="s">
        <v>49</v>
      </c>
      <c r="B41" s="1">
        <v>2543.0744777881455</v>
      </c>
      <c r="C41" s="1">
        <v>58.740402866242036</v>
      </c>
      <c r="D41" s="1">
        <v>124.4423863495626</v>
      </c>
    </row>
    <row r="42" spans="1:4" x14ac:dyDescent="0.3">
      <c r="A42" s="10" t="s">
        <v>50</v>
      </c>
      <c r="B42" s="1">
        <v>3058.7461847119262</v>
      </c>
      <c r="C42" s="1">
        <v>591.59475384802613</v>
      </c>
      <c r="D42" s="1">
        <v>284.16485963278643</v>
      </c>
    </row>
    <row r="43" spans="1:4" x14ac:dyDescent="0.3">
      <c r="A43" s="10" t="s">
        <v>12</v>
      </c>
      <c r="B43" s="1">
        <v>1663.286550906151</v>
      </c>
      <c r="C43" s="1">
        <v>143.47258126212017</v>
      </c>
      <c r="D43" s="1">
        <v>43.537425782308027</v>
      </c>
    </row>
    <row r="44" spans="1:4" x14ac:dyDescent="0.3">
      <c r="A44" s="10" t="s">
        <v>13</v>
      </c>
      <c r="B44" s="1">
        <v>8252.3836491189868</v>
      </c>
      <c r="C44" s="1">
        <v>2095.4704411196199</v>
      </c>
      <c r="D44" s="1">
        <v>1093.5807892021658</v>
      </c>
    </row>
    <row r="45" spans="1:4" x14ac:dyDescent="0.3">
      <c r="A45" s="10" t="s">
        <v>61</v>
      </c>
      <c r="B45" s="1">
        <v>6604.5900754411305</v>
      </c>
      <c r="C45" s="1">
        <v>2637.7099210100637</v>
      </c>
      <c r="D45" s="1">
        <v>1038.6075393422677</v>
      </c>
    </row>
    <row r="46" spans="1:4" x14ac:dyDescent="0.3">
      <c r="A46" s="10" t="s">
        <v>36</v>
      </c>
      <c r="B46" s="1">
        <v>4507.8567110550148</v>
      </c>
      <c r="C46" s="1">
        <v>986.77799324921921</v>
      </c>
      <c r="D46" s="1">
        <v>499.59695801814496</v>
      </c>
    </row>
    <row r="47" spans="1:4" x14ac:dyDescent="0.3">
      <c r="A47" s="10" t="s">
        <v>146</v>
      </c>
      <c r="B47" s="1">
        <v>3580.6433633210268</v>
      </c>
      <c r="C47" s="1">
        <v>71.612867266420537</v>
      </c>
      <c r="D47" s="1">
        <v>194.08724746621391</v>
      </c>
    </row>
    <row r="48" spans="1:4" x14ac:dyDescent="0.3">
      <c r="A48" s="10" t="s">
        <v>51</v>
      </c>
      <c r="B48" s="1">
        <v>7074.6339541760626</v>
      </c>
      <c r="C48" s="1">
        <v>2634.929842045658</v>
      </c>
      <c r="D48" s="1">
        <v>708.67518582758794</v>
      </c>
    </row>
    <row r="49" spans="1:4" x14ac:dyDescent="0.3">
      <c r="A49" s="10" t="s">
        <v>88</v>
      </c>
      <c r="B49" s="1">
        <v>1880.3495449685006</v>
      </c>
      <c r="C49" s="1">
        <v>19.56932486510609</v>
      </c>
      <c r="D49" s="1">
        <v>36.803689749370065</v>
      </c>
    </row>
    <row r="50" spans="1:4" x14ac:dyDescent="0.3">
      <c r="A50" s="10" t="s">
        <v>33</v>
      </c>
      <c r="B50" s="1">
        <v>2906.2412581050644</v>
      </c>
      <c r="C50" s="1">
        <v>161.57874408089575</v>
      </c>
      <c r="D50" s="1">
        <v>170.9715611763078</v>
      </c>
    </row>
    <row r="51" spans="1:4" x14ac:dyDescent="0.3">
      <c r="A51" s="10" t="s">
        <v>73</v>
      </c>
      <c r="B51" s="1">
        <v>2716.0251184897866</v>
      </c>
      <c r="C51" s="1">
        <v>132.57267883686964</v>
      </c>
      <c r="D51" s="1">
        <v>233.39369884346377</v>
      </c>
    </row>
    <row r="52" spans="1:4" x14ac:dyDescent="0.3">
      <c r="A52" s="10" t="s">
        <v>25</v>
      </c>
      <c r="B52" s="1">
        <v>1355.6780824019231</v>
      </c>
      <c r="C52" s="1">
        <v>65.072547955292308</v>
      </c>
      <c r="D52" s="1">
        <v>77.02524809356207</v>
      </c>
    </row>
    <row r="53" spans="1:4" x14ac:dyDescent="0.3">
      <c r="A53" s="10" t="s">
        <v>26</v>
      </c>
      <c r="B53" s="1">
        <v>2316.2439412856506</v>
      </c>
      <c r="C53" s="1">
        <v>76.601601415878932</v>
      </c>
      <c r="D53" s="1">
        <v>113.09435631188995</v>
      </c>
    </row>
    <row r="54" spans="1:4" x14ac:dyDescent="0.3">
      <c r="A54" s="10" t="s">
        <v>75</v>
      </c>
      <c r="B54" s="1">
        <v>2904.8752091652518</v>
      </c>
      <c r="C54" s="1">
        <v>60.967469864903244</v>
      </c>
      <c r="D54" s="1">
        <v>187.94918350007023</v>
      </c>
    </row>
    <row r="55" spans="1:4" x14ac:dyDescent="0.3">
      <c r="A55" s="10" t="s">
        <v>112</v>
      </c>
      <c r="B55" s="1">
        <v>3384.7160010953785</v>
      </c>
      <c r="C55" s="1">
        <v>33.847160010953786</v>
      </c>
      <c r="D55" s="1">
        <v>300.21061054594986</v>
      </c>
    </row>
    <row r="56" spans="1:4" x14ac:dyDescent="0.3">
      <c r="A56" s="10" t="s">
        <v>152</v>
      </c>
      <c r="B56" s="1">
        <v>1847.4416300538126</v>
      </c>
      <c r="C56" s="1">
        <v>126.95962516405332</v>
      </c>
      <c r="D56" s="1">
        <v>6.8725838568983546</v>
      </c>
    </row>
    <row r="57" spans="1:4" x14ac:dyDescent="0.3">
      <c r="A57" s="10" t="s">
        <v>167</v>
      </c>
      <c r="B57" s="1">
        <v>1799.4877017323215</v>
      </c>
      <c r="C57" s="1">
        <v>62.982069560631253</v>
      </c>
      <c r="D57" s="1">
        <v>1.7398492723818966</v>
      </c>
    </row>
    <row r="58" spans="1:4" x14ac:dyDescent="0.3">
      <c r="A58" s="10" t="s">
        <v>52</v>
      </c>
      <c r="B58" s="1">
        <v>11736.967542968458</v>
      </c>
      <c r="C58" s="1">
        <v>821.99095232260947</v>
      </c>
      <c r="D58" s="1">
        <v>1391.5984946659312</v>
      </c>
    </row>
    <row r="59" spans="1:4" x14ac:dyDescent="0.3">
      <c r="A59" s="10" t="s">
        <v>130</v>
      </c>
      <c r="B59" s="1">
        <v>4266.4598296572758</v>
      </c>
      <c r="C59" s="1">
        <v>338.65694128565048</v>
      </c>
      <c r="D59" s="1">
        <v>337.71127953642747</v>
      </c>
    </row>
    <row r="60" spans="1:4" x14ac:dyDescent="0.3">
      <c r="A60" s="10" t="s">
        <v>117</v>
      </c>
      <c r="B60" s="1">
        <v>3735.2703080950328</v>
      </c>
      <c r="C60" s="1">
        <v>1120.3526640236923</v>
      </c>
      <c r="D60" s="1">
        <v>309.96894033025694</v>
      </c>
    </row>
    <row r="61" spans="1:4" x14ac:dyDescent="0.3">
      <c r="A61" s="10" t="s">
        <v>173</v>
      </c>
      <c r="B61" s="1">
        <v>1848.4201567338769</v>
      </c>
      <c r="C61" s="1">
        <v>27.726302351008155</v>
      </c>
      <c r="D61" s="1">
        <v>27.891262823857414</v>
      </c>
    </row>
    <row r="62" spans="1:4" x14ac:dyDescent="0.3">
      <c r="A62" s="10" t="s">
        <v>170</v>
      </c>
      <c r="B62" s="1">
        <v>1848.3039586460573</v>
      </c>
      <c r="C62" s="1">
        <v>27.724559379690859</v>
      </c>
      <c r="D62" s="1">
        <v>15.891548907046223</v>
      </c>
    </row>
    <row r="63" spans="1:4" x14ac:dyDescent="0.3">
      <c r="A63" s="10" t="s">
        <v>113</v>
      </c>
      <c r="B63" s="1">
        <v>2338.4003387376956</v>
      </c>
      <c r="C63" s="1">
        <v>118.41968816382001</v>
      </c>
      <c r="D63" s="1">
        <v>67.371154883401246</v>
      </c>
    </row>
    <row r="64" spans="1:4" x14ac:dyDescent="0.3">
      <c r="A64" s="10" t="s">
        <v>14</v>
      </c>
      <c r="B64" s="1">
        <v>1351.3910316848553</v>
      </c>
      <c r="C64" s="1">
        <v>37.529134638322034</v>
      </c>
      <c r="D64" s="1">
        <v>18.356240545042343</v>
      </c>
    </row>
    <row r="65" spans="1:4" x14ac:dyDescent="0.3">
      <c r="A65" s="10" t="s">
        <v>143</v>
      </c>
      <c r="B65" s="1">
        <v>2267.9015304880522</v>
      </c>
      <c r="C65" s="1">
        <v>9.0716061219522093</v>
      </c>
      <c r="D65" s="1">
        <v>9.6386443436945939</v>
      </c>
    </row>
    <row r="66" spans="1:4" x14ac:dyDescent="0.3">
      <c r="A66" s="10" t="s">
        <v>15</v>
      </c>
      <c r="B66" s="1">
        <v>1664.8742949378316</v>
      </c>
      <c r="C66" s="1">
        <v>317.54982744330397</v>
      </c>
      <c r="D66" s="1">
        <v>64.896867188896422</v>
      </c>
    </row>
    <row r="67" spans="1:4" x14ac:dyDescent="0.3">
      <c r="A67" s="10" t="s">
        <v>174</v>
      </c>
      <c r="B67" s="1">
        <v>1800.997341068603</v>
      </c>
      <c r="C67" s="1">
        <v>9.0049867053430148</v>
      </c>
      <c r="D67" s="1">
        <v>5.6206838420751293</v>
      </c>
    </row>
    <row r="68" spans="1:4" x14ac:dyDescent="0.3">
      <c r="A68" s="10" t="s">
        <v>158</v>
      </c>
      <c r="B68" s="1">
        <v>2595.9102778590354</v>
      </c>
      <c r="C68" s="1">
        <v>246.61147639660834</v>
      </c>
      <c r="D68" s="1">
        <v>119.45726607888285</v>
      </c>
    </row>
    <row r="69" spans="1:4" x14ac:dyDescent="0.3">
      <c r="A69" s="10" t="s">
        <v>34</v>
      </c>
      <c r="B69" s="1">
        <v>11456.848127185884</v>
      </c>
      <c r="C69" s="1">
        <v>2294.4408387338226</v>
      </c>
      <c r="D69" s="1">
        <v>1388.8566970574461</v>
      </c>
    </row>
    <row r="70" spans="1:4" x14ac:dyDescent="0.3">
      <c r="A70" s="10" t="s">
        <v>102</v>
      </c>
      <c r="B70" s="1">
        <v>4775.7811431268346</v>
      </c>
      <c r="C70" s="1">
        <v>133.74814591829283</v>
      </c>
      <c r="D70" s="1">
        <v>439.05591665118993</v>
      </c>
    </row>
    <row r="71" spans="1:4" x14ac:dyDescent="0.3">
      <c r="A71" s="10" t="s">
        <v>22</v>
      </c>
      <c r="B71" s="1">
        <v>6727.9978631536769</v>
      </c>
      <c r="C71" s="1">
        <v>269.73174747778813</v>
      </c>
      <c r="D71" s="1">
        <v>632.56438864080098</v>
      </c>
    </row>
    <row r="72" spans="1:4" x14ac:dyDescent="0.3">
      <c r="A72" s="10" t="s">
        <v>114</v>
      </c>
      <c r="B72" s="1">
        <v>5181.9361008278447</v>
      </c>
      <c r="C72" s="1">
        <v>308.48264814394093</v>
      </c>
      <c r="D72" s="1">
        <v>505.21730995097965</v>
      </c>
    </row>
    <row r="73" spans="1:4" x14ac:dyDescent="0.3">
      <c r="A73" s="10" t="s">
        <v>168</v>
      </c>
      <c r="B73" s="1">
        <v>1804.807653860197</v>
      </c>
      <c r="C73" s="1">
        <v>9.024038269300986</v>
      </c>
      <c r="D73" s="1">
        <v>2.8676958377934336</v>
      </c>
    </row>
    <row r="74" spans="1:4" x14ac:dyDescent="0.3">
      <c r="A74" s="10" t="s">
        <v>37</v>
      </c>
      <c r="B74" s="1">
        <v>1140.5457019047424</v>
      </c>
      <c r="C74" s="1">
        <v>9.1243656152379398</v>
      </c>
      <c r="D74" s="1">
        <v>12.446596518200664</v>
      </c>
    </row>
    <row r="75" spans="1:4" x14ac:dyDescent="0.3">
      <c r="A75" s="10" t="s">
        <v>68</v>
      </c>
      <c r="B75" s="1">
        <v>2489.0086335643869</v>
      </c>
      <c r="C75" s="1">
        <v>391.19886490413398</v>
      </c>
      <c r="D75" s="1">
        <v>162.66647847539772</v>
      </c>
    </row>
    <row r="76" spans="1:4" x14ac:dyDescent="0.3">
      <c r="A76" s="10" t="s">
        <v>41</v>
      </c>
      <c r="B76" s="1">
        <v>2136.1449453831797</v>
      </c>
      <c r="C76" s="1">
        <v>77.232481871475514</v>
      </c>
      <c r="D76" s="1">
        <v>34.236703683456355</v>
      </c>
    </row>
    <row r="77" spans="1:4" x14ac:dyDescent="0.3">
      <c r="A77" s="10" t="s">
        <v>27</v>
      </c>
      <c r="B77" s="1">
        <v>1667.6033305650287</v>
      </c>
      <c r="C77" s="1">
        <v>111.87566330479939</v>
      </c>
      <c r="D77" s="1">
        <v>46.966123082831317</v>
      </c>
    </row>
    <row r="78" spans="1:4" x14ac:dyDescent="0.3">
      <c r="A78" s="10" t="s">
        <v>123</v>
      </c>
      <c r="B78" s="1">
        <v>3338.8780015416442</v>
      </c>
      <c r="C78" s="1">
        <v>16.694390007708222</v>
      </c>
      <c r="D78" s="1">
        <v>172.98259926440858</v>
      </c>
    </row>
    <row r="79" spans="1:4" x14ac:dyDescent="0.3">
      <c r="A79" s="10" t="s">
        <v>23</v>
      </c>
      <c r="B79" s="1">
        <v>4698.3200427400716</v>
      </c>
      <c r="C79" s="1">
        <v>127.75714060610979</v>
      </c>
      <c r="D79" s="1">
        <v>736.92128552070392</v>
      </c>
    </row>
    <row r="80" spans="1:4" x14ac:dyDescent="0.3">
      <c r="A80" s="10" t="s">
        <v>28</v>
      </c>
      <c r="B80" s="1">
        <v>1903.7609405427197</v>
      </c>
      <c r="C80" s="1">
        <v>40.515108967909441</v>
      </c>
      <c r="D80" s="1">
        <v>32.037539437848515</v>
      </c>
    </row>
    <row r="81" spans="1:4" x14ac:dyDescent="0.3">
      <c r="A81" s="10" t="s">
        <v>138</v>
      </c>
      <c r="B81" s="1">
        <v>2071.737853868311</v>
      </c>
      <c r="C81" s="1">
        <v>20.717378538683111</v>
      </c>
      <c r="D81" s="1">
        <v>52.425064534661203</v>
      </c>
    </row>
    <row r="82" spans="1:4" x14ac:dyDescent="0.3">
      <c r="A82" s="10" t="s">
        <v>29</v>
      </c>
      <c r="B82" s="1">
        <v>1548.5138084962878</v>
      </c>
      <c r="C82" s="1">
        <v>24.776220935940607</v>
      </c>
      <c r="D82" s="1">
        <v>98.825976354513287</v>
      </c>
    </row>
    <row r="83" spans="1:4" x14ac:dyDescent="0.3">
      <c r="A83" s="10" t="s">
        <v>16</v>
      </c>
      <c r="B83" s="1">
        <v>1366.1846701691752</v>
      </c>
      <c r="C83" s="1">
        <v>99.856824029372376</v>
      </c>
      <c r="D83" s="1">
        <v>37.004747090886468</v>
      </c>
    </row>
    <row r="84" spans="1:4" x14ac:dyDescent="0.3">
      <c r="A84" s="10" t="s">
        <v>126</v>
      </c>
      <c r="B84" s="1">
        <v>2127.2171322027943</v>
      </c>
      <c r="C84" s="1">
        <v>63.816513966083818</v>
      </c>
      <c r="D84" s="1">
        <v>149.6051427947165</v>
      </c>
    </row>
    <row r="85" spans="1:4" x14ac:dyDescent="0.3">
      <c r="A85" s="10" t="s">
        <v>17</v>
      </c>
      <c r="B85" s="1">
        <v>3057.8801901532461</v>
      </c>
      <c r="C85" s="1">
        <v>1241.5999801036558</v>
      </c>
      <c r="D85" s="1">
        <v>292.87230630073481</v>
      </c>
    </row>
    <row r="86" spans="1:4" x14ac:dyDescent="0.3">
      <c r="A86" s="10" t="s">
        <v>42</v>
      </c>
      <c r="B86" s="1">
        <v>2822.1155303230576</v>
      </c>
      <c r="C86" s="1">
        <v>753.86391712540319</v>
      </c>
      <c r="D86" s="1">
        <v>188.92951947595142</v>
      </c>
    </row>
    <row r="87" spans="1:4" x14ac:dyDescent="0.3">
      <c r="A87" s="10" t="s">
        <v>18</v>
      </c>
      <c r="B87" s="1">
        <v>3916.0950712219551</v>
      </c>
      <c r="C87" s="1">
        <v>625.76487215505699</v>
      </c>
      <c r="D87" s="1">
        <v>403.01638219407619</v>
      </c>
    </row>
    <row r="88" spans="1:4" x14ac:dyDescent="0.3">
      <c r="A88" s="10" t="s">
        <v>115</v>
      </c>
      <c r="B88" s="1">
        <v>18019.987985394946</v>
      </c>
      <c r="C88" s="1">
        <v>720.79951941579782</v>
      </c>
      <c r="D88" s="1">
        <v>2137.291369978585</v>
      </c>
    </row>
    <row r="89" spans="1:4" x14ac:dyDescent="0.3">
      <c r="A89" s="10" t="s">
        <v>44</v>
      </c>
      <c r="B89" s="1">
        <v>5537.6675114571563</v>
      </c>
      <c r="C89" s="1">
        <v>858.54855987463986</v>
      </c>
      <c r="D89" s="1">
        <v>602.60512356646996</v>
      </c>
    </row>
    <row r="90" spans="1:4" x14ac:dyDescent="0.3">
      <c r="A90" s="10" t="s">
        <v>144</v>
      </c>
      <c r="B90" s="1">
        <v>3946.8012738177335</v>
      </c>
      <c r="C90" s="1">
        <v>56.937640792729923</v>
      </c>
      <c r="D90" s="1">
        <v>378.3643198932503</v>
      </c>
    </row>
    <row r="91" spans="1:4" x14ac:dyDescent="0.3">
      <c r="A91" s="10" t="s">
        <v>155</v>
      </c>
      <c r="B91" s="1">
        <v>2358.7108685950748</v>
      </c>
      <c r="C91" s="1">
        <v>28.304530423140896</v>
      </c>
      <c r="D91" s="1">
        <v>20.903643965767412</v>
      </c>
    </row>
    <row r="92" spans="1:4" x14ac:dyDescent="0.3">
      <c r="A92" s="10" t="s">
        <v>53</v>
      </c>
      <c r="B92" s="1">
        <v>4703.1730481516042</v>
      </c>
      <c r="C92" s="1">
        <v>169.31422973345772</v>
      </c>
      <c r="D92" s="1">
        <v>324.10795718785266</v>
      </c>
    </row>
    <row r="93" spans="1:4" x14ac:dyDescent="0.3">
      <c r="A93" s="10" t="s">
        <v>57</v>
      </c>
      <c r="B93" s="1">
        <v>2912.7280566873278</v>
      </c>
      <c r="C93" s="1">
        <v>348.2658047254655</v>
      </c>
      <c r="D93" s="1">
        <v>235.70679472532339</v>
      </c>
    </row>
    <row r="94" spans="1:4" x14ac:dyDescent="0.3">
      <c r="A94" s="10" t="s">
        <v>162</v>
      </c>
      <c r="B94" s="1">
        <v>1958.8094642784699</v>
      </c>
      <c r="C94" s="1">
        <v>39.176189285569393</v>
      </c>
      <c r="D94" s="1">
        <v>41.925115711907125</v>
      </c>
    </row>
    <row r="95" spans="1:4" x14ac:dyDescent="0.3">
      <c r="A95" s="10" t="s">
        <v>104</v>
      </c>
      <c r="B95" s="1">
        <v>8325.1520606312624</v>
      </c>
      <c r="C95" s="1">
        <v>84.935271936995406</v>
      </c>
      <c r="D95" s="1">
        <v>1495.505454505847</v>
      </c>
    </row>
    <row r="96" spans="1:4" x14ac:dyDescent="0.3">
      <c r="A96" s="10" t="s">
        <v>77</v>
      </c>
      <c r="B96" s="1">
        <v>2596.7051040281949</v>
      </c>
      <c r="C96" s="1">
        <v>58.483542273949581</v>
      </c>
      <c r="D96" s="1">
        <v>179.71232465729634</v>
      </c>
    </row>
    <row r="97" spans="1:4" x14ac:dyDescent="0.3">
      <c r="A97" s="10" t="s">
        <v>89</v>
      </c>
      <c r="B97" s="1">
        <v>3892.9383941700198</v>
      </c>
      <c r="C97" s="1">
        <v>165.64238909083531</v>
      </c>
      <c r="D97" s="1">
        <v>308.41758953510595</v>
      </c>
    </row>
    <row r="98" spans="1:4" x14ac:dyDescent="0.3">
      <c r="A98" s="10" t="s">
        <v>19</v>
      </c>
      <c r="B98" s="1">
        <v>1251.3790788325989</v>
      </c>
      <c r="C98" s="1">
        <v>190.20961998255501</v>
      </c>
      <c r="D98" s="1">
        <v>34.031541847458662</v>
      </c>
    </row>
    <row r="99" spans="1:4" x14ac:dyDescent="0.3">
      <c r="A99" s="10" t="s">
        <v>127</v>
      </c>
      <c r="B99" s="1">
        <v>1703.6704776123443</v>
      </c>
      <c r="C99" s="1">
        <v>45.651957341068595</v>
      </c>
      <c r="D99" s="1">
        <v>10.248029709225701</v>
      </c>
    </row>
    <row r="100" spans="1:4" x14ac:dyDescent="0.3">
      <c r="A100" s="10" t="s">
        <v>128</v>
      </c>
      <c r="B100" s="1">
        <v>1675.4636381462396</v>
      </c>
      <c r="C100" s="1">
        <v>30.158345486632314</v>
      </c>
      <c r="D100" s="1">
        <v>32.978502134624485</v>
      </c>
    </row>
    <row r="101" spans="1:4" x14ac:dyDescent="0.3">
      <c r="A101" s="10" t="s">
        <v>83</v>
      </c>
      <c r="B101" s="1">
        <v>1887.8000224336497</v>
      </c>
      <c r="C101" s="1">
        <v>130.32611240415432</v>
      </c>
      <c r="D101" s="1">
        <v>48.644699986269181</v>
      </c>
    </row>
    <row r="102" spans="1:4" x14ac:dyDescent="0.3">
      <c r="A102" s="10" t="s">
        <v>185</v>
      </c>
      <c r="B102" s="1"/>
      <c r="C102" s="1"/>
      <c r="D102" s="1"/>
    </row>
    <row r="103" spans="1:4" x14ac:dyDescent="0.3">
      <c r="A103" s="10" t="s">
        <v>183</v>
      </c>
      <c r="B103" s="1">
        <v>4069.8627947706641</v>
      </c>
      <c r="C103" s="1">
        <v>29478.897620431511</v>
      </c>
      <c r="D103" s="1">
        <v>379.93338510319347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principal</vt:lpstr>
      <vt:lpstr>regua_dom</vt:lpstr>
      <vt:lpstr>ML_dom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2024-08-26T14:36:02Z</dcterms:created>
  <dcterms:modified xsi:type="dcterms:W3CDTF">2025-02-07T19:32:40Z</dcterms:modified>
  <cp:category/>
  <cp:contentStatus/>
</cp:coreProperties>
</file>